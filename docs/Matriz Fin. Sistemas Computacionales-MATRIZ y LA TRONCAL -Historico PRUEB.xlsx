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ITULACION\IDEA GENERAL\Caso Historico\"/>
    </mc:Choice>
  </mc:AlternateContent>
  <xr:revisionPtr revIDLastSave="0" documentId="13_ncr:1_{041F9290-D514-4B17-B4FD-9F5BEAABBDB8}" xr6:coauthVersionLast="47" xr6:coauthVersionMax="47" xr10:uidLastSave="{00000000-0000-0000-0000-000000000000}"/>
  <bookViews>
    <workbookView xWindow="-108" yWindow="-108" windowWidth="23256" windowHeight="12456" tabRatio="598" firstSheet="13" activeTab="17" xr2:uid="{00000000-000D-0000-FFFF-FFFF00000000}"/>
  </bookViews>
  <sheets>
    <sheet name="1 Estudiantes" sheetId="22" r:id="rId1"/>
    <sheet name="Hoja1" sheetId="21" state="hidden" r:id="rId2"/>
    <sheet name="2 Tasa de Retención" sheetId="29" r:id="rId3"/>
    <sheet name="3 Recursos físicos" sheetId="1" r:id="rId4"/>
    <sheet name="4 Inversión Inicial" sheetId="3" r:id="rId5"/>
    <sheet name="6 Capital de trabajo" sheetId="5" r:id="rId6"/>
    <sheet name="Depreciación" sheetId="2" r:id="rId7"/>
    <sheet name="7 Sueldos" sheetId="6" r:id="rId8"/>
    <sheet name="Hoja2" sheetId="30" state="hidden" r:id="rId9"/>
    <sheet name="Inflación" sheetId="7" r:id="rId10"/>
    <sheet name="8 Mantenimiento" sheetId="12" r:id="rId11"/>
    <sheet name="9 Inv. Vin. Becas" sheetId="27" r:id="rId12"/>
    <sheet name="Planta central" sheetId="24" r:id="rId13"/>
    <sheet name="10 Costos y Gastos" sheetId="11" r:id="rId14"/>
    <sheet name="11 Costo de la Carrera" sheetId="25" r:id="rId15"/>
    <sheet name="12 Pérdidas y Ganancias" sheetId="13" r:id="rId16"/>
    <sheet name="INF CES" sheetId="31" r:id="rId17"/>
    <sheet name="5 Demanda" sheetId="8" r:id="rId18"/>
    <sheet name="13 TIR" sheetId="17" r:id="rId19"/>
    <sheet name="14 VAN" sheetId="16" r:id="rId20"/>
    <sheet name="15 Punto de equilibrio" sheetId="23" r:id="rId21"/>
    <sheet name="16 Flujo de Fondos" sheetId="14" r:id="rId22"/>
    <sheet name="Amortización " sheetId="4" r:id="rId23"/>
    <sheet name="Financiamiento" sheetId="9" r:id="rId24"/>
    <sheet name="Amort. prestamo" sheetId="19" r:id="rId25"/>
    <sheet name="CES" sheetId="28" r:id="rId26"/>
    <sheet name="Perio. recup. Inversión" sheetId="20" r:id="rId27"/>
    <sheet name="Balance" sheetId="15" r:id="rId28"/>
  </sheets>
  <externalReferences>
    <externalReference r:id="rId29"/>
  </externalReferences>
  <definedNames>
    <definedName name="_xlnm._FilterDatabase" localSheetId="8" hidden="1">Hoja2!$A$4:$A$440</definedName>
    <definedName name="_xlnm.Print_Area" localSheetId="0">'1 Estudiantes'!$A$2:$P$45</definedName>
    <definedName name="_xlnm.Print_Area" localSheetId="13">'10 Costos y Gastos'!$A$3:$J$40</definedName>
    <definedName name="_xlnm.Print_Area" localSheetId="15">'12 Pérdidas y Ganancias'!$A$1:$I$45</definedName>
    <definedName name="_xlnm.Print_Area" localSheetId="19">'14 VAN'!$A$2:$K$14</definedName>
    <definedName name="_xlnm.Print_Area" localSheetId="21">'16 Flujo de Fondos'!$A$1:$K$20</definedName>
    <definedName name="_xlnm.Print_Area" localSheetId="3">'3 Recursos físicos'!$A$64:$I$183</definedName>
    <definedName name="_xlnm.Print_Area" localSheetId="4">'4 Inversión Inicial'!$A$1:$C$13</definedName>
    <definedName name="_xlnm.Print_Area" localSheetId="17">'5 Demanda'!$A$51:$I$105</definedName>
    <definedName name="_xlnm.Print_Area" localSheetId="5">'6 Capital de trabajo'!$A$1:$D$48</definedName>
    <definedName name="_xlnm.Print_Area" localSheetId="7">'7 Sueldos'!$D$194:$N$233</definedName>
    <definedName name="_xlnm.Print_Area" localSheetId="10">'8 Mantenimiento'!$A$1:$C$4</definedName>
    <definedName name="_xlnm.Print_Area" localSheetId="27">Balance!$A$1:$M$33</definedName>
    <definedName name="_xlnm.Print_Area" localSheetId="6">Depreciación!$N$1:$T$56</definedName>
    <definedName name="_xlnm.Print_Area" localSheetId="12">'Planta central'!$A$1:$W$37</definedName>
    <definedName name="Moneda1">[1]Parametros!$B$17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0" i="8" l="1"/>
  <c r="M40" i="8" s="1"/>
  <c r="O40" i="8"/>
  <c r="F20" i="6"/>
  <c r="B79" i="8"/>
  <c r="F134" i="6"/>
  <c r="F115" i="6"/>
  <c r="F96" i="6"/>
  <c r="F77" i="6"/>
  <c r="F39" i="6"/>
  <c r="F58" i="6"/>
  <c r="K46" i="8"/>
  <c r="B36" i="8"/>
  <c r="B35" i="8" s="1"/>
  <c r="B34" i="8" s="1"/>
  <c r="B17" i="22"/>
  <c r="B15" i="22" s="1"/>
  <c r="B24" i="22" s="1"/>
  <c r="B4" i="3"/>
  <c r="C3" i="3"/>
  <c r="D3" i="4"/>
  <c r="E3" i="4" s="1"/>
  <c r="F3" i="4" s="1"/>
  <c r="D4" i="4"/>
  <c r="E4" i="4" s="1"/>
  <c r="F4" i="4" s="1"/>
  <c r="G4" i="4" s="1"/>
  <c r="H4" i="4" s="1"/>
  <c r="I4" i="4" s="1"/>
  <c r="J4" i="4" s="1"/>
  <c r="K4" i="4" s="1"/>
  <c r="I16" i="22"/>
  <c r="I20" i="22"/>
  <c r="H20" i="22"/>
  <c r="G20" i="22"/>
  <c r="E26" i="1" l="1"/>
  <c r="B4" i="22" l="1"/>
  <c r="B3" i="8" s="1"/>
  <c r="E10" i="29" l="1"/>
  <c r="K42" i="8" l="1"/>
  <c r="A9" i="2" l="1"/>
  <c r="H21" i="22" l="1"/>
  <c r="F21" i="22"/>
  <c r="D21" i="22"/>
  <c r="E21" i="22"/>
  <c r="G21" i="22"/>
  <c r="I21" i="22"/>
  <c r="C21" i="22"/>
  <c r="B21" i="22"/>
  <c r="B19" i="22" s="1"/>
  <c r="H17" i="22"/>
  <c r="F17" i="22"/>
  <c r="D17" i="22"/>
  <c r="E17" i="22"/>
  <c r="G17" i="22"/>
  <c r="I17" i="22"/>
  <c r="C17" i="22"/>
  <c r="C15" i="22" l="1"/>
  <c r="D15" i="22" s="1"/>
  <c r="E15" i="22" s="1"/>
  <c r="F15" i="22" s="1"/>
  <c r="G15" i="22" s="1"/>
  <c r="H15" i="22" s="1"/>
  <c r="I15" i="22" s="1"/>
  <c r="K44" i="8" l="1"/>
  <c r="B1" i="22"/>
  <c r="C1" i="22" s="1"/>
  <c r="D1" i="22" s="1"/>
  <c r="E1" i="22" s="1"/>
  <c r="F1" i="22" l="1"/>
  <c r="C4" i="22"/>
  <c r="G1" i="22" l="1"/>
  <c r="H1" i="22" s="1"/>
  <c r="I1" i="22" s="1"/>
  <c r="L42" i="8"/>
  <c r="L44" i="8"/>
  <c r="L46" i="8"/>
  <c r="F10" i="29"/>
  <c r="C5" i="22" l="1"/>
  <c r="G10" i="29"/>
  <c r="D6" i="22" s="1"/>
  <c r="H10" i="29"/>
  <c r="E6" i="22" s="1"/>
  <c r="D5" i="22"/>
  <c r="F5" i="22" s="1"/>
  <c r="H5" i="22" s="1"/>
  <c r="B17" i="27"/>
  <c r="B26" i="8"/>
  <c r="B24" i="8"/>
  <c r="J10" i="29" l="1"/>
  <c r="L10" i="29" s="1"/>
  <c r="I10" i="29"/>
  <c r="K10" i="29" s="1"/>
  <c r="M10" i="29" s="1"/>
  <c r="O10" i="29" s="1"/>
  <c r="Q10" i="29" s="1"/>
  <c r="F6" i="22"/>
  <c r="H6" i="22" s="1"/>
  <c r="J16" i="29" l="1"/>
  <c r="N10" i="29"/>
  <c r="P10" i="29" s="1"/>
  <c r="J15" i="29"/>
  <c r="F8" i="22"/>
  <c r="F7" i="22"/>
  <c r="H7" i="22" s="1"/>
  <c r="G8" i="22"/>
  <c r="E7" i="22"/>
  <c r="G7" i="22" s="1"/>
  <c r="I7" i="22" s="1"/>
  <c r="O20" i="6"/>
  <c r="I10" i="22" l="1"/>
  <c r="H9" i="22"/>
  <c r="K16" i="29"/>
  <c r="G9" i="22"/>
  <c r="I8" i="22"/>
  <c r="K16" i="22"/>
  <c r="K20" i="22"/>
  <c r="E9" i="31"/>
  <c r="E11" i="31"/>
  <c r="E12" i="31"/>
  <c r="E13" i="31"/>
  <c r="C9" i="31"/>
  <c r="D9" i="31"/>
  <c r="C10" i="31"/>
  <c r="C11" i="31"/>
  <c r="D11" i="31"/>
  <c r="C12" i="31"/>
  <c r="D12" i="31"/>
  <c r="C16" i="31"/>
  <c r="D16" i="31"/>
  <c r="C17" i="31"/>
  <c r="D17" i="31"/>
  <c r="C18" i="31"/>
  <c r="D18" i="31"/>
  <c r="K15" i="29" l="1"/>
  <c r="H10" i="22"/>
  <c r="C65" i="1"/>
  <c r="D65" i="1"/>
  <c r="E65" i="1"/>
  <c r="F65" i="1"/>
  <c r="G65" i="1"/>
  <c r="H65" i="1"/>
  <c r="I65" i="1"/>
  <c r="B65" i="1"/>
  <c r="A77" i="1"/>
  <c r="A78" i="1"/>
  <c r="A79" i="1"/>
  <c r="A80" i="1"/>
  <c r="A81" i="1"/>
  <c r="A82" i="1"/>
  <c r="A83" i="1"/>
  <c r="A72" i="1"/>
  <c r="A132" i="1" s="1"/>
  <c r="A73" i="1"/>
  <c r="A74" i="1"/>
  <c r="A75" i="1"/>
  <c r="A76" i="1"/>
  <c r="E9" i="1"/>
  <c r="E10" i="1"/>
  <c r="B43" i="31" s="1"/>
  <c r="B18" i="31" s="1"/>
  <c r="F18" i="31" s="1"/>
  <c r="E11" i="1"/>
  <c r="E12" i="1"/>
  <c r="E13" i="1"/>
  <c r="E14" i="1"/>
  <c r="E15" i="1"/>
  <c r="E16" i="1"/>
  <c r="E17" i="1"/>
  <c r="E18" i="1"/>
  <c r="E19" i="1"/>
  <c r="E20" i="1"/>
  <c r="E21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I11" i="22" l="1"/>
  <c r="A26" i="2"/>
  <c r="A24" i="2"/>
  <c r="A25" i="2"/>
  <c r="A87" i="1"/>
  <c r="A147" i="1" s="1"/>
  <c r="A88" i="1"/>
  <c r="A148" i="1" s="1"/>
  <c r="A89" i="1"/>
  <c r="A149" i="1" s="1"/>
  <c r="A90" i="1"/>
  <c r="A150" i="1" s="1"/>
  <c r="A27" i="2"/>
  <c r="A28" i="2"/>
  <c r="C9" i="13" l="1"/>
  <c r="D9" i="13"/>
  <c r="E9" i="13"/>
  <c r="F9" i="13"/>
  <c r="G9" i="13"/>
  <c r="H9" i="13"/>
  <c r="I9" i="13"/>
  <c r="B9" i="13"/>
  <c r="A9" i="13"/>
  <c r="A50" i="11"/>
  <c r="G23" i="6"/>
  <c r="G42" i="6" s="1"/>
  <c r="G61" i="6" s="1"/>
  <c r="G80" i="6" s="1"/>
  <c r="G99" i="6" s="1"/>
  <c r="G118" i="6" s="1"/>
  <c r="G137" i="6" s="1"/>
  <c r="G24" i="6"/>
  <c r="G43" i="6" s="1"/>
  <c r="G62" i="6" s="1"/>
  <c r="G81" i="6" s="1"/>
  <c r="G100" i="6" s="1"/>
  <c r="G119" i="6" s="1"/>
  <c r="G138" i="6" s="1"/>
  <c r="G25" i="6"/>
  <c r="G44" i="6" s="1"/>
  <c r="G63" i="6" s="1"/>
  <c r="G82" i="6" s="1"/>
  <c r="G101" i="6" s="1"/>
  <c r="G120" i="6" s="1"/>
  <c r="G139" i="6" s="1"/>
  <c r="G26" i="6"/>
  <c r="G45" i="6" s="1"/>
  <c r="G64" i="6" s="1"/>
  <c r="G83" i="6" s="1"/>
  <c r="G102" i="6" s="1"/>
  <c r="G121" i="6" s="1"/>
  <c r="G140" i="6" s="1"/>
  <c r="G27" i="6"/>
  <c r="G46" i="6" s="1"/>
  <c r="G65" i="6" s="1"/>
  <c r="G84" i="6" s="1"/>
  <c r="G103" i="6" s="1"/>
  <c r="G122" i="6" s="1"/>
  <c r="G141" i="6" s="1"/>
  <c r="G28" i="6"/>
  <c r="G47" i="6" s="1"/>
  <c r="G66" i="6" s="1"/>
  <c r="G85" i="6" s="1"/>
  <c r="G104" i="6" s="1"/>
  <c r="G123" i="6" s="1"/>
  <c r="G142" i="6" s="1"/>
  <c r="G29" i="6"/>
  <c r="G48" i="6" s="1"/>
  <c r="G67" i="6" s="1"/>
  <c r="G86" i="6" s="1"/>
  <c r="G105" i="6" s="1"/>
  <c r="G124" i="6" s="1"/>
  <c r="G143" i="6" s="1"/>
  <c r="G30" i="6"/>
  <c r="G49" i="6" s="1"/>
  <c r="G68" i="6" s="1"/>
  <c r="G87" i="6" s="1"/>
  <c r="G106" i="6" s="1"/>
  <c r="G125" i="6" s="1"/>
  <c r="G144" i="6" s="1"/>
  <c r="G31" i="6"/>
  <c r="G50" i="6" s="1"/>
  <c r="G69" i="6" s="1"/>
  <c r="G88" i="6" s="1"/>
  <c r="G107" i="6" s="1"/>
  <c r="G126" i="6" s="1"/>
  <c r="G145" i="6" s="1"/>
  <c r="G32" i="6"/>
  <c r="G51" i="6" s="1"/>
  <c r="G70" i="6" s="1"/>
  <c r="G89" i="6" s="1"/>
  <c r="G108" i="6" s="1"/>
  <c r="G127" i="6" s="1"/>
  <c r="G146" i="6" s="1"/>
  <c r="G33" i="6"/>
  <c r="G52" i="6" s="1"/>
  <c r="G71" i="6" s="1"/>
  <c r="G90" i="6" s="1"/>
  <c r="G109" i="6" s="1"/>
  <c r="G128" i="6" s="1"/>
  <c r="G147" i="6" s="1"/>
  <c r="G34" i="6"/>
  <c r="G53" i="6" s="1"/>
  <c r="G72" i="6" s="1"/>
  <c r="G91" i="6" s="1"/>
  <c r="G110" i="6" s="1"/>
  <c r="G129" i="6" s="1"/>
  <c r="G148" i="6" s="1"/>
  <c r="G35" i="6"/>
  <c r="G54" i="6" s="1"/>
  <c r="G73" i="6" s="1"/>
  <c r="G92" i="6" s="1"/>
  <c r="G111" i="6" s="1"/>
  <c r="G130" i="6" s="1"/>
  <c r="G149" i="6" s="1"/>
  <c r="G36" i="6"/>
  <c r="G55" i="6" s="1"/>
  <c r="G74" i="6" s="1"/>
  <c r="G93" i="6" s="1"/>
  <c r="G112" i="6" s="1"/>
  <c r="G131" i="6" s="1"/>
  <c r="G150" i="6" s="1"/>
  <c r="G22" i="6"/>
  <c r="G41" i="6" s="1"/>
  <c r="G60" i="6" s="1"/>
  <c r="G79" i="6" s="1"/>
  <c r="G98" i="6" s="1"/>
  <c r="G117" i="6" s="1"/>
  <c r="G136" i="6" s="1"/>
  <c r="A53" i="8"/>
  <c r="A54" i="8"/>
  <c r="A55" i="8"/>
  <c r="A56" i="8"/>
  <c r="A57" i="8"/>
  <c r="A58" i="8"/>
  <c r="A59" i="8"/>
  <c r="P5" i="1" l="1"/>
  <c r="P4" i="1"/>
  <c r="B30" i="22" l="1"/>
  <c r="C19" i="22"/>
  <c r="D19" i="22" s="1"/>
  <c r="C24" i="22"/>
  <c r="F14" i="5"/>
  <c r="D6" i="20"/>
  <c r="C30" i="22" l="1"/>
  <c r="D24" i="22"/>
  <c r="E19" i="22"/>
  <c r="D30" i="22"/>
  <c r="E58" i="1"/>
  <c r="E59" i="1"/>
  <c r="E60" i="1"/>
  <c r="E57" i="1"/>
  <c r="E43" i="1"/>
  <c r="E45" i="1"/>
  <c r="E47" i="1"/>
  <c r="E48" i="1"/>
  <c r="E49" i="1"/>
  <c r="E50" i="1"/>
  <c r="E51" i="1"/>
  <c r="E52" i="1"/>
  <c r="E53" i="1"/>
  <c r="E54" i="1"/>
  <c r="E55" i="1"/>
  <c r="E41" i="1"/>
  <c r="F19" i="22" l="1"/>
  <c r="E30" i="22"/>
  <c r="E24" i="22"/>
  <c r="B6" i="27"/>
  <c r="C6" i="27"/>
  <c r="B25" i="8"/>
  <c r="G24" i="22" l="1"/>
  <c r="F24" i="22"/>
  <c r="G19" i="22"/>
  <c r="F30" i="22"/>
  <c r="D6" i="27"/>
  <c r="E6" i="27"/>
  <c r="F6" i="27" s="1"/>
  <c r="AC9" i="29"/>
  <c r="H19" i="22" l="1"/>
  <c r="G30" i="22"/>
  <c r="G6" i="27"/>
  <c r="H6" i="27" s="1"/>
  <c r="E44" i="1"/>
  <c r="F43" i="3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3" i="6"/>
  <c r="I24" i="22" l="1"/>
  <c r="H24" i="22"/>
  <c r="I19" i="22"/>
  <c r="H30" i="22"/>
  <c r="I6" i="27"/>
  <c r="I30" i="22" l="1"/>
  <c r="A4" i="30"/>
  <c r="A5" i="30"/>
  <c r="A6" i="30"/>
  <c r="A7" i="30"/>
  <c r="A8" i="30"/>
  <c r="A9" i="30"/>
  <c r="B9" i="30" s="1"/>
  <c r="A10" i="30"/>
  <c r="A11" i="30"/>
  <c r="A12" i="30"/>
  <c r="B12" i="30" s="1"/>
  <c r="A13" i="30"/>
  <c r="A14" i="30"/>
  <c r="A15" i="30"/>
  <c r="B15" i="30" s="1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B35" i="30" s="1"/>
  <c r="A36" i="30"/>
  <c r="A37" i="30"/>
  <c r="A38" i="30"/>
  <c r="A39" i="30"/>
  <c r="A40" i="30"/>
  <c r="A41" i="30"/>
  <c r="A42" i="30"/>
  <c r="B42" i="30" s="1"/>
  <c r="A43" i="30"/>
  <c r="A44" i="30"/>
  <c r="A45" i="30"/>
  <c r="A46" i="30"/>
  <c r="A47" i="30"/>
  <c r="A48" i="30"/>
  <c r="A49" i="30"/>
  <c r="B49" i="30" s="1"/>
  <c r="A50" i="30"/>
  <c r="A51" i="30"/>
  <c r="A52" i="30"/>
  <c r="A53" i="30"/>
  <c r="A54" i="30"/>
  <c r="A55" i="30"/>
  <c r="B55" i="30" s="1"/>
  <c r="A56" i="30"/>
  <c r="A57" i="30"/>
  <c r="A58" i="30"/>
  <c r="A59" i="30"/>
  <c r="A60" i="30"/>
  <c r="A61" i="30"/>
  <c r="A62" i="30"/>
  <c r="A63" i="30"/>
  <c r="B63" i="30" s="1"/>
  <c r="A64" i="30"/>
  <c r="A65" i="30"/>
  <c r="A66" i="30"/>
  <c r="B66" i="30" s="1"/>
  <c r="A67" i="30"/>
  <c r="A68" i="30"/>
  <c r="A69" i="30"/>
  <c r="A70" i="30"/>
  <c r="A71" i="30"/>
  <c r="B71" i="30" s="1"/>
  <c r="A72" i="30"/>
  <c r="A73" i="30"/>
  <c r="A74" i="30"/>
  <c r="A75" i="30"/>
  <c r="A76" i="30"/>
  <c r="A77" i="30"/>
  <c r="A78" i="30"/>
  <c r="A79" i="30"/>
  <c r="A80" i="30"/>
  <c r="A81" i="30"/>
  <c r="B81" i="30" s="1"/>
  <c r="A82" i="30"/>
  <c r="A83" i="30"/>
  <c r="A84" i="30"/>
  <c r="A85" i="30"/>
  <c r="A86" i="30"/>
  <c r="B86" i="30" s="1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B107" i="30" s="1"/>
  <c r="A108" i="30"/>
  <c r="A109" i="30"/>
  <c r="A110" i="30"/>
  <c r="A111" i="30"/>
  <c r="A112" i="30"/>
  <c r="B112" i="30" s="1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B127" i="30" s="1"/>
  <c r="A128" i="30"/>
  <c r="A129" i="30"/>
  <c r="A130" i="30"/>
  <c r="A131" i="30"/>
  <c r="A132" i="30"/>
  <c r="A133" i="30"/>
  <c r="A134" i="30"/>
  <c r="B134" i="30" s="1"/>
  <c r="A135" i="30"/>
  <c r="A136" i="30"/>
  <c r="A137" i="30"/>
  <c r="A138" i="30"/>
  <c r="A139" i="30"/>
  <c r="B139" i="30" s="1"/>
  <c r="A140" i="30"/>
  <c r="A141" i="30"/>
  <c r="A142" i="30"/>
  <c r="A143" i="30"/>
  <c r="A144" i="30"/>
  <c r="A145" i="30"/>
  <c r="A146" i="30"/>
  <c r="B146" i="30" s="1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B160" i="30" s="1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B208" i="30" s="1"/>
  <c r="A209" i="30"/>
  <c r="A210" i="30"/>
  <c r="A211" i="30"/>
  <c r="A212" i="30"/>
  <c r="A213" i="30"/>
  <c r="A214" i="30"/>
  <c r="A215" i="30"/>
  <c r="A216" i="30"/>
  <c r="A217" i="30"/>
  <c r="A218" i="30"/>
  <c r="B218" i="30" s="1"/>
  <c r="A219" i="30"/>
  <c r="A220" i="30"/>
  <c r="A221" i="30"/>
  <c r="A222" i="30"/>
  <c r="A223" i="30"/>
  <c r="A224" i="30"/>
  <c r="A225" i="30"/>
  <c r="B225" i="30" s="1"/>
  <c r="A226" i="30"/>
  <c r="A227" i="30"/>
  <c r="A228" i="30"/>
  <c r="A229" i="30"/>
  <c r="A230" i="30"/>
  <c r="A231" i="30"/>
  <c r="A232" i="30"/>
  <c r="A233" i="30"/>
  <c r="A234" i="30"/>
  <c r="A235" i="30"/>
  <c r="B235" i="30" s="1"/>
  <c r="A236" i="30"/>
  <c r="A237" i="30"/>
  <c r="A238" i="30"/>
  <c r="A239" i="30"/>
  <c r="A240" i="30"/>
  <c r="B240" i="30" s="1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B253" i="30" s="1"/>
  <c r="A254" i="30"/>
  <c r="A255" i="30"/>
  <c r="A256" i="30"/>
  <c r="A257" i="30"/>
  <c r="B257" i="30" s="1"/>
  <c r="A258" i="30"/>
  <c r="A259" i="30"/>
  <c r="A260" i="30"/>
  <c r="A261" i="30"/>
  <c r="A262" i="30"/>
  <c r="B262" i="30" s="1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A281" i="30"/>
  <c r="A282" i="30"/>
  <c r="A283" i="30"/>
  <c r="B283" i="30" s="1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A299" i="30"/>
  <c r="A300" i="30"/>
  <c r="A301" i="30"/>
  <c r="A302" i="30"/>
  <c r="A303" i="30"/>
  <c r="A304" i="30"/>
  <c r="A305" i="30"/>
  <c r="A306" i="30"/>
  <c r="A307" i="30"/>
  <c r="A308" i="30"/>
  <c r="A309" i="30"/>
  <c r="A310" i="30"/>
  <c r="B310" i="30" s="1"/>
  <c r="A311" i="30"/>
  <c r="A312" i="30"/>
  <c r="A313" i="30"/>
  <c r="A314" i="30"/>
  <c r="A315" i="30"/>
  <c r="A316" i="30"/>
  <c r="A317" i="30"/>
  <c r="A318" i="30"/>
  <c r="A319" i="30"/>
  <c r="A320" i="30"/>
  <c r="A321" i="30"/>
  <c r="A322" i="30"/>
  <c r="A323" i="30"/>
  <c r="A324" i="30"/>
  <c r="A325" i="30"/>
  <c r="A326" i="30"/>
  <c r="A327" i="30"/>
  <c r="A328" i="30"/>
  <c r="A329" i="30"/>
  <c r="A330" i="30"/>
  <c r="A331" i="30"/>
  <c r="A332" i="30"/>
  <c r="A333" i="30"/>
  <c r="A334" i="30"/>
  <c r="A335" i="30"/>
  <c r="A336" i="30"/>
  <c r="A337" i="30"/>
  <c r="A338" i="30"/>
  <c r="B338" i="30" s="1"/>
  <c r="A339" i="30"/>
  <c r="A340" i="30"/>
  <c r="A341" i="30"/>
  <c r="A342" i="30"/>
  <c r="A343" i="30"/>
  <c r="A344" i="30"/>
  <c r="A345" i="30"/>
  <c r="A346" i="30"/>
  <c r="A347" i="30"/>
  <c r="A348" i="30"/>
  <c r="A349" i="30"/>
  <c r="A350" i="30"/>
  <c r="A351" i="30"/>
  <c r="A352" i="30"/>
  <c r="A353" i="30"/>
  <c r="B353" i="30" s="1"/>
  <c r="A354" i="30"/>
  <c r="A355" i="30"/>
  <c r="A356" i="30"/>
  <c r="A357" i="30"/>
  <c r="A358" i="30"/>
  <c r="A359" i="30"/>
  <c r="A360" i="30"/>
  <c r="A361" i="30"/>
  <c r="A362" i="30"/>
  <c r="A363" i="30"/>
  <c r="A364" i="30"/>
  <c r="A365" i="30"/>
  <c r="A366" i="30"/>
  <c r="A367" i="30"/>
  <c r="A368" i="30"/>
  <c r="A369" i="30"/>
  <c r="A370" i="30"/>
  <c r="A371" i="30"/>
  <c r="B371" i="30" s="1"/>
  <c r="A372" i="30"/>
  <c r="A373" i="30"/>
  <c r="A374" i="30"/>
  <c r="A375" i="30"/>
  <c r="B375" i="30" s="1"/>
  <c r="A376" i="30"/>
  <c r="A377" i="30"/>
  <c r="A378" i="30"/>
  <c r="A379" i="30"/>
  <c r="A380" i="30"/>
  <c r="A381" i="30"/>
  <c r="A382" i="30"/>
  <c r="A383" i="30"/>
  <c r="A384" i="30"/>
  <c r="A385" i="30"/>
  <c r="A386" i="30"/>
  <c r="A387" i="30"/>
  <c r="A388" i="30"/>
  <c r="A389" i="30"/>
  <c r="A390" i="30"/>
  <c r="B390" i="30" s="1"/>
  <c r="A391" i="30"/>
  <c r="A392" i="30"/>
  <c r="A393" i="30"/>
  <c r="A394" i="30"/>
  <c r="A395" i="30"/>
  <c r="A396" i="30"/>
  <c r="A397" i="30"/>
  <c r="A398" i="30"/>
  <c r="B398" i="30" s="1"/>
  <c r="A399" i="30"/>
  <c r="A400" i="30"/>
  <c r="A401" i="30"/>
  <c r="A402" i="30"/>
  <c r="A403" i="30"/>
  <c r="A404" i="30"/>
  <c r="A405" i="30"/>
  <c r="A406" i="30"/>
  <c r="B406" i="30" s="1"/>
  <c r="A407" i="30"/>
  <c r="A408" i="30"/>
  <c r="A409" i="30"/>
  <c r="A410" i="30"/>
  <c r="B410" i="30" s="1"/>
  <c r="A411" i="30"/>
  <c r="A412" i="30"/>
  <c r="A413" i="30"/>
  <c r="A414" i="30"/>
  <c r="A415" i="30"/>
  <c r="A416" i="30"/>
  <c r="A417" i="30"/>
  <c r="A418" i="30"/>
  <c r="A419" i="30"/>
  <c r="A420" i="30"/>
  <c r="A421" i="30"/>
  <c r="A422" i="30"/>
  <c r="A423" i="30"/>
  <c r="A424" i="30"/>
  <c r="A425" i="30"/>
  <c r="A426" i="30"/>
  <c r="A427" i="30"/>
  <c r="A428" i="30"/>
  <c r="A429" i="30"/>
  <c r="A430" i="30"/>
  <c r="B430" i="30" s="1"/>
  <c r="A431" i="30"/>
  <c r="A432" i="30"/>
  <c r="A433" i="30"/>
  <c r="B433" i="30" s="1"/>
  <c r="A434" i="30"/>
  <c r="A435" i="30"/>
  <c r="A436" i="30"/>
  <c r="A437" i="30"/>
  <c r="A438" i="30"/>
  <c r="A439" i="30"/>
  <c r="A440" i="30"/>
  <c r="B440" i="30" s="1"/>
  <c r="B436" i="30"/>
  <c r="B328" i="30"/>
  <c r="B244" i="30"/>
  <c r="B197" i="30"/>
  <c r="B117" i="30"/>
  <c r="B96" i="30"/>
  <c r="B24" i="30"/>
  <c r="B4" i="30"/>
  <c r="C13" i="5" l="1"/>
  <c r="D6" i="8" l="1"/>
  <c r="C8" i="8" l="1"/>
  <c r="D8" i="8"/>
  <c r="E8" i="8"/>
  <c r="F8" i="8"/>
  <c r="B8" i="8"/>
  <c r="B9" i="8"/>
  <c r="C9" i="8"/>
  <c r="D9" i="8"/>
  <c r="E9" i="8"/>
  <c r="F9" i="8"/>
  <c r="G9" i="8"/>
  <c r="C5" i="8"/>
  <c r="E7" i="8"/>
  <c r="G125" i="1" l="1"/>
  <c r="H125" i="1"/>
  <c r="I125" i="1"/>
  <c r="L2" i="2" l="1"/>
  <c r="T2" i="2" s="1"/>
  <c r="K2" i="2"/>
  <c r="S2" i="2" s="1"/>
  <c r="J2" i="2"/>
  <c r="R2" i="2" s="1"/>
  <c r="I2" i="2"/>
  <c r="Q2" i="2" s="1"/>
  <c r="H2" i="2"/>
  <c r="P2" i="2" s="1"/>
  <c r="G2" i="2"/>
  <c r="O2" i="2" s="1"/>
  <c r="F2" i="2"/>
  <c r="N2" i="2" s="1"/>
  <c r="E2" i="2"/>
  <c r="V15" i="25" l="1"/>
  <c r="V10" i="25"/>
  <c r="S7" i="25"/>
  <c r="U7" i="25"/>
  <c r="U8" i="25" s="1"/>
  <c r="V8" i="25" s="1"/>
  <c r="Q15" i="25"/>
  <c r="T10" i="25"/>
  <c r="V11" i="25" s="1"/>
  <c r="S9" i="25"/>
  <c r="T9" i="25" s="1"/>
  <c r="T11" i="25" s="1"/>
  <c r="T12" i="25" s="1"/>
  <c r="V12" i="25" l="1"/>
  <c r="W12" i="25" s="1"/>
  <c r="A3" i="27"/>
  <c r="A45" i="5"/>
  <c r="D45" i="5" s="1"/>
  <c r="C14" i="5"/>
  <c r="E13" i="6" l="1"/>
  <c r="H13" i="6" s="1"/>
  <c r="I13" i="6" l="1"/>
  <c r="J13" i="6"/>
  <c r="A42" i="5"/>
  <c r="A43" i="5"/>
  <c r="A44" i="5"/>
  <c r="A46" i="5"/>
  <c r="E39" i="1" l="1"/>
  <c r="L3" i="15" l="1"/>
  <c r="J3" i="15"/>
  <c r="H3" i="15"/>
  <c r="A125" i="1" l="1"/>
  <c r="A122" i="1"/>
  <c r="A182" i="1" s="1"/>
  <c r="A121" i="1"/>
  <c r="A181" i="1" s="1"/>
  <c r="A120" i="1"/>
  <c r="A180" i="1" s="1"/>
  <c r="A119" i="1"/>
  <c r="A179" i="1" s="1"/>
  <c r="A118" i="1"/>
  <c r="A178" i="1" s="1"/>
  <c r="A117" i="1"/>
  <c r="A177" i="1" s="1"/>
  <c r="A116" i="1"/>
  <c r="A176" i="1" s="1"/>
  <c r="A115" i="1"/>
  <c r="A175" i="1" s="1"/>
  <c r="A114" i="1"/>
  <c r="A174" i="1" s="1"/>
  <c r="A113" i="1"/>
  <c r="A173" i="1" s="1"/>
  <c r="A112" i="1"/>
  <c r="A172" i="1" s="1"/>
  <c r="A111" i="1"/>
  <c r="A171" i="1" s="1"/>
  <c r="A110" i="1"/>
  <c r="A170" i="1" s="1"/>
  <c r="A109" i="1"/>
  <c r="A169" i="1" s="1"/>
  <c r="A108" i="1"/>
  <c r="A168" i="1" s="1"/>
  <c r="A107" i="1"/>
  <c r="A167" i="1" s="1"/>
  <c r="A106" i="1"/>
  <c r="A166" i="1" s="1"/>
  <c r="A105" i="1"/>
  <c r="A165" i="1" s="1"/>
  <c r="A104" i="1"/>
  <c r="A164" i="1" s="1"/>
  <c r="A103" i="1"/>
  <c r="A163" i="1" s="1"/>
  <c r="A102" i="1"/>
  <c r="A162" i="1" s="1"/>
  <c r="A101" i="1"/>
  <c r="A161" i="1" s="1"/>
  <c r="A100" i="1"/>
  <c r="A160" i="1" s="1"/>
  <c r="A99" i="1"/>
  <c r="A159" i="1" s="1"/>
  <c r="A98" i="1"/>
  <c r="A158" i="1" s="1"/>
  <c r="A97" i="1"/>
  <c r="A157" i="1" s="1"/>
  <c r="A96" i="1"/>
  <c r="A156" i="1" s="1"/>
  <c r="A95" i="1"/>
  <c r="A155" i="1" s="1"/>
  <c r="A94" i="1"/>
  <c r="A154" i="1" s="1"/>
  <c r="A93" i="1"/>
  <c r="A153" i="1" s="1"/>
  <c r="A92" i="1"/>
  <c r="A152" i="1" s="1"/>
  <c r="A91" i="1"/>
  <c r="A151" i="1" s="1"/>
  <c r="A86" i="1"/>
  <c r="A146" i="1" s="1"/>
  <c r="A85" i="1"/>
  <c r="A145" i="1" s="1"/>
  <c r="A84" i="1"/>
  <c r="A144" i="1" s="1"/>
  <c r="A143" i="1"/>
  <c r="A142" i="1"/>
  <c r="A141" i="1"/>
  <c r="A140" i="1"/>
  <c r="A139" i="1"/>
  <c r="A138" i="1"/>
  <c r="A137" i="1"/>
  <c r="A136" i="1"/>
  <c r="A135" i="1"/>
  <c r="A134" i="1"/>
  <c r="A133" i="1"/>
  <c r="A71" i="1"/>
  <c r="A131" i="1" s="1"/>
  <c r="A70" i="1"/>
  <c r="A130" i="1" s="1"/>
  <c r="A69" i="1"/>
  <c r="A129" i="1" s="1"/>
  <c r="A68" i="1"/>
  <c r="A128" i="1" s="1"/>
  <c r="A67" i="1"/>
  <c r="A127" i="1" s="1"/>
  <c r="A66" i="1"/>
  <c r="A126" i="1" s="1"/>
  <c r="F125" i="1"/>
  <c r="E125" i="1"/>
  <c r="D125" i="1"/>
  <c r="C125" i="1"/>
  <c r="B125" i="1"/>
  <c r="F21" i="24" l="1"/>
  <c r="F32" i="24"/>
  <c r="F33" i="24"/>
  <c r="F34" i="24"/>
  <c r="F249" i="24"/>
  <c r="F280" i="24"/>
  <c r="F345" i="24"/>
  <c r="F427" i="24"/>
  <c r="F431" i="24"/>
  <c r="F64" i="24"/>
  <c r="E64" i="24"/>
  <c r="G64" i="24"/>
  <c r="H64" i="24"/>
  <c r="I64" i="24" l="1"/>
  <c r="K64" i="24" s="1"/>
  <c r="A33" i="2"/>
  <c r="A22" i="2"/>
  <c r="A19" i="8" l="1"/>
  <c r="F173" i="6" l="1"/>
  <c r="B41" i="31"/>
  <c r="B16" i="31" s="1"/>
  <c r="F16" i="31" s="1"/>
  <c r="E4" i="22" l="1"/>
  <c r="G4" i="22" s="1"/>
  <c r="I4" i="22" s="1"/>
  <c r="G6" i="22"/>
  <c r="I6" i="22" s="1"/>
  <c r="E5" i="22"/>
  <c r="D4" i="22"/>
  <c r="F4" i="22" s="1"/>
  <c r="H4" i="22" s="1"/>
  <c r="I5" i="22" l="1"/>
  <c r="G5" i="22"/>
  <c r="B26" i="22"/>
  <c r="N19" i="25"/>
  <c r="N20" i="25" s="1"/>
  <c r="L18" i="25"/>
  <c r="L15" i="25"/>
  <c r="M10" i="25"/>
  <c r="M11" i="25"/>
  <c r="M12" i="25" s="1"/>
  <c r="B27" i="8" l="1"/>
  <c r="B25" i="22"/>
  <c r="B15" i="8" s="1"/>
  <c r="D19" i="8"/>
  <c r="X6" i="22"/>
  <c r="X7" i="22" s="1"/>
  <c r="M12" i="29"/>
  <c r="D3" i="29"/>
  <c r="B28" i="22" l="1"/>
  <c r="B18" i="8" s="1"/>
  <c r="C26" i="22"/>
  <c r="C25" i="22" s="1"/>
  <c r="D26" i="22"/>
  <c r="D25" i="22" s="1"/>
  <c r="E19" i="8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5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5" i="6"/>
  <c r="D28" i="22" l="1"/>
  <c r="C28" i="22"/>
  <c r="F19" i="8"/>
  <c r="E26" i="22"/>
  <c r="E25" i="22" s="1"/>
  <c r="S6" i="22"/>
  <c r="S7" i="22"/>
  <c r="S8" i="22"/>
  <c r="S11" i="22"/>
  <c r="S4" i="22"/>
  <c r="E28" i="22" l="1"/>
  <c r="F26" i="22"/>
  <c r="F25" i="22" s="1"/>
  <c r="G19" i="8"/>
  <c r="D49" i="12"/>
  <c r="F28" i="22" l="1"/>
  <c r="H19" i="8"/>
  <c r="I19" i="8"/>
  <c r="G26" i="22"/>
  <c r="G25" i="22" s="1"/>
  <c r="G28" i="22" l="1"/>
  <c r="H26" i="22"/>
  <c r="H25" i="22" s="1"/>
  <c r="I26" i="22"/>
  <c r="I25" i="22" s="1"/>
  <c r="V39" i="8"/>
  <c r="H28" i="22" l="1"/>
  <c r="I28" i="22"/>
  <c r="Q47" i="8"/>
  <c r="V40" i="8"/>
  <c r="V41" i="8"/>
  <c r="V42" i="8" l="1"/>
  <c r="V6" i="22"/>
  <c r="V7" i="22" s="1"/>
  <c r="H10" i="8" l="1"/>
  <c r="G10" i="8"/>
  <c r="F10" i="8"/>
  <c r="E10" i="8"/>
  <c r="D10" i="8"/>
  <c r="C10" i="8"/>
  <c r="B10" i="8"/>
  <c r="D7" i="8"/>
  <c r="C7" i="8"/>
  <c r="B7" i="8"/>
  <c r="C6" i="8"/>
  <c r="B6" i="8"/>
  <c r="B5" i="8"/>
  <c r="B4" i="8"/>
  <c r="B11" i="8" s="1"/>
  <c r="I3" i="8"/>
  <c r="H3" i="8"/>
  <c r="G3" i="8"/>
  <c r="F3" i="8"/>
  <c r="E3" i="8"/>
  <c r="D3" i="8"/>
  <c r="C3" i="8"/>
  <c r="C5" i="25" l="1"/>
  <c r="B29" i="8"/>
  <c r="B34" i="11" s="1"/>
  <c r="B33" i="11" s="1"/>
  <c r="E12" i="20"/>
  <c r="C12" i="20"/>
  <c r="F322" i="24" l="1"/>
  <c r="F321" i="24"/>
  <c r="F264" i="24"/>
  <c r="F263" i="24"/>
  <c r="F425" i="24"/>
  <c r="F69" i="24"/>
  <c r="H68" i="24"/>
  <c r="G68" i="24"/>
  <c r="F68" i="24"/>
  <c r="E68" i="24"/>
  <c r="H67" i="24"/>
  <c r="G67" i="24"/>
  <c r="F67" i="24"/>
  <c r="E67" i="24"/>
  <c r="H66" i="24"/>
  <c r="G66" i="24"/>
  <c r="F66" i="24"/>
  <c r="E66" i="24"/>
  <c r="I66" i="24" l="1"/>
  <c r="K66" i="24" s="1"/>
  <c r="I67" i="24"/>
  <c r="K67" i="24" s="1"/>
  <c r="I68" i="24"/>
  <c r="K68" i="24" s="1"/>
  <c r="C69" i="24"/>
  <c r="F53" i="24"/>
  <c r="F52" i="24"/>
  <c r="F51" i="24"/>
  <c r="F50" i="24"/>
  <c r="F49" i="24"/>
  <c r="F39" i="24"/>
  <c r="F38" i="24"/>
  <c r="F37" i="24"/>
  <c r="F36" i="24"/>
  <c r="F35" i="24"/>
  <c r="F84" i="24"/>
  <c r="E69" i="24" l="1"/>
  <c r="H69" i="24"/>
  <c r="G69" i="24"/>
  <c r="F191" i="24"/>
  <c r="F190" i="24"/>
  <c r="F189" i="24"/>
  <c r="I69" i="24" l="1"/>
  <c r="K69" i="24" s="1"/>
  <c r="F105" i="24"/>
  <c r="F104" i="24"/>
  <c r="F395" i="24"/>
  <c r="X254" i="24" l="1"/>
  <c r="C7" i="27"/>
  <c r="D7" i="27"/>
  <c r="E7" i="27"/>
  <c r="F7" i="27"/>
  <c r="G7" i="27"/>
  <c r="H7" i="27"/>
  <c r="I7" i="27"/>
  <c r="B7" i="27"/>
  <c r="S12" i="29"/>
  <c r="H116" i="24" l="1"/>
  <c r="G116" i="24"/>
  <c r="E116" i="24"/>
  <c r="H115" i="24"/>
  <c r="G115" i="24"/>
  <c r="E115" i="24"/>
  <c r="H114" i="24"/>
  <c r="G114" i="24"/>
  <c r="E114" i="24"/>
  <c r="H113" i="24"/>
  <c r="G113" i="24"/>
  <c r="F113" i="24"/>
  <c r="E113" i="24"/>
  <c r="H112" i="24"/>
  <c r="G112" i="24"/>
  <c r="F112" i="24"/>
  <c r="E112" i="24"/>
  <c r="H111" i="24"/>
  <c r="G111" i="24"/>
  <c r="E111" i="24"/>
  <c r="H110" i="24"/>
  <c r="G110" i="24"/>
  <c r="E110" i="24"/>
  <c r="H109" i="24"/>
  <c r="G109" i="24"/>
  <c r="E109" i="24"/>
  <c r="H108" i="24"/>
  <c r="G108" i="24"/>
  <c r="F108" i="24"/>
  <c r="E108" i="24"/>
  <c r="H107" i="24"/>
  <c r="G107" i="24"/>
  <c r="F107" i="24"/>
  <c r="E107" i="24"/>
  <c r="H106" i="24"/>
  <c r="G106" i="24"/>
  <c r="E106" i="24"/>
  <c r="H105" i="24"/>
  <c r="G105" i="24"/>
  <c r="E105" i="24"/>
  <c r="H104" i="24"/>
  <c r="G104" i="24"/>
  <c r="E104" i="24"/>
  <c r="H103" i="24"/>
  <c r="G103" i="24"/>
  <c r="F103" i="24"/>
  <c r="E103" i="24"/>
  <c r="H102" i="24"/>
  <c r="G102" i="24"/>
  <c r="F102" i="24"/>
  <c r="E102" i="24"/>
  <c r="H101" i="24"/>
  <c r="G101" i="24"/>
  <c r="F101" i="24"/>
  <c r="E101" i="24"/>
  <c r="H100" i="24"/>
  <c r="G100" i="24"/>
  <c r="F100" i="24"/>
  <c r="E100" i="24"/>
  <c r="H99" i="24"/>
  <c r="G99" i="24"/>
  <c r="F99" i="24"/>
  <c r="E99" i="24"/>
  <c r="H98" i="24"/>
  <c r="G98" i="24"/>
  <c r="F98" i="24"/>
  <c r="E98" i="24"/>
  <c r="H97" i="24"/>
  <c r="G97" i="24"/>
  <c r="F97" i="24"/>
  <c r="E97" i="24"/>
  <c r="H96" i="24"/>
  <c r="G96" i="24"/>
  <c r="F96" i="24"/>
  <c r="E96" i="24"/>
  <c r="H95" i="24"/>
  <c r="G95" i="24"/>
  <c r="E95" i="24"/>
  <c r="H94" i="24"/>
  <c r="G94" i="24"/>
  <c r="E94" i="24"/>
  <c r="H93" i="24"/>
  <c r="G93" i="24"/>
  <c r="E93" i="24"/>
  <c r="H92" i="24"/>
  <c r="G92" i="24"/>
  <c r="E92" i="24"/>
  <c r="H91" i="24"/>
  <c r="G91" i="24"/>
  <c r="F91" i="24"/>
  <c r="E91" i="24"/>
  <c r="H90" i="24"/>
  <c r="G90" i="24"/>
  <c r="F90" i="24"/>
  <c r="E90" i="24"/>
  <c r="H89" i="24"/>
  <c r="G89" i="24"/>
  <c r="F89" i="24"/>
  <c r="E89" i="24"/>
  <c r="H88" i="24"/>
  <c r="G88" i="24"/>
  <c r="F88" i="24"/>
  <c r="E88" i="24"/>
  <c r="H87" i="24"/>
  <c r="G87" i="24"/>
  <c r="F87" i="24"/>
  <c r="E87" i="24"/>
  <c r="H86" i="24"/>
  <c r="G86" i="24"/>
  <c r="F86" i="24"/>
  <c r="E86" i="24"/>
  <c r="P9" i="29"/>
  <c r="Q9" i="29" s="1"/>
  <c r="E3" i="29"/>
  <c r="K3" i="29" s="1"/>
  <c r="M3" i="29" s="1"/>
  <c r="P3" i="29" s="1"/>
  <c r="I116" i="24" l="1"/>
  <c r="K116" i="24" s="1"/>
  <c r="I104" i="24"/>
  <c r="K104" i="24" s="1"/>
  <c r="I97" i="24"/>
  <c r="K97" i="24" s="1"/>
  <c r="I98" i="24"/>
  <c r="K98" i="24" s="1"/>
  <c r="I99" i="24"/>
  <c r="K99" i="24" s="1"/>
  <c r="I100" i="24"/>
  <c r="K100" i="24" s="1"/>
  <c r="I101" i="24"/>
  <c r="K101" i="24" s="1"/>
  <c r="I102" i="24"/>
  <c r="K102" i="24" s="1"/>
  <c r="I103" i="24"/>
  <c r="K103" i="24" s="1"/>
  <c r="I95" i="24"/>
  <c r="K95" i="24" s="1"/>
  <c r="I109" i="24"/>
  <c r="K109" i="24" s="1"/>
  <c r="I115" i="24"/>
  <c r="K115" i="24" s="1"/>
  <c r="I94" i="24"/>
  <c r="K94" i="24" s="1"/>
  <c r="I110" i="24"/>
  <c r="K110" i="24" s="1"/>
  <c r="I86" i="24"/>
  <c r="K86" i="24" s="1"/>
  <c r="I93" i="24"/>
  <c r="K93" i="24" s="1"/>
  <c r="I114" i="24"/>
  <c r="K114" i="24" s="1"/>
  <c r="I105" i="24"/>
  <c r="K105" i="24" s="1"/>
  <c r="I106" i="24"/>
  <c r="K106" i="24" s="1"/>
  <c r="I111" i="24"/>
  <c r="K111" i="24" s="1"/>
  <c r="I113" i="24"/>
  <c r="K113" i="24" s="1"/>
  <c r="I112" i="24"/>
  <c r="K112" i="24" s="1"/>
  <c r="I108" i="24"/>
  <c r="K108" i="24" s="1"/>
  <c r="I107" i="24"/>
  <c r="K107" i="24" s="1"/>
  <c r="I96" i="24"/>
  <c r="K96" i="24" s="1"/>
  <c r="I92" i="24"/>
  <c r="K92" i="24" s="1"/>
  <c r="I91" i="24"/>
  <c r="K91" i="24" s="1"/>
  <c r="I90" i="24"/>
  <c r="K90" i="24" s="1"/>
  <c r="I89" i="24"/>
  <c r="K89" i="24" s="1"/>
  <c r="I88" i="24"/>
  <c r="K88" i="24" s="1"/>
  <c r="I87" i="24"/>
  <c r="K87" i="24" s="1"/>
  <c r="V3" i="29"/>
  <c r="W3" i="29" s="1"/>
  <c r="C4" i="8" l="1"/>
  <c r="C16" i="28"/>
  <c r="D5" i="8" l="1"/>
  <c r="D4" i="8"/>
  <c r="S13" i="29" l="1"/>
  <c r="E5" i="8"/>
  <c r="E6" i="8"/>
  <c r="H8" i="22"/>
  <c r="E4" i="8"/>
  <c r="C6" i="20"/>
  <c r="D3" i="15"/>
  <c r="B3" i="15"/>
  <c r="F3" i="15"/>
  <c r="V10" i="29" l="1"/>
  <c r="W10" i="29" s="1"/>
  <c r="I9" i="22"/>
  <c r="F7" i="8"/>
  <c r="F5" i="8"/>
  <c r="F6" i="8"/>
  <c r="F4" i="8"/>
  <c r="A19" i="13"/>
  <c r="A20" i="13"/>
  <c r="A34" i="11"/>
  <c r="G7" i="8" l="1"/>
  <c r="G5" i="8"/>
  <c r="G8" i="8"/>
  <c r="H9" i="8"/>
  <c r="I9" i="8"/>
  <c r="G6" i="8"/>
  <c r="G4" i="8"/>
  <c r="H234" i="24"/>
  <c r="G234" i="24"/>
  <c r="E234" i="24"/>
  <c r="H233" i="24"/>
  <c r="G233" i="24"/>
  <c r="F233" i="24"/>
  <c r="E233" i="24"/>
  <c r="H232" i="24"/>
  <c r="G232" i="24"/>
  <c r="F232" i="24"/>
  <c r="E232" i="24"/>
  <c r="H231" i="24"/>
  <c r="G231" i="24"/>
  <c r="F231" i="24"/>
  <c r="E231" i="24"/>
  <c r="H230" i="24"/>
  <c r="G230" i="24"/>
  <c r="F230" i="24"/>
  <c r="E230" i="24"/>
  <c r="H229" i="24"/>
  <c r="G229" i="24"/>
  <c r="F229" i="24"/>
  <c r="E229" i="24"/>
  <c r="H228" i="24"/>
  <c r="G228" i="24"/>
  <c r="F228" i="24"/>
  <c r="E228" i="24"/>
  <c r="H227" i="24"/>
  <c r="G227" i="24"/>
  <c r="F227" i="24"/>
  <c r="E227" i="24"/>
  <c r="H226" i="24"/>
  <c r="G226" i="24"/>
  <c r="F226" i="24"/>
  <c r="E226" i="24"/>
  <c r="H225" i="24"/>
  <c r="G225" i="24"/>
  <c r="F225" i="24"/>
  <c r="E225" i="24"/>
  <c r="H439" i="24"/>
  <c r="G439" i="24"/>
  <c r="E439" i="24"/>
  <c r="H438" i="24"/>
  <c r="G438" i="24"/>
  <c r="F438" i="24"/>
  <c r="E438" i="24"/>
  <c r="H437" i="24"/>
  <c r="G437" i="24"/>
  <c r="F437" i="24"/>
  <c r="E437" i="24"/>
  <c r="H436" i="24"/>
  <c r="G436" i="24"/>
  <c r="F436" i="24"/>
  <c r="E436" i="24"/>
  <c r="H435" i="24"/>
  <c r="G435" i="24"/>
  <c r="E435" i="24"/>
  <c r="H434" i="24"/>
  <c r="G434" i="24"/>
  <c r="E434" i="24"/>
  <c r="H433" i="24"/>
  <c r="G433" i="24"/>
  <c r="F433" i="24"/>
  <c r="E433" i="24"/>
  <c r="H432" i="24"/>
  <c r="G432" i="24"/>
  <c r="E432" i="24"/>
  <c r="H431" i="24"/>
  <c r="G431" i="24"/>
  <c r="E431" i="24"/>
  <c r="H430" i="24"/>
  <c r="G430" i="24"/>
  <c r="F430" i="24"/>
  <c r="E430" i="24"/>
  <c r="H429" i="24"/>
  <c r="G429" i="24"/>
  <c r="E429" i="24"/>
  <c r="H428" i="24"/>
  <c r="G428" i="24"/>
  <c r="E428" i="24"/>
  <c r="H427" i="24"/>
  <c r="G427" i="24"/>
  <c r="E427" i="24"/>
  <c r="H426" i="24"/>
  <c r="G426" i="24"/>
  <c r="F426" i="24"/>
  <c r="E426" i="24"/>
  <c r="H425" i="24"/>
  <c r="G425" i="24"/>
  <c r="E425" i="24"/>
  <c r="H424" i="24"/>
  <c r="G424" i="24"/>
  <c r="F424" i="24"/>
  <c r="E424" i="24"/>
  <c r="H423" i="24"/>
  <c r="G423" i="24"/>
  <c r="F423" i="24"/>
  <c r="E423" i="24"/>
  <c r="H422" i="24"/>
  <c r="G422" i="24"/>
  <c r="F422" i="24"/>
  <c r="E422" i="24"/>
  <c r="H421" i="24"/>
  <c r="G421" i="24"/>
  <c r="F421" i="24"/>
  <c r="E421" i="24"/>
  <c r="H420" i="24"/>
  <c r="G420" i="24"/>
  <c r="F420" i="24"/>
  <c r="E420" i="24"/>
  <c r="H419" i="24"/>
  <c r="G419" i="24"/>
  <c r="F419" i="24"/>
  <c r="E419" i="24"/>
  <c r="H418" i="24"/>
  <c r="G418" i="24"/>
  <c r="F418" i="24"/>
  <c r="E418" i="24"/>
  <c r="H417" i="24"/>
  <c r="G417" i="24"/>
  <c r="F417" i="24"/>
  <c r="E417" i="24"/>
  <c r="H416" i="24"/>
  <c r="G416" i="24"/>
  <c r="F416" i="24"/>
  <c r="E416" i="24"/>
  <c r="H415" i="24"/>
  <c r="G415" i="24"/>
  <c r="F415" i="24"/>
  <c r="E415" i="24"/>
  <c r="H414" i="24"/>
  <c r="G414" i="24"/>
  <c r="F414" i="24"/>
  <c r="E414" i="24"/>
  <c r="H413" i="24"/>
  <c r="G413" i="24"/>
  <c r="F413" i="24"/>
  <c r="E413" i="24"/>
  <c r="H412" i="24"/>
  <c r="G412" i="24"/>
  <c r="F412" i="24"/>
  <c r="E412" i="24"/>
  <c r="H411" i="24"/>
  <c r="G411" i="24"/>
  <c r="F411" i="24"/>
  <c r="E411" i="24"/>
  <c r="H410" i="24"/>
  <c r="G410" i="24"/>
  <c r="F410" i="24"/>
  <c r="E410" i="24"/>
  <c r="H409" i="24"/>
  <c r="G409" i="24"/>
  <c r="E409" i="24"/>
  <c r="H408" i="24"/>
  <c r="G408" i="24"/>
  <c r="E408" i="24"/>
  <c r="H407" i="24"/>
  <c r="G407" i="24"/>
  <c r="E407" i="24"/>
  <c r="H406" i="24"/>
  <c r="G406" i="24"/>
  <c r="E406" i="24"/>
  <c r="H405" i="24"/>
  <c r="G405" i="24"/>
  <c r="E405" i="24"/>
  <c r="H404" i="24"/>
  <c r="G404" i="24"/>
  <c r="E404" i="24"/>
  <c r="H403" i="24"/>
  <c r="G403" i="24"/>
  <c r="E403" i="24"/>
  <c r="H402" i="24"/>
  <c r="G402" i="24"/>
  <c r="F402" i="24"/>
  <c r="E402" i="24"/>
  <c r="H401" i="24"/>
  <c r="G401" i="24"/>
  <c r="F401" i="24"/>
  <c r="E401" i="24"/>
  <c r="H400" i="24"/>
  <c r="G400" i="24"/>
  <c r="F400" i="24"/>
  <c r="E400" i="24"/>
  <c r="H399" i="24"/>
  <c r="G399" i="24"/>
  <c r="F399" i="24"/>
  <c r="E399" i="24"/>
  <c r="H398" i="24"/>
  <c r="G398" i="24"/>
  <c r="F398" i="24"/>
  <c r="E398" i="24"/>
  <c r="H397" i="24"/>
  <c r="G397" i="24"/>
  <c r="E397" i="24"/>
  <c r="H396" i="24"/>
  <c r="G396" i="24"/>
  <c r="E396" i="24"/>
  <c r="H395" i="24"/>
  <c r="G395" i="24"/>
  <c r="E395" i="24"/>
  <c r="H394" i="24"/>
  <c r="G394" i="24"/>
  <c r="E394" i="24"/>
  <c r="H393" i="24"/>
  <c r="G393" i="24"/>
  <c r="F393" i="24"/>
  <c r="E393" i="24"/>
  <c r="H392" i="24"/>
  <c r="G392" i="24"/>
  <c r="F392" i="24"/>
  <c r="E392" i="24"/>
  <c r="H391" i="24"/>
  <c r="G391" i="24"/>
  <c r="F391" i="24"/>
  <c r="E391" i="24"/>
  <c r="H390" i="24"/>
  <c r="G390" i="24"/>
  <c r="F390" i="24"/>
  <c r="E390" i="24"/>
  <c r="H389" i="24"/>
  <c r="G389" i="24"/>
  <c r="E389" i="24"/>
  <c r="H388" i="24"/>
  <c r="G388" i="24"/>
  <c r="E388" i="24"/>
  <c r="H387" i="24"/>
  <c r="G387" i="24"/>
  <c r="E387" i="24"/>
  <c r="H386" i="24"/>
  <c r="G386" i="24"/>
  <c r="F386" i="24"/>
  <c r="E386" i="24"/>
  <c r="H385" i="24"/>
  <c r="G385" i="24"/>
  <c r="F385" i="24"/>
  <c r="E385" i="24"/>
  <c r="H384" i="24"/>
  <c r="G384" i="24"/>
  <c r="F384" i="24"/>
  <c r="E384" i="24"/>
  <c r="H383" i="24"/>
  <c r="G383" i="24"/>
  <c r="F383" i="24"/>
  <c r="E383" i="24"/>
  <c r="H382" i="24"/>
  <c r="G382" i="24"/>
  <c r="F382" i="24"/>
  <c r="E382" i="24"/>
  <c r="H381" i="24"/>
  <c r="G381" i="24"/>
  <c r="F381" i="24"/>
  <c r="E381" i="24"/>
  <c r="H380" i="24"/>
  <c r="G380" i="24"/>
  <c r="F380" i="24"/>
  <c r="E380" i="24"/>
  <c r="H379" i="24"/>
  <c r="G379" i="24"/>
  <c r="F379" i="24"/>
  <c r="E379" i="24"/>
  <c r="H378" i="24"/>
  <c r="G378" i="24"/>
  <c r="F378" i="24"/>
  <c r="E378" i="24"/>
  <c r="H377" i="24"/>
  <c r="G377" i="24"/>
  <c r="F377" i="24"/>
  <c r="E377" i="24"/>
  <c r="H376" i="24"/>
  <c r="G376" i="24"/>
  <c r="F376" i="24"/>
  <c r="E376" i="24"/>
  <c r="H375" i="24"/>
  <c r="G375" i="24"/>
  <c r="F375" i="24"/>
  <c r="E375" i="24"/>
  <c r="H374" i="24"/>
  <c r="G374" i="24"/>
  <c r="E374" i="24"/>
  <c r="H373" i="24"/>
  <c r="G373" i="24"/>
  <c r="E373" i="24"/>
  <c r="H372" i="24"/>
  <c r="G372" i="24"/>
  <c r="E372" i="24"/>
  <c r="H371" i="24"/>
  <c r="G371" i="24"/>
  <c r="E371" i="24"/>
  <c r="H370" i="24"/>
  <c r="G370" i="24"/>
  <c r="E370" i="24"/>
  <c r="H369" i="24"/>
  <c r="G369" i="24"/>
  <c r="E369" i="24"/>
  <c r="H368" i="24"/>
  <c r="G368" i="24"/>
  <c r="E368" i="24"/>
  <c r="H367" i="24"/>
  <c r="G367" i="24"/>
  <c r="F367" i="24"/>
  <c r="E367" i="24"/>
  <c r="H366" i="24"/>
  <c r="G366" i="24"/>
  <c r="F366" i="24"/>
  <c r="E366" i="24"/>
  <c r="H365" i="24"/>
  <c r="G365" i="24"/>
  <c r="F365" i="24"/>
  <c r="E365" i="24"/>
  <c r="H364" i="24"/>
  <c r="G364" i="24"/>
  <c r="F364" i="24"/>
  <c r="E364" i="24"/>
  <c r="H363" i="24"/>
  <c r="G363" i="24"/>
  <c r="F363" i="24"/>
  <c r="E363" i="24"/>
  <c r="H362" i="24"/>
  <c r="G362" i="24"/>
  <c r="F362" i="24"/>
  <c r="E362" i="24"/>
  <c r="H361" i="24"/>
  <c r="G361" i="24"/>
  <c r="F361" i="24"/>
  <c r="E361" i="24"/>
  <c r="H360" i="24"/>
  <c r="G360" i="24"/>
  <c r="F360" i="24"/>
  <c r="E360" i="24"/>
  <c r="H359" i="24"/>
  <c r="G359" i="24"/>
  <c r="F359" i="24"/>
  <c r="E359" i="24"/>
  <c r="H358" i="24"/>
  <c r="G358" i="24"/>
  <c r="F358" i="24"/>
  <c r="E358" i="24"/>
  <c r="H357" i="24"/>
  <c r="G357" i="24"/>
  <c r="F357" i="24"/>
  <c r="E357" i="24"/>
  <c r="H356" i="24"/>
  <c r="G356" i="24"/>
  <c r="F356" i="24"/>
  <c r="E356" i="24"/>
  <c r="H355" i="24"/>
  <c r="G355" i="24"/>
  <c r="F355" i="24"/>
  <c r="E355" i="24"/>
  <c r="H354" i="24"/>
  <c r="G354" i="24"/>
  <c r="F354" i="24"/>
  <c r="E354" i="24"/>
  <c r="H353" i="24"/>
  <c r="G353" i="24"/>
  <c r="F353" i="24"/>
  <c r="E353" i="24"/>
  <c r="H352" i="24"/>
  <c r="G352" i="24"/>
  <c r="E352" i="24"/>
  <c r="H351" i="24"/>
  <c r="G351" i="24"/>
  <c r="E351" i="24"/>
  <c r="H350" i="24"/>
  <c r="G350" i="24"/>
  <c r="E350" i="24"/>
  <c r="H349" i="24"/>
  <c r="G349" i="24"/>
  <c r="E349" i="24"/>
  <c r="H348" i="24"/>
  <c r="G348" i="24"/>
  <c r="E348" i="24"/>
  <c r="H347" i="24"/>
  <c r="G347" i="24"/>
  <c r="E347" i="24"/>
  <c r="H346" i="24"/>
  <c r="G346" i="24"/>
  <c r="E346" i="24"/>
  <c r="H345" i="24"/>
  <c r="G345" i="24"/>
  <c r="E345" i="24"/>
  <c r="H344" i="24"/>
  <c r="G344" i="24"/>
  <c r="F344" i="24"/>
  <c r="E344" i="24"/>
  <c r="H343" i="24"/>
  <c r="G343" i="24"/>
  <c r="F343" i="24"/>
  <c r="E343" i="24"/>
  <c r="H342" i="24"/>
  <c r="G342" i="24"/>
  <c r="F342" i="24"/>
  <c r="E342" i="24"/>
  <c r="H341" i="24"/>
  <c r="G341" i="24"/>
  <c r="F341" i="24"/>
  <c r="E341" i="24"/>
  <c r="H340" i="24"/>
  <c r="G340" i="24"/>
  <c r="F340" i="24"/>
  <c r="E340" i="24"/>
  <c r="H339" i="24"/>
  <c r="G339" i="24"/>
  <c r="F339" i="24"/>
  <c r="E339" i="24"/>
  <c r="H338" i="24"/>
  <c r="G338" i="24"/>
  <c r="F338" i="24"/>
  <c r="E338" i="24"/>
  <c r="H337" i="24"/>
  <c r="G337" i="24"/>
  <c r="E337" i="24"/>
  <c r="H336" i="24"/>
  <c r="G336" i="24"/>
  <c r="E336" i="24"/>
  <c r="H335" i="24"/>
  <c r="G335" i="24"/>
  <c r="E335" i="24"/>
  <c r="H334" i="24"/>
  <c r="G334" i="24"/>
  <c r="E334" i="24"/>
  <c r="H333" i="24"/>
  <c r="G333" i="24"/>
  <c r="E333" i="24"/>
  <c r="H332" i="24"/>
  <c r="G332" i="24"/>
  <c r="E332" i="24"/>
  <c r="H331" i="24"/>
  <c r="G331" i="24"/>
  <c r="F331" i="24"/>
  <c r="E331" i="24"/>
  <c r="H330" i="24"/>
  <c r="G330" i="24"/>
  <c r="F330" i="24"/>
  <c r="E330" i="24"/>
  <c r="H329" i="24"/>
  <c r="G329" i="24"/>
  <c r="F329" i="24"/>
  <c r="E329" i="24"/>
  <c r="H328" i="24"/>
  <c r="G328" i="24"/>
  <c r="F328" i="24"/>
  <c r="E328" i="24"/>
  <c r="H327" i="24"/>
  <c r="G327" i="24"/>
  <c r="E327" i="24"/>
  <c r="H326" i="24"/>
  <c r="G326" i="24"/>
  <c r="E326" i="24"/>
  <c r="H325" i="24"/>
  <c r="G325" i="24"/>
  <c r="E325" i="24"/>
  <c r="H324" i="24"/>
  <c r="G324" i="24"/>
  <c r="E324" i="24"/>
  <c r="H323" i="24"/>
  <c r="G323" i="24"/>
  <c r="E323" i="24"/>
  <c r="H322" i="24"/>
  <c r="G322" i="24"/>
  <c r="E322" i="24"/>
  <c r="H321" i="24"/>
  <c r="G321" i="24"/>
  <c r="E321" i="24"/>
  <c r="H320" i="24"/>
  <c r="G320" i="24"/>
  <c r="F320" i="24"/>
  <c r="E320" i="24"/>
  <c r="H319" i="24"/>
  <c r="G319" i="24"/>
  <c r="F319" i="24"/>
  <c r="E319" i="24"/>
  <c r="H318" i="24"/>
  <c r="G318" i="24"/>
  <c r="F318" i="24"/>
  <c r="E318" i="24"/>
  <c r="H317" i="24"/>
  <c r="G317" i="24"/>
  <c r="F317" i="24"/>
  <c r="E317" i="24"/>
  <c r="H316" i="24"/>
  <c r="G316" i="24"/>
  <c r="F316" i="24"/>
  <c r="E316" i="24"/>
  <c r="H315" i="24"/>
  <c r="G315" i="24"/>
  <c r="F315" i="24"/>
  <c r="E315" i="24"/>
  <c r="H314" i="24"/>
  <c r="G314" i="24"/>
  <c r="F314" i="24"/>
  <c r="E314" i="24"/>
  <c r="H313" i="24"/>
  <c r="G313" i="24"/>
  <c r="F313" i="24"/>
  <c r="E313" i="24"/>
  <c r="H312" i="24"/>
  <c r="G312" i="24"/>
  <c r="F312" i="24"/>
  <c r="E312" i="24"/>
  <c r="H311" i="24"/>
  <c r="G311" i="24"/>
  <c r="F311" i="24"/>
  <c r="E311" i="24"/>
  <c r="H310" i="24"/>
  <c r="G310" i="24"/>
  <c r="F310" i="24"/>
  <c r="E310" i="24"/>
  <c r="H309" i="24"/>
  <c r="G309" i="24"/>
  <c r="E309" i="24"/>
  <c r="H308" i="24"/>
  <c r="G308" i="24"/>
  <c r="E308" i="24"/>
  <c r="H307" i="24"/>
  <c r="G307" i="24"/>
  <c r="E307" i="24"/>
  <c r="H306" i="24"/>
  <c r="G306" i="24"/>
  <c r="E306" i="24"/>
  <c r="H305" i="24"/>
  <c r="G305" i="24"/>
  <c r="E305" i="24"/>
  <c r="H304" i="24"/>
  <c r="G304" i="24"/>
  <c r="E304" i="24"/>
  <c r="H303" i="24"/>
  <c r="G303" i="24"/>
  <c r="E303" i="24"/>
  <c r="H302" i="24"/>
  <c r="G302" i="24"/>
  <c r="E302" i="24"/>
  <c r="H301" i="24"/>
  <c r="G301" i="24"/>
  <c r="E301" i="24"/>
  <c r="H300" i="24"/>
  <c r="G300" i="24"/>
  <c r="E300" i="24"/>
  <c r="H299" i="24"/>
  <c r="G299" i="24"/>
  <c r="F299" i="24"/>
  <c r="E299" i="24"/>
  <c r="H298" i="24"/>
  <c r="G298" i="24"/>
  <c r="F298" i="24"/>
  <c r="E298" i="24"/>
  <c r="H297" i="24"/>
  <c r="G297" i="24"/>
  <c r="F297" i="24"/>
  <c r="E297" i="24"/>
  <c r="H296" i="24"/>
  <c r="G296" i="24"/>
  <c r="F296" i="24"/>
  <c r="E296" i="24"/>
  <c r="H295" i="24"/>
  <c r="G295" i="24"/>
  <c r="F295" i="24"/>
  <c r="E295" i="24"/>
  <c r="H294" i="24"/>
  <c r="G294" i="24"/>
  <c r="F294" i="24"/>
  <c r="E294" i="24"/>
  <c r="H293" i="24"/>
  <c r="G293" i="24"/>
  <c r="F293" i="24"/>
  <c r="E293" i="24"/>
  <c r="H292" i="24"/>
  <c r="G292" i="24"/>
  <c r="F292" i="24"/>
  <c r="E292" i="24"/>
  <c r="H291" i="24"/>
  <c r="G291" i="24"/>
  <c r="F291" i="24"/>
  <c r="E291" i="24"/>
  <c r="H290" i="24"/>
  <c r="G290" i="24"/>
  <c r="F290" i="24"/>
  <c r="E290" i="24"/>
  <c r="H289" i="24"/>
  <c r="G289" i="24"/>
  <c r="F289" i="24"/>
  <c r="E289" i="24"/>
  <c r="H288" i="24"/>
  <c r="G288" i="24"/>
  <c r="F288" i="24"/>
  <c r="E288" i="24"/>
  <c r="H287" i="24"/>
  <c r="G287" i="24"/>
  <c r="F287" i="24"/>
  <c r="E287" i="24"/>
  <c r="H286" i="24"/>
  <c r="G286" i="24"/>
  <c r="F286" i="24"/>
  <c r="E286" i="24"/>
  <c r="H285" i="24"/>
  <c r="G285" i="24"/>
  <c r="F285" i="24"/>
  <c r="E285" i="24"/>
  <c r="H284" i="24"/>
  <c r="G284" i="24"/>
  <c r="F284" i="24"/>
  <c r="E284" i="24"/>
  <c r="H283" i="24"/>
  <c r="G283" i="24"/>
  <c r="F283" i="24"/>
  <c r="E283" i="24"/>
  <c r="H282" i="24"/>
  <c r="G282" i="24"/>
  <c r="E282" i="24"/>
  <c r="H281" i="24"/>
  <c r="G281" i="24"/>
  <c r="E281" i="24"/>
  <c r="H280" i="24"/>
  <c r="G280" i="24"/>
  <c r="E280" i="24"/>
  <c r="H279" i="24"/>
  <c r="G279" i="24"/>
  <c r="F279" i="24"/>
  <c r="E279" i="24"/>
  <c r="H278" i="24"/>
  <c r="G278" i="24"/>
  <c r="F278" i="24"/>
  <c r="E278" i="24"/>
  <c r="H277" i="24"/>
  <c r="G277" i="24"/>
  <c r="F277" i="24"/>
  <c r="E277" i="24"/>
  <c r="H276" i="24"/>
  <c r="G276" i="24"/>
  <c r="F276" i="24"/>
  <c r="E276" i="24"/>
  <c r="H275" i="24"/>
  <c r="G275" i="24"/>
  <c r="F275" i="24"/>
  <c r="E275" i="24"/>
  <c r="H274" i="24"/>
  <c r="G274" i="24"/>
  <c r="F274" i="24"/>
  <c r="E274" i="24"/>
  <c r="H273" i="24"/>
  <c r="G273" i="24"/>
  <c r="F273" i="24"/>
  <c r="E273" i="24"/>
  <c r="H272" i="24"/>
  <c r="G272" i="24"/>
  <c r="F272" i="24"/>
  <c r="E272" i="24"/>
  <c r="H271" i="24"/>
  <c r="G271" i="24"/>
  <c r="F271" i="24"/>
  <c r="E271" i="24"/>
  <c r="H270" i="24"/>
  <c r="G270" i="24"/>
  <c r="F270" i="24"/>
  <c r="E270" i="24"/>
  <c r="H269" i="24"/>
  <c r="G269" i="24"/>
  <c r="F269" i="24"/>
  <c r="E269" i="24"/>
  <c r="H268" i="24"/>
  <c r="G268" i="24"/>
  <c r="F268" i="24"/>
  <c r="E268" i="24"/>
  <c r="H267" i="24"/>
  <c r="G267" i="24"/>
  <c r="F267" i="24"/>
  <c r="E267" i="24"/>
  <c r="H266" i="24"/>
  <c r="G266" i="24"/>
  <c r="F266" i="24"/>
  <c r="E266" i="24"/>
  <c r="H265" i="24"/>
  <c r="G265" i="24"/>
  <c r="F265" i="24"/>
  <c r="E265" i="24"/>
  <c r="H264" i="24"/>
  <c r="G264" i="24"/>
  <c r="E264" i="24"/>
  <c r="H263" i="24"/>
  <c r="G263" i="24"/>
  <c r="E263" i="24"/>
  <c r="H262" i="24"/>
  <c r="G262" i="24"/>
  <c r="E262" i="24"/>
  <c r="H261" i="24"/>
  <c r="G261" i="24"/>
  <c r="E261" i="24"/>
  <c r="H260" i="24"/>
  <c r="G260" i="24"/>
  <c r="E260" i="24"/>
  <c r="H259" i="24"/>
  <c r="G259" i="24"/>
  <c r="E259" i="24"/>
  <c r="H258" i="24"/>
  <c r="G258" i="24"/>
  <c r="E258" i="24"/>
  <c r="H257" i="24"/>
  <c r="G257" i="24"/>
  <c r="E257" i="24"/>
  <c r="H256" i="24"/>
  <c r="G256" i="24"/>
  <c r="E256" i="24"/>
  <c r="H255" i="24"/>
  <c r="G255" i="24"/>
  <c r="E255" i="24"/>
  <c r="H254" i="24"/>
  <c r="G254" i="24"/>
  <c r="E254" i="24"/>
  <c r="H253" i="24"/>
  <c r="G253" i="24"/>
  <c r="E253" i="24"/>
  <c r="F220" i="24"/>
  <c r="H252" i="24"/>
  <c r="G252" i="24"/>
  <c r="E252" i="24"/>
  <c r="H251" i="24"/>
  <c r="G251" i="24"/>
  <c r="E251" i="24"/>
  <c r="H250" i="24"/>
  <c r="G250" i="24"/>
  <c r="E250" i="24"/>
  <c r="H249" i="24"/>
  <c r="G249" i="24"/>
  <c r="E249" i="24"/>
  <c r="H248" i="24"/>
  <c r="G248" i="24"/>
  <c r="F248" i="24"/>
  <c r="E248" i="24"/>
  <c r="H247" i="24"/>
  <c r="G247" i="24"/>
  <c r="F247" i="24"/>
  <c r="E247" i="24"/>
  <c r="H246" i="24"/>
  <c r="G246" i="24"/>
  <c r="F246" i="24"/>
  <c r="E246" i="24"/>
  <c r="H245" i="24"/>
  <c r="G245" i="24"/>
  <c r="F245" i="24"/>
  <c r="E245" i="24"/>
  <c r="H244" i="24"/>
  <c r="G244" i="24"/>
  <c r="F244" i="24"/>
  <c r="E244" i="24"/>
  <c r="H243" i="24"/>
  <c r="G243" i="24"/>
  <c r="E243" i="24"/>
  <c r="H242" i="24"/>
  <c r="G242" i="24"/>
  <c r="E242" i="24"/>
  <c r="H241" i="24"/>
  <c r="G241" i="24"/>
  <c r="E241" i="24"/>
  <c r="H240" i="24"/>
  <c r="G240" i="24"/>
  <c r="F240" i="24"/>
  <c r="E240" i="24"/>
  <c r="H239" i="24"/>
  <c r="G239" i="24"/>
  <c r="E239" i="24"/>
  <c r="H238" i="24"/>
  <c r="G238" i="24"/>
  <c r="E238" i="24"/>
  <c r="H237" i="24"/>
  <c r="G237" i="24"/>
  <c r="E237" i="24"/>
  <c r="H236" i="24"/>
  <c r="G236" i="24"/>
  <c r="E236" i="24"/>
  <c r="H235" i="24"/>
  <c r="G235" i="24"/>
  <c r="E235" i="24"/>
  <c r="H224" i="24"/>
  <c r="G224" i="24"/>
  <c r="E224" i="24"/>
  <c r="H223" i="24"/>
  <c r="G223" i="24"/>
  <c r="E223" i="24"/>
  <c r="H222" i="24"/>
  <c r="G222" i="24"/>
  <c r="E222" i="24"/>
  <c r="H221" i="24"/>
  <c r="G221" i="24"/>
  <c r="E221" i="24"/>
  <c r="H220" i="24"/>
  <c r="G220" i="24"/>
  <c r="E220" i="24"/>
  <c r="H219" i="24"/>
  <c r="G219" i="24"/>
  <c r="F219" i="24"/>
  <c r="E219" i="24"/>
  <c r="H218" i="24"/>
  <c r="G218" i="24"/>
  <c r="F218" i="24"/>
  <c r="E218" i="24"/>
  <c r="H217" i="24"/>
  <c r="G217" i="24"/>
  <c r="E217" i="24"/>
  <c r="H216" i="24"/>
  <c r="G216" i="24"/>
  <c r="E216" i="24"/>
  <c r="H215" i="24"/>
  <c r="G215" i="24"/>
  <c r="E215" i="24"/>
  <c r="H214" i="24"/>
  <c r="G214" i="24"/>
  <c r="E214" i="24"/>
  <c r="H213" i="24"/>
  <c r="G213" i="24"/>
  <c r="F213" i="24"/>
  <c r="E213" i="24"/>
  <c r="H212" i="24"/>
  <c r="G212" i="24"/>
  <c r="F212" i="24"/>
  <c r="E212" i="24"/>
  <c r="H211" i="24"/>
  <c r="G211" i="24"/>
  <c r="F211" i="24"/>
  <c r="E211" i="24"/>
  <c r="H210" i="24"/>
  <c r="G210" i="24"/>
  <c r="F210" i="24"/>
  <c r="E210" i="24"/>
  <c r="H209" i="24"/>
  <c r="G209" i="24"/>
  <c r="F209" i="24"/>
  <c r="E209" i="24"/>
  <c r="H208" i="24"/>
  <c r="G208" i="24"/>
  <c r="F208" i="24"/>
  <c r="E208" i="24"/>
  <c r="H207" i="24"/>
  <c r="G207" i="24"/>
  <c r="E207" i="24"/>
  <c r="H206" i="24"/>
  <c r="G206" i="24"/>
  <c r="E206" i="24"/>
  <c r="H205" i="24"/>
  <c r="G205" i="24"/>
  <c r="E205" i="24"/>
  <c r="H204" i="24"/>
  <c r="G204" i="24"/>
  <c r="E204" i="24"/>
  <c r="H203" i="24"/>
  <c r="G203" i="24"/>
  <c r="E203" i="24"/>
  <c r="H202" i="24"/>
  <c r="G202" i="24"/>
  <c r="E202" i="24"/>
  <c r="H201" i="24"/>
  <c r="G201" i="24"/>
  <c r="E201" i="24"/>
  <c r="H200" i="24"/>
  <c r="G200" i="24"/>
  <c r="F200" i="24"/>
  <c r="E200" i="24"/>
  <c r="H199" i="24"/>
  <c r="G199" i="24"/>
  <c r="F199" i="24"/>
  <c r="E199" i="24"/>
  <c r="H198" i="24"/>
  <c r="G198" i="24"/>
  <c r="F198" i="24"/>
  <c r="E198" i="24"/>
  <c r="H197" i="24"/>
  <c r="G197" i="24"/>
  <c r="F197" i="24"/>
  <c r="E197" i="24"/>
  <c r="H196" i="24"/>
  <c r="G196" i="24"/>
  <c r="E196" i="24"/>
  <c r="H195" i="24"/>
  <c r="G195" i="24"/>
  <c r="E195" i="24"/>
  <c r="H194" i="24"/>
  <c r="G194" i="24"/>
  <c r="E194" i="24"/>
  <c r="H193" i="24"/>
  <c r="G193" i="24"/>
  <c r="E193" i="24"/>
  <c r="H192" i="24"/>
  <c r="G192" i="24"/>
  <c r="E192" i="24"/>
  <c r="H191" i="24"/>
  <c r="G191" i="24"/>
  <c r="E191" i="24"/>
  <c r="H190" i="24"/>
  <c r="G190" i="24"/>
  <c r="E190" i="24"/>
  <c r="H189" i="24"/>
  <c r="G189" i="24"/>
  <c r="E189" i="24"/>
  <c r="H188" i="24"/>
  <c r="G188" i="24"/>
  <c r="F188" i="24"/>
  <c r="E188" i="24"/>
  <c r="H187" i="24"/>
  <c r="G187" i="24"/>
  <c r="F187" i="24"/>
  <c r="E187" i="24"/>
  <c r="H186" i="24"/>
  <c r="G186" i="24"/>
  <c r="F186" i="24"/>
  <c r="E186" i="24"/>
  <c r="H185" i="24"/>
  <c r="G185" i="24"/>
  <c r="F185" i="24"/>
  <c r="E185" i="24"/>
  <c r="H184" i="24"/>
  <c r="G184" i="24"/>
  <c r="F184" i="24"/>
  <c r="E184" i="24"/>
  <c r="H183" i="24"/>
  <c r="G183" i="24"/>
  <c r="F183" i="24"/>
  <c r="E183" i="24"/>
  <c r="H182" i="24"/>
  <c r="G182" i="24"/>
  <c r="F182" i="24"/>
  <c r="E182" i="24"/>
  <c r="H181" i="24"/>
  <c r="G181" i="24"/>
  <c r="F181" i="24"/>
  <c r="E181" i="24"/>
  <c r="H180" i="24"/>
  <c r="G180" i="24"/>
  <c r="F180" i="24"/>
  <c r="E180" i="24"/>
  <c r="H179" i="24"/>
  <c r="G179" i="24"/>
  <c r="F179" i="24"/>
  <c r="E179" i="24"/>
  <c r="H178" i="24"/>
  <c r="G178" i="24"/>
  <c r="F178" i="24"/>
  <c r="E178" i="24"/>
  <c r="H177" i="24"/>
  <c r="G177" i="24"/>
  <c r="F177" i="24"/>
  <c r="E177" i="24"/>
  <c r="H176" i="24"/>
  <c r="G176" i="24"/>
  <c r="F176" i="24"/>
  <c r="E176" i="24"/>
  <c r="H175" i="24"/>
  <c r="G175" i="24"/>
  <c r="F175" i="24"/>
  <c r="E175" i="24"/>
  <c r="H174" i="24"/>
  <c r="G174" i="24"/>
  <c r="F174" i="24"/>
  <c r="E174" i="24"/>
  <c r="H173" i="24"/>
  <c r="G173" i="24"/>
  <c r="F173" i="24"/>
  <c r="E173" i="24"/>
  <c r="H172" i="24"/>
  <c r="G172" i="24"/>
  <c r="F172" i="24"/>
  <c r="E172" i="24"/>
  <c r="H171" i="24"/>
  <c r="G171" i="24"/>
  <c r="F171" i="24"/>
  <c r="E171" i="24"/>
  <c r="H170" i="24"/>
  <c r="G170" i="24"/>
  <c r="F170" i="24"/>
  <c r="E170" i="24"/>
  <c r="H169" i="24"/>
  <c r="G169" i="24"/>
  <c r="F169" i="24"/>
  <c r="E169" i="24"/>
  <c r="H168" i="24"/>
  <c r="G168" i="24"/>
  <c r="F168" i="24"/>
  <c r="E168" i="24"/>
  <c r="H167" i="24"/>
  <c r="G167" i="24"/>
  <c r="F167" i="24"/>
  <c r="E167" i="24"/>
  <c r="H166" i="24"/>
  <c r="G166" i="24"/>
  <c r="F166" i="24"/>
  <c r="E166" i="24"/>
  <c r="H165" i="24"/>
  <c r="G165" i="24"/>
  <c r="F165" i="24"/>
  <c r="E165" i="24"/>
  <c r="H164" i="24"/>
  <c r="G164" i="24"/>
  <c r="F164" i="24"/>
  <c r="E164" i="24"/>
  <c r="H163" i="24"/>
  <c r="G163" i="24"/>
  <c r="F163" i="24"/>
  <c r="E163" i="24"/>
  <c r="H162" i="24"/>
  <c r="G162" i="24"/>
  <c r="F162" i="24"/>
  <c r="E162" i="24"/>
  <c r="H161" i="24"/>
  <c r="G161" i="24"/>
  <c r="F161" i="24"/>
  <c r="E161" i="24"/>
  <c r="H160" i="24"/>
  <c r="G160" i="24"/>
  <c r="F160" i="24"/>
  <c r="E160" i="24"/>
  <c r="H159" i="24"/>
  <c r="G159" i="24"/>
  <c r="E159" i="24"/>
  <c r="H158" i="24"/>
  <c r="G158" i="24"/>
  <c r="E158" i="24"/>
  <c r="H157" i="24"/>
  <c r="G157" i="24"/>
  <c r="E157" i="24"/>
  <c r="H156" i="24"/>
  <c r="G156" i="24"/>
  <c r="E156" i="24"/>
  <c r="H155" i="24"/>
  <c r="G155" i="24"/>
  <c r="E155" i="24"/>
  <c r="H154" i="24"/>
  <c r="G154" i="24"/>
  <c r="E154" i="24"/>
  <c r="H153" i="24"/>
  <c r="G153" i="24"/>
  <c r="E153" i="24"/>
  <c r="H152" i="24"/>
  <c r="G152" i="24"/>
  <c r="E152" i="24"/>
  <c r="H151" i="24"/>
  <c r="G151" i="24"/>
  <c r="E151" i="24"/>
  <c r="H150" i="24"/>
  <c r="G150" i="24"/>
  <c r="E150" i="24"/>
  <c r="H149" i="24"/>
  <c r="G149" i="24"/>
  <c r="E149" i="24"/>
  <c r="H148" i="24"/>
  <c r="G148" i="24"/>
  <c r="F148" i="24"/>
  <c r="E148" i="24"/>
  <c r="H147" i="24"/>
  <c r="G147" i="24"/>
  <c r="F147" i="24"/>
  <c r="E147" i="24"/>
  <c r="H146" i="24"/>
  <c r="G146" i="24"/>
  <c r="F146" i="24"/>
  <c r="E146" i="24"/>
  <c r="H145" i="24"/>
  <c r="G145" i="24"/>
  <c r="E145" i="24"/>
  <c r="H144" i="24"/>
  <c r="G144" i="24"/>
  <c r="E144" i="24"/>
  <c r="H143" i="24"/>
  <c r="G143" i="24"/>
  <c r="E143" i="24"/>
  <c r="H142" i="24"/>
  <c r="G142" i="24"/>
  <c r="E142" i="24"/>
  <c r="H141" i="24"/>
  <c r="G141" i="24"/>
  <c r="F141" i="24"/>
  <c r="E141" i="24"/>
  <c r="H140" i="24"/>
  <c r="G140" i="24"/>
  <c r="F140" i="24"/>
  <c r="E140" i="24"/>
  <c r="H139" i="24"/>
  <c r="G139" i="24"/>
  <c r="F139" i="24"/>
  <c r="E139" i="24"/>
  <c r="H138" i="24"/>
  <c r="G138" i="24"/>
  <c r="E138" i="24"/>
  <c r="H137" i="24"/>
  <c r="G137" i="24"/>
  <c r="E137" i="24"/>
  <c r="H136" i="24"/>
  <c r="G136" i="24"/>
  <c r="E136" i="24"/>
  <c r="H135" i="24"/>
  <c r="G135" i="24"/>
  <c r="F135" i="24"/>
  <c r="E135" i="24"/>
  <c r="H134" i="24"/>
  <c r="G134" i="24"/>
  <c r="F134" i="24"/>
  <c r="E134" i="24"/>
  <c r="H133" i="24"/>
  <c r="G133" i="24"/>
  <c r="E133" i="24"/>
  <c r="H132" i="24"/>
  <c r="G132" i="24"/>
  <c r="E132" i="24"/>
  <c r="H131" i="24"/>
  <c r="G131" i="24"/>
  <c r="E131" i="24"/>
  <c r="H130" i="24"/>
  <c r="G130" i="24"/>
  <c r="E130" i="24"/>
  <c r="H129" i="24"/>
  <c r="G129" i="24"/>
  <c r="E129" i="24"/>
  <c r="H128" i="24"/>
  <c r="G128" i="24"/>
  <c r="F128" i="24"/>
  <c r="E128" i="24"/>
  <c r="H127" i="24"/>
  <c r="G127" i="24"/>
  <c r="F127" i="24"/>
  <c r="E127" i="24"/>
  <c r="H126" i="24"/>
  <c r="G126" i="24"/>
  <c r="E126" i="24"/>
  <c r="H125" i="24"/>
  <c r="G125" i="24"/>
  <c r="E125" i="24"/>
  <c r="H124" i="24"/>
  <c r="G124" i="24"/>
  <c r="E124" i="24"/>
  <c r="H123" i="24"/>
  <c r="G123" i="24"/>
  <c r="E123" i="24"/>
  <c r="H122" i="24"/>
  <c r="G122" i="24"/>
  <c r="F122" i="24"/>
  <c r="E122" i="24"/>
  <c r="H121" i="24"/>
  <c r="G121" i="24"/>
  <c r="F121" i="24"/>
  <c r="E121" i="24"/>
  <c r="H120" i="24"/>
  <c r="G120" i="24"/>
  <c r="F120" i="24"/>
  <c r="E120" i="24"/>
  <c r="H119" i="24"/>
  <c r="G119" i="24"/>
  <c r="F119" i="24"/>
  <c r="E119" i="24"/>
  <c r="H118" i="24"/>
  <c r="G118" i="24"/>
  <c r="F118" i="24"/>
  <c r="E118" i="24"/>
  <c r="H117" i="24"/>
  <c r="G117" i="24"/>
  <c r="F117" i="24"/>
  <c r="E117" i="24"/>
  <c r="H85" i="24"/>
  <c r="G85" i="24"/>
  <c r="E85" i="24"/>
  <c r="H84" i="24"/>
  <c r="G84" i="24"/>
  <c r="E84" i="24"/>
  <c r="H83" i="24"/>
  <c r="G83" i="24"/>
  <c r="F83" i="24"/>
  <c r="E83" i="24"/>
  <c r="H82" i="24"/>
  <c r="G82" i="24"/>
  <c r="F82" i="24"/>
  <c r="E82" i="24"/>
  <c r="H81" i="24"/>
  <c r="G81" i="24"/>
  <c r="F81" i="24"/>
  <c r="E81" i="24"/>
  <c r="H80" i="24"/>
  <c r="G80" i="24"/>
  <c r="E80" i="24"/>
  <c r="H79" i="24"/>
  <c r="G79" i="24"/>
  <c r="E79" i="24"/>
  <c r="H78" i="24"/>
  <c r="G78" i="24"/>
  <c r="E78" i="24"/>
  <c r="H77" i="24"/>
  <c r="G77" i="24"/>
  <c r="E77" i="24"/>
  <c r="H76" i="24"/>
  <c r="G76" i="24"/>
  <c r="E76" i="24"/>
  <c r="H75" i="24"/>
  <c r="G75" i="24"/>
  <c r="F75" i="24"/>
  <c r="E75" i="24"/>
  <c r="H74" i="24"/>
  <c r="G74" i="24"/>
  <c r="F74" i="24"/>
  <c r="E74" i="24"/>
  <c r="H73" i="24"/>
  <c r="G73" i="24"/>
  <c r="F73" i="24"/>
  <c r="E73" i="24"/>
  <c r="H72" i="24"/>
  <c r="G72" i="24"/>
  <c r="F72" i="24"/>
  <c r="E72" i="24"/>
  <c r="H71" i="24"/>
  <c r="G71" i="24"/>
  <c r="F71" i="24"/>
  <c r="E71" i="24"/>
  <c r="H63" i="24"/>
  <c r="G63" i="24"/>
  <c r="F63" i="24"/>
  <c r="E63" i="24"/>
  <c r="G135" i="1" l="1"/>
  <c r="G143" i="1"/>
  <c r="G153" i="1"/>
  <c r="G161" i="1"/>
  <c r="G167" i="1"/>
  <c r="G176" i="1"/>
  <c r="G136" i="1"/>
  <c r="G154" i="1"/>
  <c r="G169" i="1"/>
  <c r="G177" i="1"/>
  <c r="G175" i="1"/>
  <c r="G137" i="1"/>
  <c r="G147" i="1"/>
  <c r="G155" i="1"/>
  <c r="G170" i="1"/>
  <c r="G142" i="1"/>
  <c r="G160" i="1"/>
  <c r="G166" i="1"/>
  <c r="G138" i="1"/>
  <c r="G148" i="1"/>
  <c r="G156" i="1"/>
  <c r="G171" i="1"/>
  <c r="G163" i="1"/>
  <c r="G134" i="1"/>
  <c r="G152" i="1"/>
  <c r="G131" i="1"/>
  <c r="G139" i="1"/>
  <c r="G149" i="1"/>
  <c r="G157" i="1"/>
  <c r="G172" i="1"/>
  <c r="G132" i="1"/>
  <c r="G140" i="1"/>
  <c r="G150" i="1"/>
  <c r="G158" i="1"/>
  <c r="G173" i="1"/>
  <c r="G179" i="1"/>
  <c r="G133" i="1"/>
  <c r="G141" i="1"/>
  <c r="G151" i="1"/>
  <c r="G159" i="1"/>
  <c r="G165" i="1"/>
  <c r="G174" i="1"/>
  <c r="H132" i="1"/>
  <c r="H140" i="1"/>
  <c r="H152" i="1"/>
  <c r="H160" i="1"/>
  <c r="H172" i="1"/>
  <c r="H151" i="1"/>
  <c r="H133" i="1"/>
  <c r="H141" i="1"/>
  <c r="H153" i="1"/>
  <c r="H161" i="1"/>
  <c r="H173" i="1"/>
  <c r="H134" i="1"/>
  <c r="H142" i="1"/>
  <c r="H154" i="1"/>
  <c r="H165" i="1"/>
  <c r="H174" i="1"/>
  <c r="H163" i="1"/>
  <c r="H135" i="1"/>
  <c r="H143" i="1"/>
  <c r="H147" i="1"/>
  <c r="H155" i="1"/>
  <c r="H166" i="1"/>
  <c r="H175" i="1"/>
  <c r="H136" i="1"/>
  <c r="H148" i="1"/>
  <c r="H156" i="1"/>
  <c r="H167" i="1"/>
  <c r="H176" i="1"/>
  <c r="H139" i="1"/>
  <c r="H137" i="1"/>
  <c r="H149" i="1"/>
  <c r="H157" i="1"/>
  <c r="H169" i="1"/>
  <c r="H177" i="1"/>
  <c r="H131" i="1"/>
  <c r="H171" i="1"/>
  <c r="H138" i="1"/>
  <c r="H179" i="1"/>
  <c r="H150" i="1"/>
  <c r="H158" i="1"/>
  <c r="H170" i="1"/>
  <c r="H159" i="1"/>
  <c r="F153" i="6"/>
  <c r="I137" i="1"/>
  <c r="I151" i="1"/>
  <c r="I159" i="1"/>
  <c r="I169" i="1"/>
  <c r="I177" i="1"/>
  <c r="I167" i="1"/>
  <c r="I138" i="1"/>
  <c r="I152" i="1"/>
  <c r="I160" i="1"/>
  <c r="I170" i="1"/>
  <c r="I163" i="1"/>
  <c r="I131" i="1"/>
  <c r="I139" i="1"/>
  <c r="I153" i="1"/>
  <c r="I161" i="1"/>
  <c r="I171" i="1"/>
  <c r="I158" i="1"/>
  <c r="I132" i="1"/>
  <c r="I140" i="1"/>
  <c r="I154" i="1"/>
  <c r="I172" i="1"/>
  <c r="I176" i="1"/>
  <c r="I133" i="1"/>
  <c r="I141" i="1"/>
  <c r="I147" i="1"/>
  <c r="I155" i="1"/>
  <c r="I173" i="1"/>
  <c r="I150" i="1"/>
  <c r="I134" i="1"/>
  <c r="I142" i="1"/>
  <c r="I179" i="1"/>
  <c r="I148" i="1"/>
  <c r="I156" i="1"/>
  <c r="I165" i="1"/>
  <c r="I174" i="1"/>
  <c r="I135" i="1"/>
  <c r="I143" i="1"/>
  <c r="I149" i="1"/>
  <c r="I157" i="1"/>
  <c r="I166" i="1"/>
  <c r="I175" i="1"/>
  <c r="I136" i="1"/>
  <c r="E133" i="1"/>
  <c r="E141" i="1"/>
  <c r="E147" i="1"/>
  <c r="E155" i="1"/>
  <c r="E165" i="1"/>
  <c r="E174" i="1"/>
  <c r="E173" i="1"/>
  <c r="E134" i="1"/>
  <c r="E142" i="1"/>
  <c r="E179" i="1"/>
  <c r="E148" i="1"/>
  <c r="E156" i="1"/>
  <c r="E166" i="1"/>
  <c r="E175" i="1"/>
  <c r="E132" i="1"/>
  <c r="E154" i="1"/>
  <c r="E135" i="1"/>
  <c r="E143" i="1"/>
  <c r="E149" i="1"/>
  <c r="E157" i="1"/>
  <c r="E167" i="1"/>
  <c r="E176" i="1"/>
  <c r="E140" i="1"/>
  <c r="E136" i="1"/>
  <c r="E150" i="1"/>
  <c r="E158" i="1"/>
  <c r="E169" i="1"/>
  <c r="E177" i="1"/>
  <c r="E137" i="1"/>
  <c r="E151" i="1"/>
  <c r="E159" i="1"/>
  <c r="E170" i="1"/>
  <c r="E138" i="1"/>
  <c r="E152" i="1"/>
  <c r="E160" i="1"/>
  <c r="E171" i="1"/>
  <c r="E163" i="1"/>
  <c r="E131" i="1"/>
  <c r="E139" i="1"/>
  <c r="E153" i="1"/>
  <c r="E161" i="1"/>
  <c r="E172" i="1"/>
  <c r="F138" i="1"/>
  <c r="F179" i="1"/>
  <c r="F154" i="1"/>
  <c r="F170" i="1"/>
  <c r="F137" i="1"/>
  <c r="F131" i="1"/>
  <c r="F139" i="1"/>
  <c r="F147" i="1"/>
  <c r="F155" i="1"/>
  <c r="F171" i="1"/>
  <c r="F132" i="1"/>
  <c r="F140" i="1"/>
  <c r="F148" i="1"/>
  <c r="F156" i="1"/>
  <c r="F172" i="1"/>
  <c r="F133" i="1"/>
  <c r="F141" i="1"/>
  <c r="F149" i="1"/>
  <c r="F157" i="1"/>
  <c r="F173" i="1"/>
  <c r="F134" i="1"/>
  <c r="F142" i="1"/>
  <c r="F150" i="1"/>
  <c r="F158" i="1"/>
  <c r="F165" i="1"/>
  <c r="F174" i="1"/>
  <c r="F163" i="1"/>
  <c r="F153" i="1"/>
  <c r="F169" i="1"/>
  <c r="F135" i="1"/>
  <c r="F143" i="1"/>
  <c r="F151" i="1"/>
  <c r="F159" i="1"/>
  <c r="F166" i="1"/>
  <c r="F175" i="1"/>
  <c r="F161" i="1"/>
  <c r="F136" i="1"/>
  <c r="F152" i="1"/>
  <c r="F160" i="1"/>
  <c r="F167" i="1"/>
  <c r="F176" i="1"/>
  <c r="F177" i="1"/>
  <c r="C131" i="1"/>
  <c r="C139" i="1"/>
  <c r="C149" i="1"/>
  <c r="C157" i="1"/>
  <c r="B140" i="1"/>
  <c r="C132" i="1"/>
  <c r="C140" i="1"/>
  <c r="C150" i="1"/>
  <c r="C158" i="1"/>
  <c r="B141" i="1"/>
  <c r="C138" i="1"/>
  <c r="C133" i="1"/>
  <c r="C141" i="1"/>
  <c r="C151" i="1"/>
  <c r="C159" i="1"/>
  <c r="B142" i="1"/>
  <c r="C134" i="1"/>
  <c r="C142" i="1"/>
  <c r="C179" i="1"/>
  <c r="C152" i="1"/>
  <c r="C160" i="1"/>
  <c r="B143" i="1"/>
  <c r="B139" i="1"/>
  <c r="C135" i="1"/>
  <c r="C143" i="1"/>
  <c r="C153" i="1"/>
  <c r="C161" i="1"/>
  <c r="C156" i="1"/>
  <c r="C136" i="1"/>
  <c r="C154" i="1"/>
  <c r="B131" i="1"/>
  <c r="C137" i="1"/>
  <c r="C147" i="1"/>
  <c r="C155" i="1"/>
  <c r="B132" i="1"/>
  <c r="C148" i="1"/>
  <c r="B137" i="1"/>
  <c r="B136" i="1"/>
  <c r="B135" i="1"/>
  <c r="B134" i="1"/>
  <c r="B133" i="1"/>
  <c r="B138" i="1"/>
  <c r="D136" i="1"/>
  <c r="D147" i="1"/>
  <c r="D155" i="1"/>
  <c r="D167" i="1"/>
  <c r="D176" i="1"/>
  <c r="D135" i="1"/>
  <c r="D161" i="1"/>
  <c r="D137" i="1"/>
  <c r="D148" i="1"/>
  <c r="D156" i="1"/>
  <c r="D169" i="1"/>
  <c r="D177" i="1"/>
  <c r="D138" i="1"/>
  <c r="D179" i="1"/>
  <c r="D149" i="1"/>
  <c r="D157" i="1"/>
  <c r="D170" i="1"/>
  <c r="D163" i="1"/>
  <c r="D154" i="1"/>
  <c r="D175" i="1"/>
  <c r="D131" i="1"/>
  <c r="D139" i="1"/>
  <c r="D150" i="1"/>
  <c r="D158" i="1"/>
  <c r="D171" i="1"/>
  <c r="D132" i="1"/>
  <c r="D140" i="1"/>
  <c r="D151" i="1"/>
  <c r="D159" i="1"/>
  <c r="D172" i="1"/>
  <c r="D133" i="1"/>
  <c r="D141" i="1"/>
  <c r="D152" i="1"/>
  <c r="D160" i="1"/>
  <c r="D173" i="1"/>
  <c r="D166" i="1"/>
  <c r="D134" i="1"/>
  <c r="D142" i="1"/>
  <c r="D153" i="1"/>
  <c r="D165" i="1"/>
  <c r="D174" i="1"/>
  <c r="D143" i="1"/>
  <c r="B148" i="1"/>
  <c r="B147" i="1"/>
  <c r="I10" i="8"/>
  <c r="G180" i="1"/>
  <c r="E181" i="1"/>
  <c r="I181" i="1"/>
  <c r="G182" i="1"/>
  <c r="C166" i="1"/>
  <c r="C171" i="1"/>
  <c r="C175" i="1"/>
  <c r="D180" i="1"/>
  <c r="H180" i="1"/>
  <c r="F181" i="1"/>
  <c r="D182" i="1"/>
  <c r="H182" i="1"/>
  <c r="C180" i="1"/>
  <c r="T34" i="2"/>
  <c r="C167" i="1"/>
  <c r="C172" i="1"/>
  <c r="C176" i="1"/>
  <c r="F180" i="1"/>
  <c r="H181" i="1"/>
  <c r="C182" i="1"/>
  <c r="C165" i="1"/>
  <c r="C174" i="1"/>
  <c r="I180" i="1"/>
  <c r="E182" i="1"/>
  <c r="E180" i="1"/>
  <c r="I182" i="1"/>
  <c r="C169" i="1"/>
  <c r="C163" i="1"/>
  <c r="D181" i="1"/>
  <c r="C170" i="1"/>
  <c r="G181" i="1"/>
  <c r="C181" i="1"/>
  <c r="C173" i="1"/>
  <c r="F182" i="1"/>
  <c r="C177" i="1"/>
  <c r="I6" i="8"/>
  <c r="H6" i="8"/>
  <c r="I5" i="8"/>
  <c r="H5" i="8"/>
  <c r="I7" i="8"/>
  <c r="H7" i="8"/>
  <c r="H8" i="8"/>
  <c r="I8" i="8"/>
  <c r="B172" i="1"/>
  <c r="B176" i="1"/>
  <c r="B182" i="1"/>
  <c r="B174" i="1"/>
  <c r="B170" i="1"/>
  <c r="B175" i="1"/>
  <c r="B171" i="1"/>
  <c r="B177" i="1"/>
  <c r="B173" i="1"/>
  <c r="B180" i="1"/>
  <c r="B169" i="1"/>
  <c r="B181" i="1"/>
  <c r="H4" i="8"/>
  <c r="I235" i="24"/>
  <c r="K235" i="24" s="1"/>
  <c r="I236" i="24"/>
  <c r="K236" i="24" s="1"/>
  <c r="I302" i="24"/>
  <c r="K302" i="24" s="1"/>
  <c r="I306" i="24"/>
  <c r="K306" i="24" s="1"/>
  <c r="I325" i="24"/>
  <c r="K325" i="24" s="1"/>
  <c r="I333" i="24"/>
  <c r="K333" i="24" s="1"/>
  <c r="I337" i="24"/>
  <c r="K337" i="24" s="1"/>
  <c r="I372" i="24"/>
  <c r="K372" i="24" s="1"/>
  <c r="I397" i="24"/>
  <c r="K397" i="24" s="1"/>
  <c r="I282" i="24"/>
  <c r="K282" i="24" s="1"/>
  <c r="I305" i="24"/>
  <c r="K305" i="24" s="1"/>
  <c r="I309" i="24"/>
  <c r="K309" i="24" s="1"/>
  <c r="I324" i="24"/>
  <c r="K324" i="24" s="1"/>
  <c r="I332" i="24"/>
  <c r="K332" i="24" s="1"/>
  <c r="I336" i="24"/>
  <c r="K336" i="24" s="1"/>
  <c r="I370" i="24"/>
  <c r="K370" i="24" s="1"/>
  <c r="I396" i="24"/>
  <c r="K396" i="24" s="1"/>
  <c r="I225" i="24"/>
  <c r="K225" i="24" s="1"/>
  <c r="I229" i="24"/>
  <c r="K229" i="24" s="1"/>
  <c r="I281" i="24"/>
  <c r="K281" i="24" s="1"/>
  <c r="I304" i="24"/>
  <c r="K304" i="24" s="1"/>
  <c r="I308" i="24"/>
  <c r="K308" i="24" s="1"/>
  <c r="I323" i="24"/>
  <c r="K323" i="24" s="1"/>
  <c r="I327" i="24"/>
  <c r="K327" i="24" s="1"/>
  <c r="I335" i="24"/>
  <c r="K335" i="24" s="1"/>
  <c r="I369" i="24"/>
  <c r="K369" i="24" s="1"/>
  <c r="I374" i="24"/>
  <c r="K374" i="24" s="1"/>
  <c r="I226" i="24"/>
  <c r="K226" i="24" s="1"/>
  <c r="I227" i="24"/>
  <c r="K227" i="24" s="1"/>
  <c r="I228" i="24"/>
  <c r="K228" i="24" s="1"/>
  <c r="I241" i="24"/>
  <c r="K241" i="24" s="1"/>
  <c r="I250" i="24"/>
  <c r="K250" i="24" s="1"/>
  <c r="I253" i="24"/>
  <c r="K253" i="24" s="1"/>
  <c r="I280" i="24"/>
  <c r="K280" i="24" s="1"/>
  <c r="I303" i="24"/>
  <c r="K303" i="24" s="1"/>
  <c r="I307" i="24"/>
  <c r="K307" i="24" s="1"/>
  <c r="I322" i="24"/>
  <c r="K322" i="24" s="1"/>
  <c r="I326" i="24"/>
  <c r="K326" i="24" s="1"/>
  <c r="I334" i="24"/>
  <c r="K334" i="24" s="1"/>
  <c r="I368" i="24"/>
  <c r="K368" i="24" s="1"/>
  <c r="I373" i="24"/>
  <c r="K373" i="24" s="1"/>
  <c r="I429" i="24"/>
  <c r="K429" i="24" s="1"/>
  <c r="I230" i="24"/>
  <c r="K230" i="24" s="1"/>
  <c r="I231" i="24"/>
  <c r="K231" i="24" s="1"/>
  <c r="I232" i="24"/>
  <c r="K232" i="24" s="1"/>
  <c r="I233" i="24"/>
  <c r="K233" i="24" s="1"/>
  <c r="I234" i="24"/>
  <c r="K234" i="24" s="1"/>
  <c r="I371" i="24"/>
  <c r="K371" i="24" s="1"/>
  <c r="I402" i="24"/>
  <c r="K402" i="24" s="1"/>
  <c r="I438" i="24"/>
  <c r="K438" i="24" s="1"/>
  <c r="I430" i="24"/>
  <c r="K430" i="24" s="1"/>
  <c r="I412" i="24"/>
  <c r="K412" i="24" s="1"/>
  <c r="I401" i="24"/>
  <c r="K401" i="24" s="1"/>
  <c r="I400" i="24"/>
  <c r="K400" i="24" s="1"/>
  <c r="I399" i="24"/>
  <c r="K399" i="24" s="1"/>
  <c r="I398" i="24"/>
  <c r="K398" i="24" s="1"/>
  <c r="I378" i="24"/>
  <c r="K378" i="24" s="1"/>
  <c r="I403" i="24"/>
  <c r="K403" i="24" s="1"/>
  <c r="I404" i="24"/>
  <c r="K404" i="24" s="1"/>
  <c r="I405" i="24"/>
  <c r="K405" i="24" s="1"/>
  <c r="I406" i="24"/>
  <c r="K406" i="24" s="1"/>
  <c r="I407" i="24"/>
  <c r="K407" i="24" s="1"/>
  <c r="I408" i="24"/>
  <c r="K408" i="24" s="1"/>
  <c r="I409" i="24"/>
  <c r="K409" i="24" s="1"/>
  <c r="I410" i="24"/>
  <c r="K410" i="24" s="1"/>
  <c r="I411" i="24"/>
  <c r="K411" i="24" s="1"/>
  <c r="I428" i="24"/>
  <c r="K428" i="24" s="1"/>
  <c r="I416" i="24"/>
  <c r="K416" i="24" s="1"/>
  <c r="I431" i="24"/>
  <c r="K431" i="24" s="1"/>
  <c r="I432" i="24"/>
  <c r="K432" i="24" s="1"/>
  <c r="I433" i="24"/>
  <c r="K433" i="24" s="1"/>
  <c r="I434" i="24"/>
  <c r="K434" i="24" s="1"/>
  <c r="I435" i="24"/>
  <c r="K435" i="24" s="1"/>
  <c r="I436" i="24"/>
  <c r="K436" i="24" s="1"/>
  <c r="I437" i="24"/>
  <c r="K437" i="24" s="1"/>
  <c r="I375" i="24"/>
  <c r="K375" i="24" s="1"/>
  <c r="I376" i="24"/>
  <c r="K376" i="24" s="1"/>
  <c r="I377" i="24"/>
  <c r="K377" i="24" s="1"/>
  <c r="I413" i="24"/>
  <c r="K413" i="24" s="1"/>
  <c r="I414" i="24"/>
  <c r="K414" i="24" s="1"/>
  <c r="I415" i="24"/>
  <c r="K415" i="24" s="1"/>
  <c r="I439" i="24"/>
  <c r="K439" i="24" s="1"/>
  <c r="I379" i="24"/>
  <c r="K379" i="24" s="1"/>
  <c r="I380" i="24"/>
  <c r="K380" i="24" s="1"/>
  <c r="I381" i="24"/>
  <c r="K381" i="24" s="1"/>
  <c r="I382" i="24"/>
  <c r="K382" i="24" s="1"/>
  <c r="I383" i="24"/>
  <c r="K383" i="24" s="1"/>
  <c r="I384" i="24"/>
  <c r="K384" i="24" s="1"/>
  <c r="I385" i="24"/>
  <c r="K385" i="24" s="1"/>
  <c r="I386" i="24"/>
  <c r="K386" i="24" s="1"/>
  <c r="I387" i="24"/>
  <c r="K387" i="24" s="1"/>
  <c r="I388" i="24"/>
  <c r="K388" i="24" s="1"/>
  <c r="I389" i="24"/>
  <c r="K389" i="24" s="1"/>
  <c r="I390" i="24"/>
  <c r="K390" i="24" s="1"/>
  <c r="I391" i="24"/>
  <c r="K391" i="24" s="1"/>
  <c r="I392" i="24"/>
  <c r="K392" i="24" s="1"/>
  <c r="I393" i="24"/>
  <c r="K393" i="24" s="1"/>
  <c r="I394" i="24"/>
  <c r="K394" i="24" s="1"/>
  <c r="I395" i="24"/>
  <c r="K395" i="24" s="1"/>
  <c r="I417" i="24"/>
  <c r="K417" i="24" s="1"/>
  <c r="I418" i="24"/>
  <c r="K418" i="24" s="1"/>
  <c r="I419" i="24"/>
  <c r="K419" i="24" s="1"/>
  <c r="I420" i="24"/>
  <c r="K420" i="24" s="1"/>
  <c r="I421" i="24"/>
  <c r="K421" i="24" s="1"/>
  <c r="I422" i="24"/>
  <c r="K422" i="24" s="1"/>
  <c r="I423" i="24"/>
  <c r="K423" i="24" s="1"/>
  <c r="I424" i="24"/>
  <c r="K424" i="24" s="1"/>
  <c r="I425" i="24"/>
  <c r="K425" i="24" s="1"/>
  <c r="I426" i="24"/>
  <c r="K426" i="24" s="1"/>
  <c r="I427" i="24"/>
  <c r="K427" i="24" s="1"/>
  <c r="I366" i="24"/>
  <c r="K366" i="24" s="1"/>
  <c r="I367" i="24"/>
  <c r="K367" i="24" s="1"/>
  <c r="I365" i="24"/>
  <c r="K365" i="24" s="1"/>
  <c r="I359" i="24"/>
  <c r="K359" i="24" s="1"/>
  <c r="I357" i="24"/>
  <c r="K357" i="24" s="1"/>
  <c r="I353" i="24"/>
  <c r="K353" i="24" s="1"/>
  <c r="I354" i="24"/>
  <c r="K354" i="24" s="1"/>
  <c r="I355" i="24"/>
  <c r="K355" i="24" s="1"/>
  <c r="I356" i="24"/>
  <c r="K356" i="24" s="1"/>
  <c r="I358" i="24"/>
  <c r="K358" i="24" s="1"/>
  <c r="I360" i="24"/>
  <c r="K360" i="24" s="1"/>
  <c r="I361" i="24"/>
  <c r="K361" i="24" s="1"/>
  <c r="I362" i="24"/>
  <c r="K362" i="24" s="1"/>
  <c r="I363" i="24"/>
  <c r="K363" i="24" s="1"/>
  <c r="I364" i="24"/>
  <c r="K364" i="24" s="1"/>
  <c r="I338" i="24"/>
  <c r="K338" i="24" s="1"/>
  <c r="I339" i="24"/>
  <c r="K339" i="24" s="1"/>
  <c r="I340" i="24"/>
  <c r="K340" i="24" s="1"/>
  <c r="I341" i="24"/>
  <c r="K341" i="24" s="1"/>
  <c r="I342" i="24"/>
  <c r="K342" i="24" s="1"/>
  <c r="I343" i="24"/>
  <c r="K343" i="24" s="1"/>
  <c r="I344" i="24"/>
  <c r="K344" i="24" s="1"/>
  <c r="I345" i="24"/>
  <c r="K345" i="24" s="1"/>
  <c r="I346" i="24"/>
  <c r="K346" i="24" s="1"/>
  <c r="I347" i="24"/>
  <c r="K347" i="24" s="1"/>
  <c r="I348" i="24"/>
  <c r="K348" i="24" s="1"/>
  <c r="I349" i="24"/>
  <c r="K349" i="24" s="1"/>
  <c r="I350" i="24"/>
  <c r="K350" i="24" s="1"/>
  <c r="I351" i="24"/>
  <c r="K351" i="24" s="1"/>
  <c r="I352" i="24"/>
  <c r="K352" i="24" s="1"/>
  <c r="I328" i="24"/>
  <c r="K328" i="24" s="1"/>
  <c r="I329" i="24"/>
  <c r="K329" i="24" s="1"/>
  <c r="I331" i="24"/>
  <c r="K331" i="24" s="1"/>
  <c r="I330" i="24"/>
  <c r="K330" i="24" s="1"/>
  <c r="I314" i="24"/>
  <c r="K314" i="24" s="1"/>
  <c r="I310" i="24"/>
  <c r="K310" i="24" s="1"/>
  <c r="I311" i="24"/>
  <c r="K311" i="24" s="1"/>
  <c r="I312" i="24"/>
  <c r="K312" i="24" s="1"/>
  <c r="I313" i="24"/>
  <c r="K313" i="24" s="1"/>
  <c r="I315" i="24"/>
  <c r="K315" i="24" s="1"/>
  <c r="I316" i="24"/>
  <c r="K316" i="24" s="1"/>
  <c r="I317" i="24"/>
  <c r="K317" i="24" s="1"/>
  <c r="I318" i="24"/>
  <c r="K318" i="24" s="1"/>
  <c r="I319" i="24"/>
  <c r="K319" i="24" s="1"/>
  <c r="I320" i="24"/>
  <c r="K320" i="24" s="1"/>
  <c r="I321" i="24"/>
  <c r="K321" i="24" s="1"/>
  <c r="I299" i="24"/>
  <c r="K299" i="24" s="1"/>
  <c r="I301" i="24"/>
  <c r="K301" i="24" s="1"/>
  <c r="I300" i="24"/>
  <c r="K300" i="24" s="1"/>
  <c r="I298" i="24"/>
  <c r="K298" i="24" s="1"/>
  <c r="I296" i="24"/>
  <c r="K296" i="24" s="1"/>
  <c r="I292" i="24"/>
  <c r="K292" i="24" s="1"/>
  <c r="I283" i="24"/>
  <c r="K283" i="24" s="1"/>
  <c r="I284" i="24"/>
  <c r="K284" i="24" s="1"/>
  <c r="I285" i="24"/>
  <c r="K285" i="24" s="1"/>
  <c r="I286" i="24"/>
  <c r="K286" i="24" s="1"/>
  <c r="I287" i="24"/>
  <c r="K287" i="24" s="1"/>
  <c r="I288" i="24"/>
  <c r="K288" i="24" s="1"/>
  <c r="I289" i="24"/>
  <c r="K289" i="24" s="1"/>
  <c r="I290" i="24"/>
  <c r="K290" i="24" s="1"/>
  <c r="I291" i="24"/>
  <c r="K291" i="24" s="1"/>
  <c r="I293" i="24"/>
  <c r="K293" i="24" s="1"/>
  <c r="I294" i="24"/>
  <c r="K294" i="24" s="1"/>
  <c r="I295" i="24"/>
  <c r="K295" i="24" s="1"/>
  <c r="I297" i="24"/>
  <c r="K297" i="24" s="1"/>
  <c r="I273" i="24"/>
  <c r="K273" i="24" s="1"/>
  <c r="I277" i="24"/>
  <c r="K277" i="24" s="1"/>
  <c r="I278" i="24"/>
  <c r="K278" i="24" s="1"/>
  <c r="I279" i="24"/>
  <c r="K279" i="24" s="1"/>
  <c r="I274" i="24"/>
  <c r="K274" i="24" s="1"/>
  <c r="I262" i="24"/>
  <c r="K262" i="24" s="1"/>
  <c r="I263" i="24"/>
  <c r="K263" i="24" s="1"/>
  <c r="I264" i="24"/>
  <c r="K264" i="24" s="1"/>
  <c r="I265" i="24"/>
  <c r="K265" i="24" s="1"/>
  <c r="I266" i="24"/>
  <c r="K266" i="24" s="1"/>
  <c r="I267" i="24"/>
  <c r="K267" i="24" s="1"/>
  <c r="I268" i="24"/>
  <c r="K268" i="24" s="1"/>
  <c r="I269" i="24"/>
  <c r="K269" i="24" s="1"/>
  <c r="I270" i="24"/>
  <c r="K270" i="24" s="1"/>
  <c r="I271" i="24"/>
  <c r="K271" i="24" s="1"/>
  <c r="I272" i="24"/>
  <c r="K272" i="24" s="1"/>
  <c r="I275" i="24"/>
  <c r="K275" i="24" s="1"/>
  <c r="I276" i="24"/>
  <c r="K276" i="24" s="1"/>
  <c r="I257" i="24"/>
  <c r="K257" i="24" s="1"/>
  <c r="I258" i="24"/>
  <c r="K258" i="24" s="1"/>
  <c r="I259" i="24"/>
  <c r="K259" i="24" s="1"/>
  <c r="I260" i="24"/>
  <c r="K260" i="24" s="1"/>
  <c r="I261" i="24"/>
  <c r="K261" i="24" s="1"/>
  <c r="I239" i="24"/>
  <c r="K239" i="24" s="1"/>
  <c r="I240" i="24"/>
  <c r="K240" i="24" s="1"/>
  <c r="I249" i="24"/>
  <c r="K249" i="24" s="1"/>
  <c r="I256" i="24"/>
  <c r="K256" i="24" s="1"/>
  <c r="I238" i="24"/>
  <c r="K238" i="24" s="1"/>
  <c r="I243" i="24"/>
  <c r="K243" i="24" s="1"/>
  <c r="I252" i="24"/>
  <c r="K252" i="24" s="1"/>
  <c r="I255" i="24"/>
  <c r="K255" i="24" s="1"/>
  <c r="I204" i="24"/>
  <c r="K204" i="24" s="1"/>
  <c r="I214" i="24"/>
  <c r="K214" i="24" s="1"/>
  <c r="I224" i="24"/>
  <c r="K224" i="24" s="1"/>
  <c r="I237" i="24"/>
  <c r="K237" i="24" s="1"/>
  <c r="I242" i="24"/>
  <c r="K242" i="24" s="1"/>
  <c r="I251" i="24"/>
  <c r="K251" i="24" s="1"/>
  <c r="I254" i="24"/>
  <c r="K254" i="24" s="1"/>
  <c r="I244" i="24"/>
  <c r="K244" i="24" s="1"/>
  <c r="I245" i="24"/>
  <c r="K245" i="24" s="1"/>
  <c r="I246" i="24"/>
  <c r="K246" i="24" s="1"/>
  <c r="I247" i="24"/>
  <c r="K247" i="24" s="1"/>
  <c r="I248" i="24"/>
  <c r="K248" i="24" s="1"/>
  <c r="I220" i="24"/>
  <c r="K220" i="24" s="1"/>
  <c r="I208" i="24"/>
  <c r="K208" i="24" s="1"/>
  <c r="I209" i="24"/>
  <c r="K209" i="24" s="1"/>
  <c r="I210" i="24"/>
  <c r="K210" i="24" s="1"/>
  <c r="I212" i="24"/>
  <c r="K212" i="24" s="1"/>
  <c r="I218" i="24"/>
  <c r="K218" i="24" s="1"/>
  <c r="I219" i="24"/>
  <c r="K219" i="24" s="1"/>
  <c r="I63" i="24"/>
  <c r="I217" i="24"/>
  <c r="K217" i="24" s="1"/>
  <c r="I223" i="24"/>
  <c r="K223" i="24" s="1"/>
  <c r="I216" i="24"/>
  <c r="K216" i="24" s="1"/>
  <c r="I222" i="24"/>
  <c r="K222" i="24" s="1"/>
  <c r="I215" i="24"/>
  <c r="K215" i="24" s="1"/>
  <c r="I221" i="24"/>
  <c r="K221" i="24" s="1"/>
  <c r="I213" i="24"/>
  <c r="K213" i="24" s="1"/>
  <c r="I211" i="24"/>
  <c r="K211" i="24" s="1"/>
  <c r="I203" i="24"/>
  <c r="K203" i="24" s="1"/>
  <c r="I207" i="24"/>
  <c r="K207" i="24" s="1"/>
  <c r="I202" i="24"/>
  <c r="K202" i="24" s="1"/>
  <c r="I206" i="24"/>
  <c r="K206" i="24" s="1"/>
  <c r="I199" i="24"/>
  <c r="K199" i="24" s="1"/>
  <c r="I201" i="24"/>
  <c r="K201" i="24" s="1"/>
  <c r="I205" i="24"/>
  <c r="K205" i="24" s="1"/>
  <c r="I200" i="24"/>
  <c r="K200" i="24" s="1"/>
  <c r="I198" i="24"/>
  <c r="K198" i="24" s="1"/>
  <c r="I197" i="24"/>
  <c r="K197" i="24" s="1"/>
  <c r="I192" i="24"/>
  <c r="K192" i="24" s="1"/>
  <c r="I196" i="24"/>
  <c r="K196" i="24" s="1"/>
  <c r="I191" i="24"/>
  <c r="K191" i="24" s="1"/>
  <c r="I195" i="24"/>
  <c r="K195" i="24" s="1"/>
  <c r="I190" i="24"/>
  <c r="K190" i="24" s="1"/>
  <c r="I194" i="24"/>
  <c r="K194" i="24" s="1"/>
  <c r="I178" i="24"/>
  <c r="K178" i="24" s="1"/>
  <c r="I179" i="24"/>
  <c r="K179" i="24" s="1"/>
  <c r="I180" i="24"/>
  <c r="K180" i="24" s="1"/>
  <c r="I181" i="24"/>
  <c r="K181" i="24" s="1"/>
  <c r="I182" i="24"/>
  <c r="K182" i="24" s="1"/>
  <c r="I183" i="24"/>
  <c r="K183" i="24" s="1"/>
  <c r="I184" i="24"/>
  <c r="K184" i="24" s="1"/>
  <c r="I185" i="24"/>
  <c r="K185" i="24" s="1"/>
  <c r="I186" i="24"/>
  <c r="K186" i="24" s="1"/>
  <c r="I187" i="24"/>
  <c r="K187" i="24" s="1"/>
  <c r="I188" i="24"/>
  <c r="K188" i="24" s="1"/>
  <c r="I189" i="24"/>
  <c r="K189" i="24" s="1"/>
  <c r="I193" i="24"/>
  <c r="K193" i="24" s="1"/>
  <c r="I170" i="24"/>
  <c r="K170" i="24" s="1"/>
  <c r="I172" i="24"/>
  <c r="K172" i="24" s="1"/>
  <c r="I174" i="24"/>
  <c r="K174" i="24" s="1"/>
  <c r="I177" i="24"/>
  <c r="K177" i="24" s="1"/>
  <c r="I176" i="24"/>
  <c r="K176" i="24" s="1"/>
  <c r="I175" i="24"/>
  <c r="K175" i="24" s="1"/>
  <c r="I173" i="24"/>
  <c r="K173" i="24" s="1"/>
  <c r="I171" i="24"/>
  <c r="K171" i="24" s="1"/>
  <c r="I169" i="24"/>
  <c r="K169" i="24" s="1"/>
  <c r="I168" i="24"/>
  <c r="K168" i="24" s="1"/>
  <c r="I162" i="24"/>
  <c r="K162" i="24" s="1"/>
  <c r="I160" i="24"/>
  <c r="I161" i="24"/>
  <c r="I163" i="24"/>
  <c r="K163" i="24" s="1"/>
  <c r="I164" i="24"/>
  <c r="K164" i="24" s="1"/>
  <c r="I165" i="24"/>
  <c r="K165" i="24" s="1"/>
  <c r="I166" i="24"/>
  <c r="K166" i="24" s="1"/>
  <c r="I167" i="24"/>
  <c r="K167" i="24" s="1"/>
  <c r="I139" i="24"/>
  <c r="I146" i="24"/>
  <c r="I147" i="24"/>
  <c r="I148" i="24"/>
  <c r="I149" i="24"/>
  <c r="K149" i="24" s="1"/>
  <c r="I150" i="24"/>
  <c r="K150" i="24" s="1"/>
  <c r="I151" i="24"/>
  <c r="K151" i="24" s="1"/>
  <c r="I152" i="24"/>
  <c r="K152" i="24" s="1"/>
  <c r="I153" i="24"/>
  <c r="K153" i="24" s="1"/>
  <c r="I154" i="24"/>
  <c r="K154" i="24" s="1"/>
  <c r="I155" i="24"/>
  <c r="K155" i="24" s="1"/>
  <c r="I156" i="24"/>
  <c r="K156" i="24" s="1"/>
  <c r="I157" i="24"/>
  <c r="K157" i="24" s="1"/>
  <c r="I158" i="24"/>
  <c r="K158" i="24" s="1"/>
  <c r="I159" i="24"/>
  <c r="K159" i="24" s="1"/>
  <c r="I137" i="24"/>
  <c r="I132" i="24"/>
  <c r="K132" i="24" s="1"/>
  <c r="I140" i="24"/>
  <c r="K140" i="24" s="1"/>
  <c r="I141" i="24"/>
  <c r="K141" i="24" s="1"/>
  <c r="I142" i="24"/>
  <c r="K142" i="24" s="1"/>
  <c r="I143" i="24"/>
  <c r="K143" i="24" s="1"/>
  <c r="I144" i="24"/>
  <c r="K144" i="24" s="1"/>
  <c r="I145" i="24"/>
  <c r="K145" i="24" s="1"/>
  <c r="I131" i="24"/>
  <c r="K131" i="24" s="1"/>
  <c r="I138" i="24"/>
  <c r="I130" i="24"/>
  <c r="K130" i="24" s="1"/>
  <c r="I134" i="24"/>
  <c r="I135" i="24"/>
  <c r="I136" i="24"/>
  <c r="I127" i="24"/>
  <c r="I128" i="24"/>
  <c r="K128" i="24" s="1"/>
  <c r="I129" i="24"/>
  <c r="K129" i="24" s="1"/>
  <c r="I133" i="24"/>
  <c r="K133" i="24" s="1"/>
  <c r="I125" i="24"/>
  <c r="K125" i="24" s="1"/>
  <c r="I117" i="24"/>
  <c r="I123" i="24"/>
  <c r="K123" i="24" s="1"/>
  <c r="I126" i="24"/>
  <c r="K126" i="24" s="1"/>
  <c r="I124" i="24"/>
  <c r="K124" i="24" s="1"/>
  <c r="I122" i="24"/>
  <c r="K122" i="24" s="1"/>
  <c r="I121" i="24"/>
  <c r="K121" i="24" s="1"/>
  <c r="I119" i="24"/>
  <c r="I120" i="24"/>
  <c r="I118" i="24"/>
  <c r="I81" i="24"/>
  <c r="I82" i="24"/>
  <c r="K82" i="24" s="1"/>
  <c r="I83" i="24"/>
  <c r="K83" i="24" s="1"/>
  <c r="I84" i="24"/>
  <c r="K84" i="24" s="1"/>
  <c r="I85" i="24"/>
  <c r="K85" i="24" s="1"/>
  <c r="I76" i="24"/>
  <c r="K76" i="24" s="1"/>
  <c r="I80" i="24"/>
  <c r="K80" i="24" s="1"/>
  <c r="I71" i="24"/>
  <c r="I72" i="24"/>
  <c r="I73" i="24"/>
  <c r="K73" i="24" s="1"/>
  <c r="I74" i="24"/>
  <c r="K74" i="24" s="1"/>
  <c r="I75" i="24"/>
  <c r="K75" i="24" s="1"/>
  <c r="I79" i="24"/>
  <c r="K79" i="24" s="1"/>
  <c r="I78" i="24"/>
  <c r="K78" i="24" s="1"/>
  <c r="I77" i="24"/>
  <c r="K77" i="24" s="1"/>
  <c r="H62" i="24"/>
  <c r="G62" i="24"/>
  <c r="E62" i="24"/>
  <c r="H61" i="24"/>
  <c r="G61" i="24"/>
  <c r="E61" i="24"/>
  <c r="H60" i="24"/>
  <c r="G60" i="24"/>
  <c r="F60" i="24"/>
  <c r="E60" i="24"/>
  <c r="H59" i="24"/>
  <c r="G59" i="24"/>
  <c r="F59" i="24"/>
  <c r="E59" i="24"/>
  <c r="H58" i="24"/>
  <c r="G58" i="24"/>
  <c r="F58" i="24"/>
  <c r="E58" i="24"/>
  <c r="H57" i="24"/>
  <c r="G57" i="24"/>
  <c r="F57" i="24"/>
  <c r="E57" i="24"/>
  <c r="H56" i="24"/>
  <c r="G56" i="24"/>
  <c r="F56" i="24"/>
  <c r="E56" i="24"/>
  <c r="H55" i="24"/>
  <c r="G55" i="24"/>
  <c r="F55" i="24"/>
  <c r="E55" i="24"/>
  <c r="H41" i="24"/>
  <c r="G41" i="24"/>
  <c r="E41" i="24"/>
  <c r="H40" i="24"/>
  <c r="G40" i="24"/>
  <c r="E40" i="24"/>
  <c r="H39" i="24"/>
  <c r="G39" i="24"/>
  <c r="E39" i="24"/>
  <c r="H38" i="24"/>
  <c r="G38" i="24"/>
  <c r="E38" i="24"/>
  <c r="H37" i="24"/>
  <c r="G37" i="24"/>
  <c r="E37" i="24"/>
  <c r="H36" i="24"/>
  <c r="G36" i="24"/>
  <c r="E36" i="24"/>
  <c r="H35" i="24"/>
  <c r="G35" i="24"/>
  <c r="E35" i="24"/>
  <c r="H34" i="24"/>
  <c r="G34" i="24"/>
  <c r="E34" i="24"/>
  <c r="H33" i="24"/>
  <c r="G33" i="24"/>
  <c r="E33" i="24"/>
  <c r="H32" i="24"/>
  <c r="G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E23" i="24"/>
  <c r="H22" i="24"/>
  <c r="G22" i="24"/>
  <c r="E22" i="24"/>
  <c r="H21" i="24"/>
  <c r="G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6" i="24"/>
  <c r="G16" i="24"/>
  <c r="F16" i="24"/>
  <c r="E16" i="24"/>
  <c r="H15" i="24"/>
  <c r="G15" i="24"/>
  <c r="F15" i="24"/>
  <c r="E15" i="24"/>
  <c r="F47" i="24"/>
  <c r="F46" i="24"/>
  <c r="F45" i="24"/>
  <c r="F44" i="24"/>
  <c r="F43" i="24"/>
  <c r="F42" i="24"/>
  <c r="F4" i="24"/>
  <c r="E43" i="24"/>
  <c r="G43" i="24"/>
  <c r="H43" i="24"/>
  <c r="E44" i="24"/>
  <c r="G44" i="24"/>
  <c r="H44" i="24"/>
  <c r="E45" i="24"/>
  <c r="G45" i="24"/>
  <c r="H45" i="24"/>
  <c r="E46" i="24"/>
  <c r="G46" i="24"/>
  <c r="H46" i="24"/>
  <c r="E47" i="24"/>
  <c r="G47" i="24"/>
  <c r="H47" i="24"/>
  <c r="E48" i="24"/>
  <c r="G48" i="24"/>
  <c r="H48" i="24"/>
  <c r="E49" i="24"/>
  <c r="G49" i="24"/>
  <c r="H49" i="24"/>
  <c r="E50" i="24"/>
  <c r="G50" i="24"/>
  <c r="H50" i="24"/>
  <c r="E51" i="24"/>
  <c r="G51" i="24"/>
  <c r="H51" i="24"/>
  <c r="E52" i="24"/>
  <c r="G52" i="24"/>
  <c r="H52" i="24"/>
  <c r="E53" i="24"/>
  <c r="G53" i="24"/>
  <c r="H53" i="24"/>
  <c r="E54" i="24"/>
  <c r="G54" i="24"/>
  <c r="H54" i="24"/>
  <c r="H42" i="24"/>
  <c r="G42" i="24"/>
  <c r="E42" i="24"/>
  <c r="H5" i="24"/>
  <c r="H6" i="24"/>
  <c r="H7" i="24"/>
  <c r="H8" i="24"/>
  <c r="H9" i="24"/>
  <c r="H10" i="24"/>
  <c r="H11" i="24"/>
  <c r="H12" i="24"/>
  <c r="H13" i="24"/>
  <c r="H14" i="24"/>
  <c r="H4" i="24"/>
  <c r="G5" i="24"/>
  <c r="G6" i="24"/>
  <c r="G7" i="24"/>
  <c r="G8" i="24"/>
  <c r="G9" i="24"/>
  <c r="G10" i="24"/>
  <c r="G11" i="24"/>
  <c r="G12" i="24"/>
  <c r="G13" i="24"/>
  <c r="G14" i="24"/>
  <c r="G4" i="24"/>
  <c r="E5" i="24"/>
  <c r="E6" i="24"/>
  <c r="E7" i="24"/>
  <c r="E8" i="24"/>
  <c r="E9" i="24"/>
  <c r="E10" i="24"/>
  <c r="E11" i="24"/>
  <c r="E12" i="24"/>
  <c r="E13" i="24"/>
  <c r="E14" i="24"/>
  <c r="E4" i="24"/>
  <c r="I4" i="8" l="1"/>
  <c r="I4" i="24"/>
  <c r="I61" i="24"/>
  <c r="K61" i="24" s="1"/>
  <c r="I57" i="24"/>
  <c r="K57" i="24" s="1"/>
  <c r="I58" i="24"/>
  <c r="K58" i="24" s="1"/>
  <c r="I60" i="24"/>
  <c r="K60" i="24" s="1"/>
  <c r="I62" i="24"/>
  <c r="K62" i="24" s="1"/>
  <c r="I59" i="24"/>
  <c r="K59" i="24" s="1"/>
  <c r="I56" i="24"/>
  <c r="K56" i="24" s="1"/>
  <c r="I55" i="24"/>
  <c r="K55" i="24" s="1"/>
  <c r="I49" i="24"/>
  <c r="K49" i="24" s="1"/>
  <c r="I50" i="24"/>
  <c r="K50" i="24" s="1"/>
  <c r="I42" i="24"/>
  <c r="I51" i="24"/>
  <c r="K51" i="24" s="1"/>
  <c r="I23" i="24"/>
  <c r="I54" i="24"/>
  <c r="K54" i="24" s="1"/>
  <c r="I52" i="24"/>
  <c r="K52" i="24" s="1"/>
  <c r="I48" i="24"/>
  <c r="K48" i="24" s="1"/>
  <c r="I46" i="24"/>
  <c r="K46" i="24" s="1"/>
  <c r="I53" i="24"/>
  <c r="K53" i="24" s="1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5" i="24"/>
  <c r="K45" i="24" s="1"/>
  <c r="I22" i="24"/>
  <c r="I43" i="24"/>
  <c r="K43" i="24" s="1"/>
  <c r="I47" i="24"/>
  <c r="K47" i="24" s="1"/>
  <c r="I15" i="24"/>
  <c r="I16" i="24"/>
  <c r="I17" i="24"/>
  <c r="I18" i="24"/>
  <c r="I19" i="24"/>
  <c r="I20" i="24"/>
  <c r="I21" i="24"/>
  <c r="I44" i="24"/>
  <c r="K44" i="24" s="1"/>
  <c r="I14" i="24"/>
  <c r="K14" i="24" s="1"/>
  <c r="I10" i="24"/>
  <c r="K10" i="24" s="1"/>
  <c r="I6" i="24"/>
  <c r="K6" i="24" s="1"/>
  <c r="I13" i="24"/>
  <c r="K13" i="24" s="1"/>
  <c r="I9" i="24"/>
  <c r="K9" i="24" s="1"/>
  <c r="I5" i="24"/>
  <c r="K5" i="24" s="1"/>
  <c r="I12" i="24"/>
  <c r="K12" i="24" s="1"/>
  <c r="I8" i="24"/>
  <c r="K8" i="24" s="1"/>
  <c r="I11" i="24"/>
  <c r="K11" i="24" s="1"/>
  <c r="I7" i="24"/>
  <c r="K7" i="24" s="1"/>
  <c r="C3" i="9"/>
  <c r="A18" i="11"/>
  <c r="A18" i="13" s="1"/>
  <c r="A17" i="11"/>
  <c r="A17" i="13" s="1"/>
  <c r="C4" i="11"/>
  <c r="D4" i="11"/>
  <c r="E4" i="11"/>
  <c r="F4" i="11"/>
  <c r="G4" i="11"/>
  <c r="H4" i="11"/>
  <c r="I4" i="11"/>
  <c r="B3" i="23"/>
  <c r="B4" i="11"/>
  <c r="B20" i="12"/>
  <c r="F1" i="12"/>
  <c r="G1" i="12"/>
  <c r="H1" i="12"/>
  <c r="I1" i="12"/>
  <c r="J1" i="12"/>
  <c r="K1" i="12"/>
  <c r="L1" i="12"/>
  <c r="E1" i="12"/>
  <c r="B5" i="4" l="1"/>
  <c r="A8" i="11"/>
  <c r="A8" i="13" s="1"/>
  <c r="A7" i="11"/>
  <c r="A7" i="13" s="1"/>
  <c r="B32" i="6"/>
  <c r="B33" i="6"/>
  <c r="B52" i="6" s="1"/>
  <c r="B71" i="6" s="1"/>
  <c r="B90" i="6" s="1"/>
  <c r="B109" i="6" s="1"/>
  <c r="B128" i="6" s="1"/>
  <c r="B147" i="6" s="1"/>
  <c r="B167" i="6" s="1"/>
  <c r="B187" i="6" s="1"/>
  <c r="B206" i="6" s="1"/>
  <c r="E14" i="6"/>
  <c r="H14" i="6" s="1"/>
  <c r="D14" i="6"/>
  <c r="D33" i="6" s="1"/>
  <c r="D52" i="6" s="1"/>
  <c r="D167" i="6" s="1"/>
  <c r="B15" i="5"/>
  <c r="A53" i="2"/>
  <c r="A54" i="2"/>
  <c r="A55" i="2"/>
  <c r="B44" i="2"/>
  <c r="C44" i="2" s="1"/>
  <c r="B45" i="2"/>
  <c r="C45" i="2" s="1"/>
  <c r="B46" i="2"/>
  <c r="B47" i="2"/>
  <c r="B48" i="2"/>
  <c r="C48" i="2" s="1"/>
  <c r="A44" i="2"/>
  <c r="A45" i="2"/>
  <c r="A46" i="2"/>
  <c r="A47" i="2"/>
  <c r="A48" i="2"/>
  <c r="B27" i="2"/>
  <c r="C27" i="2" s="1"/>
  <c r="E27" i="2" s="1"/>
  <c r="F27" i="2" s="1"/>
  <c r="B28" i="2"/>
  <c r="B29" i="2"/>
  <c r="C29" i="2" s="1"/>
  <c r="E29" i="2" s="1"/>
  <c r="F29" i="2" s="1"/>
  <c r="A29" i="2"/>
  <c r="A14" i="2"/>
  <c r="A15" i="2"/>
  <c r="A16" i="2"/>
  <c r="A17" i="2"/>
  <c r="A18" i="2"/>
  <c r="B15" i="2"/>
  <c r="B16" i="2"/>
  <c r="B17" i="2"/>
  <c r="C17" i="2" s="1"/>
  <c r="B18" i="2"/>
  <c r="B54" i="2"/>
  <c r="B55" i="2"/>
  <c r="I14" i="6" l="1"/>
  <c r="J14" i="6"/>
  <c r="S5" i="22"/>
  <c r="F14" i="6"/>
  <c r="C55" i="2"/>
  <c r="E55" i="2" s="1"/>
  <c r="F55" i="2" s="1"/>
  <c r="G55" i="2" s="1"/>
  <c r="H55" i="2" s="1"/>
  <c r="I55" i="2" s="1"/>
  <c r="J55" i="2" s="1"/>
  <c r="K55" i="2" s="1"/>
  <c r="L55" i="2" s="1"/>
  <c r="G27" i="2"/>
  <c r="G29" i="2"/>
  <c r="D206" i="6"/>
  <c r="A14" i="11" s="1"/>
  <c r="D147" i="6"/>
  <c r="D128" i="6"/>
  <c r="D109" i="6"/>
  <c r="D90" i="6"/>
  <c r="D71" i="6"/>
  <c r="D187" i="6" s="1"/>
  <c r="E45" i="2"/>
  <c r="F45" i="2" s="1"/>
  <c r="G45" i="2" s="1"/>
  <c r="H45" i="2" s="1"/>
  <c r="I45" i="2" s="1"/>
  <c r="J45" i="2" s="1"/>
  <c r="K45" i="2" s="1"/>
  <c r="L45" i="2" s="1"/>
  <c r="C47" i="2"/>
  <c r="E47" i="2" s="1"/>
  <c r="F47" i="2" s="1"/>
  <c r="G47" i="2" s="1"/>
  <c r="H47" i="2" s="1"/>
  <c r="I47" i="2" s="1"/>
  <c r="J47" i="2" s="1"/>
  <c r="K47" i="2" s="1"/>
  <c r="L47" i="2" s="1"/>
  <c r="E48" i="2"/>
  <c r="F48" i="2" s="1"/>
  <c r="G48" i="2" s="1"/>
  <c r="H48" i="2" s="1"/>
  <c r="I48" i="2" s="1"/>
  <c r="J48" i="2" s="1"/>
  <c r="K48" i="2" s="1"/>
  <c r="L48" i="2" s="1"/>
  <c r="E44" i="2"/>
  <c r="F44" i="2" s="1"/>
  <c r="G44" i="2" s="1"/>
  <c r="H44" i="2" s="1"/>
  <c r="I44" i="2" s="1"/>
  <c r="J44" i="2" s="1"/>
  <c r="K44" i="2" s="1"/>
  <c r="L44" i="2" s="1"/>
  <c r="C46" i="2"/>
  <c r="E46" i="2" s="1"/>
  <c r="F46" i="2" s="1"/>
  <c r="G46" i="2" s="1"/>
  <c r="H46" i="2" s="1"/>
  <c r="I46" i="2" s="1"/>
  <c r="J46" i="2" s="1"/>
  <c r="K46" i="2" s="1"/>
  <c r="L46" i="2" s="1"/>
  <c r="C28" i="2"/>
  <c r="E28" i="2" s="1"/>
  <c r="F28" i="2" s="1"/>
  <c r="C15" i="2"/>
  <c r="E15" i="2" s="1"/>
  <c r="F15" i="2" s="1"/>
  <c r="G15" i="2" s="1"/>
  <c r="H15" i="2" s="1"/>
  <c r="I15" i="2" s="1"/>
  <c r="J15" i="2" s="1"/>
  <c r="K15" i="2" s="1"/>
  <c r="L15" i="2" s="1"/>
  <c r="E17" i="2"/>
  <c r="F17" i="2" s="1"/>
  <c r="G17" i="2" s="1"/>
  <c r="H17" i="2" s="1"/>
  <c r="I17" i="2" s="1"/>
  <c r="J17" i="2" s="1"/>
  <c r="K17" i="2" s="1"/>
  <c r="L17" i="2" s="1"/>
  <c r="C18" i="2"/>
  <c r="E18" i="2" s="1"/>
  <c r="F18" i="2" s="1"/>
  <c r="G18" i="2" s="1"/>
  <c r="H18" i="2" s="1"/>
  <c r="I18" i="2" s="1"/>
  <c r="J18" i="2" s="1"/>
  <c r="K18" i="2" s="1"/>
  <c r="L18" i="2" s="1"/>
  <c r="C16" i="2"/>
  <c r="E16" i="2" s="1"/>
  <c r="F16" i="2" s="1"/>
  <c r="G16" i="2" s="1"/>
  <c r="H16" i="2" s="1"/>
  <c r="I16" i="2" s="1"/>
  <c r="J16" i="2" s="1"/>
  <c r="K16" i="2" s="1"/>
  <c r="L16" i="2" s="1"/>
  <c r="C23" i="8"/>
  <c r="D23" i="8"/>
  <c r="E23" i="8"/>
  <c r="F23" i="8"/>
  <c r="G23" i="8"/>
  <c r="H23" i="8"/>
  <c r="I23" i="8"/>
  <c r="B23" i="8"/>
  <c r="C52" i="6"/>
  <c r="C71" i="6"/>
  <c r="C90" i="6"/>
  <c r="C109" i="6"/>
  <c r="C128" i="6"/>
  <c r="C147" i="6"/>
  <c r="C206" i="6" s="1"/>
  <c r="C167" i="6"/>
  <c r="C187" i="6"/>
  <c r="I12" i="22"/>
  <c r="H12" i="22"/>
  <c r="G12" i="22"/>
  <c r="F12" i="22"/>
  <c r="E12" i="22"/>
  <c r="D12" i="22"/>
  <c r="C12" i="22"/>
  <c r="B12" i="22"/>
  <c r="E2" i="12" s="1"/>
  <c r="D42" i="5"/>
  <c r="D43" i="5"/>
  <c r="D44" i="5"/>
  <c r="A69" i="8"/>
  <c r="A98" i="8" s="1"/>
  <c r="A70" i="8"/>
  <c r="A99" i="8" s="1"/>
  <c r="A72" i="8"/>
  <c r="A100" i="8" s="1"/>
  <c r="A73" i="8"/>
  <c r="A101" i="8" s="1"/>
  <c r="A74" i="8"/>
  <c r="A102" i="8" s="1"/>
  <c r="A75" i="8"/>
  <c r="A103" i="8" s="1"/>
  <c r="A76" i="8"/>
  <c r="A104" i="8" s="1"/>
  <c r="I2" i="12" l="1"/>
  <c r="L82" i="6"/>
  <c r="M82" i="6" s="1"/>
  <c r="L86" i="6"/>
  <c r="M86" i="6" s="1"/>
  <c r="L90" i="6"/>
  <c r="M90" i="6" s="1"/>
  <c r="L79" i="6"/>
  <c r="M79" i="6" s="1"/>
  <c r="L81" i="6"/>
  <c r="M81" i="6" s="1"/>
  <c r="L89" i="6"/>
  <c r="M89" i="6" s="1"/>
  <c r="L83" i="6"/>
  <c r="M83" i="6" s="1"/>
  <c r="L87" i="6"/>
  <c r="M87" i="6" s="1"/>
  <c r="L91" i="6"/>
  <c r="M91" i="6" s="1"/>
  <c r="L80" i="6"/>
  <c r="M80" i="6" s="1"/>
  <c r="L84" i="6"/>
  <c r="M84" i="6" s="1"/>
  <c r="L88" i="6"/>
  <c r="M88" i="6" s="1"/>
  <c r="L92" i="6"/>
  <c r="M92" i="6" s="1"/>
  <c r="L85" i="6"/>
  <c r="M85" i="6" s="1"/>
  <c r="L93" i="6"/>
  <c r="M93" i="6" s="1"/>
  <c r="L2" i="12"/>
  <c r="L138" i="6"/>
  <c r="M138" i="6" s="1"/>
  <c r="L142" i="6"/>
  <c r="M142" i="6" s="1"/>
  <c r="L146" i="6"/>
  <c r="M146" i="6" s="1"/>
  <c r="L150" i="6"/>
  <c r="M150" i="6" s="1"/>
  <c r="L137" i="6"/>
  <c r="M137" i="6" s="1"/>
  <c r="L145" i="6"/>
  <c r="M145" i="6" s="1"/>
  <c r="L139" i="6"/>
  <c r="M139" i="6" s="1"/>
  <c r="L143" i="6"/>
  <c r="M143" i="6" s="1"/>
  <c r="L147" i="6"/>
  <c r="M147" i="6" s="1"/>
  <c r="L136" i="6"/>
  <c r="M136" i="6" s="1"/>
  <c r="L140" i="6"/>
  <c r="M140" i="6" s="1"/>
  <c r="L144" i="6"/>
  <c r="M144" i="6" s="1"/>
  <c r="L148" i="6"/>
  <c r="M148" i="6" s="1"/>
  <c r="L141" i="6"/>
  <c r="M141" i="6" s="1"/>
  <c r="L149" i="6"/>
  <c r="M149" i="6" s="1"/>
  <c r="J2" i="12"/>
  <c r="L102" i="6"/>
  <c r="M102" i="6" s="1"/>
  <c r="L106" i="6"/>
  <c r="M106" i="6" s="1"/>
  <c r="L110" i="6"/>
  <c r="M110" i="6" s="1"/>
  <c r="L101" i="6"/>
  <c r="M101" i="6" s="1"/>
  <c r="L98" i="6"/>
  <c r="M98" i="6" s="1"/>
  <c r="L99" i="6"/>
  <c r="M99" i="6" s="1"/>
  <c r="L103" i="6"/>
  <c r="M103" i="6" s="1"/>
  <c r="L107" i="6"/>
  <c r="M107" i="6" s="1"/>
  <c r="L111" i="6"/>
  <c r="M111" i="6" s="1"/>
  <c r="L100" i="6"/>
  <c r="M100" i="6" s="1"/>
  <c r="L104" i="6"/>
  <c r="M104" i="6" s="1"/>
  <c r="L108" i="6"/>
  <c r="M108" i="6" s="1"/>
  <c r="L112" i="6"/>
  <c r="M112" i="6" s="1"/>
  <c r="L105" i="6"/>
  <c r="M105" i="6" s="1"/>
  <c r="L109" i="6"/>
  <c r="M109" i="6" s="1"/>
  <c r="H2" i="12"/>
  <c r="L62" i="6"/>
  <c r="M62" i="6" s="1"/>
  <c r="L66" i="6"/>
  <c r="M66" i="6" s="1"/>
  <c r="L70" i="6"/>
  <c r="M70" i="6" s="1"/>
  <c r="L74" i="6"/>
  <c r="M74" i="6" s="1"/>
  <c r="L61" i="6"/>
  <c r="M61" i="6" s="1"/>
  <c r="L63" i="6"/>
  <c r="M63" i="6" s="1"/>
  <c r="L67" i="6"/>
  <c r="M67" i="6" s="1"/>
  <c r="L71" i="6"/>
  <c r="M71" i="6" s="1"/>
  <c r="L60" i="6"/>
  <c r="M60" i="6" s="1"/>
  <c r="L64" i="6"/>
  <c r="M64" i="6" s="1"/>
  <c r="L68" i="6"/>
  <c r="M68" i="6" s="1"/>
  <c r="L72" i="6"/>
  <c r="M72" i="6" s="1"/>
  <c r="L65" i="6"/>
  <c r="M65" i="6" s="1"/>
  <c r="L69" i="6"/>
  <c r="M69" i="6" s="1"/>
  <c r="L73" i="6"/>
  <c r="M73" i="6" s="1"/>
  <c r="F2" i="12"/>
  <c r="L26" i="6"/>
  <c r="M26" i="6" s="1"/>
  <c r="L30" i="6"/>
  <c r="M30" i="6" s="1"/>
  <c r="L34" i="6"/>
  <c r="M34" i="6" s="1"/>
  <c r="L25" i="6"/>
  <c r="M25" i="6" s="1"/>
  <c r="L33" i="6"/>
  <c r="M33" i="6" s="1"/>
  <c r="L23" i="6"/>
  <c r="M23" i="6" s="1"/>
  <c r="L27" i="6"/>
  <c r="M27" i="6" s="1"/>
  <c r="L31" i="6"/>
  <c r="M31" i="6" s="1"/>
  <c r="L35" i="6"/>
  <c r="M35" i="6" s="1"/>
  <c r="L22" i="6"/>
  <c r="L24" i="6"/>
  <c r="M24" i="6" s="1"/>
  <c r="L28" i="6"/>
  <c r="M28" i="6" s="1"/>
  <c r="L32" i="6"/>
  <c r="M32" i="6" s="1"/>
  <c r="L36" i="6"/>
  <c r="M36" i="6" s="1"/>
  <c r="L29" i="6"/>
  <c r="M29" i="6" s="1"/>
  <c r="G2" i="12"/>
  <c r="L42" i="6"/>
  <c r="M42" i="6" s="1"/>
  <c r="L46" i="6"/>
  <c r="M46" i="6" s="1"/>
  <c r="L50" i="6"/>
  <c r="M50" i="6" s="1"/>
  <c r="L54" i="6"/>
  <c r="M54" i="6" s="1"/>
  <c r="L43" i="6"/>
  <c r="M43" i="6" s="1"/>
  <c r="L47" i="6"/>
  <c r="M47" i="6" s="1"/>
  <c r="L51" i="6"/>
  <c r="M51" i="6" s="1"/>
  <c r="L55" i="6"/>
  <c r="M55" i="6" s="1"/>
  <c r="L44" i="6"/>
  <c r="M44" i="6" s="1"/>
  <c r="L48" i="6"/>
  <c r="M48" i="6" s="1"/>
  <c r="L52" i="6"/>
  <c r="M52" i="6" s="1"/>
  <c r="L41" i="6"/>
  <c r="M41" i="6" s="1"/>
  <c r="L45" i="6"/>
  <c r="M45" i="6" s="1"/>
  <c r="L49" i="6"/>
  <c r="M49" i="6" s="1"/>
  <c r="L53" i="6"/>
  <c r="M53" i="6" s="1"/>
  <c r="K2" i="12"/>
  <c r="L118" i="6"/>
  <c r="M118" i="6" s="1"/>
  <c r="L122" i="6"/>
  <c r="M122" i="6" s="1"/>
  <c r="L126" i="6"/>
  <c r="M126" i="6" s="1"/>
  <c r="L130" i="6"/>
  <c r="M130" i="6" s="1"/>
  <c r="L125" i="6"/>
  <c r="M125" i="6" s="1"/>
  <c r="L119" i="6"/>
  <c r="M119" i="6" s="1"/>
  <c r="L123" i="6"/>
  <c r="M123" i="6" s="1"/>
  <c r="L127" i="6"/>
  <c r="M127" i="6" s="1"/>
  <c r="L131" i="6"/>
  <c r="M131" i="6" s="1"/>
  <c r="L120" i="6"/>
  <c r="M120" i="6" s="1"/>
  <c r="L124" i="6"/>
  <c r="M124" i="6" s="1"/>
  <c r="L128" i="6"/>
  <c r="M128" i="6" s="1"/>
  <c r="L117" i="6"/>
  <c r="M117" i="6" s="1"/>
  <c r="L121" i="6"/>
  <c r="M121" i="6" s="1"/>
  <c r="L129" i="6"/>
  <c r="M129" i="6" s="1"/>
  <c r="H29" i="2"/>
  <c r="N29" i="2"/>
  <c r="T29" i="2" s="1"/>
  <c r="H27" i="2"/>
  <c r="N27" i="2"/>
  <c r="T27" i="2" s="1"/>
  <c r="G85" i="1"/>
  <c r="G145" i="1" s="1"/>
  <c r="H85" i="1"/>
  <c r="H145" i="1" s="1"/>
  <c r="E85" i="1"/>
  <c r="E145" i="1" s="1"/>
  <c r="I85" i="1"/>
  <c r="I145" i="1" s="1"/>
  <c r="C85" i="1"/>
  <c r="C145" i="1" s="1"/>
  <c r="D85" i="1"/>
  <c r="D145" i="1" s="1"/>
  <c r="L5" i="6"/>
  <c r="M5" i="6" s="1"/>
  <c r="L9" i="6"/>
  <c r="M9" i="6" s="1"/>
  <c r="L13" i="6"/>
  <c r="M13" i="6" s="1"/>
  <c r="L17" i="6"/>
  <c r="M17" i="6" s="1"/>
  <c r="L12" i="6"/>
  <c r="M12" i="6" s="1"/>
  <c r="L6" i="6"/>
  <c r="M6" i="6" s="1"/>
  <c r="L10" i="6"/>
  <c r="M10" i="6" s="1"/>
  <c r="L14" i="6"/>
  <c r="M14" i="6" s="1"/>
  <c r="L3" i="6"/>
  <c r="L4" i="6"/>
  <c r="M4" i="6" s="1"/>
  <c r="L7" i="6"/>
  <c r="M7" i="6" s="1"/>
  <c r="L11" i="6"/>
  <c r="M11" i="6" s="1"/>
  <c r="L15" i="6"/>
  <c r="M15" i="6" s="1"/>
  <c r="L8" i="6"/>
  <c r="M8" i="6" s="1"/>
  <c r="L16" i="6"/>
  <c r="M16" i="6" s="1"/>
  <c r="B23" i="1"/>
  <c r="E23" i="1" s="1"/>
  <c r="F85" i="1"/>
  <c r="F145" i="1" s="1"/>
  <c r="B19" i="8"/>
  <c r="C19" i="8"/>
  <c r="G28" i="2"/>
  <c r="C22" i="28"/>
  <c r="B7" i="11"/>
  <c r="A55" i="11"/>
  <c r="A14" i="13"/>
  <c r="B28" i="8"/>
  <c r="B8" i="11" s="1"/>
  <c r="N3" i="8"/>
  <c r="N11" i="8" s="1"/>
  <c r="C12" i="27"/>
  <c r="D12" i="27"/>
  <c r="E12" i="27"/>
  <c r="F12" i="27"/>
  <c r="G12" i="27"/>
  <c r="H12" i="27"/>
  <c r="I12" i="27"/>
  <c r="B12" i="27"/>
  <c r="P22" i="6" l="1"/>
  <c r="M22" i="6"/>
  <c r="O22" i="6"/>
  <c r="I27" i="2"/>
  <c r="O27" i="2"/>
  <c r="I29" i="2"/>
  <c r="O29" i="2"/>
  <c r="H28" i="2"/>
  <c r="B35" i="6"/>
  <c r="B7" i="6"/>
  <c r="B17" i="6"/>
  <c r="M3" i="6"/>
  <c r="B22" i="2"/>
  <c r="B145" i="1"/>
  <c r="C14" i="6"/>
  <c r="K14" i="6" s="1"/>
  <c r="C33" i="6"/>
  <c r="B157" i="6"/>
  <c r="B177" i="6" s="1"/>
  <c r="B166" i="1"/>
  <c r="B165" i="1"/>
  <c r="B32" i="8"/>
  <c r="B8" i="13"/>
  <c r="B7" i="13"/>
  <c r="B32" i="2"/>
  <c r="E3" i="6"/>
  <c r="H3" i="6" s="1"/>
  <c r="A48" i="11"/>
  <c r="A49" i="11"/>
  <c r="N3" i="24"/>
  <c r="O3" i="24"/>
  <c r="P3" i="24"/>
  <c r="Q3" i="24"/>
  <c r="R3" i="24"/>
  <c r="S3" i="24"/>
  <c r="T3" i="24"/>
  <c r="U3" i="24"/>
  <c r="V3" i="24"/>
  <c r="M3" i="24"/>
  <c r="E5" i="6"/>
  <c r="E4" i="6"/>
  <c r="H4" i="6" s="1"/>
  <c r="C24" i="6"/>
  <c r="C26" i="6"/>
  <c r="C27" i="6"/>
  <c r="C34" i="6"/>
  <c r="C35" i="6"/>
  <c r="C43" i="6"/>
  <c r="C45" i="6"/>
  <c r="C46" i="6"/>
  <c r="C53" i="6"/>
  <c r="C54" i="6"/>
  <c r="B8" i="2"/>
  <c r="C8" i="2" s="1"/>
  <c r="E8" i="2" s="1"/>
  <c r="F8" i="2" s="1"/>
  <c r="G8" i="2" s="1"/>
  <c r="B9" i="2"/>
  <c r="B30" i="2"/>
  <c r="C30" i="2" s="1"/>
  <c r="B31" i="2"/>
  <c r="C31" i="2" s="1"/>
  <c r="E31" i="2" s="1"/>
  <c r="F31" i="2" s="1"/>
  <c r="B42" i="2"/>
  <c r="B43" i="2"/>
  <c r="B49" i="2"/>
  <c r="B50" i="2"/>
  <c r="C50" i="2" s="1"/>
  <c r="E50" i="2" s="1"/>
  <c r="F50" i="2" s="1"/>
  <c r="G50" i="2" s="1"/>
  <c r="B36" i="2"/>
  <c r="B52" i="2"/>
  <c r="C52" i="2" s="1"/>
  <c r="E52" i="2" s="1"/>
  <c r="F52" i="2" s="1"/>
  <c r="G52" i="2" s="1"/>
  <c r="H52" i="2" s="1"/>
  <c r="I52" i="2" s="1"/>
  <c r="J52" i="2" s="1"/>
  <c r="K52" i="2" s="1"/>
  <c r="L52" i="2" s="1"/>
  <c r="C62" i="6"/>
  <c r="C64" i="6"/>
  <c r="C65" i="6"/>
  <c r="C72" i="6"/>
  <c r="C73" i="6"/>
  <c r="B19" i="2"/>
  <c r="B20" i="2"/>
  <c r="B13" i="2"/>
  <c r="C81" i="6"/>
  <c r="C83" i="6"/>
  <c r="C84" i="6"/>
  <c r="C91" i="6"/>
  <c r="C92" i="6"/>
  <c r="C100" i="6"/>
  <c r="C102" i="6"/>
  <c r="C103" i="6"/>
  <c r="C110" i="6"/>
  <c r="C111" i="6"/>
  <c r="C119" i="6"/>
  <c r="C121" i="6"/>
  <c r="C122" i="6"/>
  <c r="C129" i="6"/>
  <c r="C130" i="6"/>
  <c r="C138" i="6"/>
  <c r="C140" i="6"/>
  <c r="C141" i="6"/>
  <c r="C148" i="6"/>
  <c r="C149" i="6"/>
  <c r="C158" i="6"/>
  <c r="C160" i="6"/>
  <c r="C161" i="6"/>
  <c r="C168" i="6"/>
  <c r="C169" i="6"/>
  <c r="C178" i="6"/>
  <c r="C197" i="6" s="1"/>
  <c r="C180" i="6"/>
  <c r="C199" i="6" s="1"/>
  <c r="C181" i="6"/>
  <c r="C200" i="6" s="1"/>
  <c r="C188" i="6"/>
  <c r="C207" i="6" s="1"/>
  <c r="C189" i="6"/>
  <c r="C208" i="6" s="1"/>
  <c r="A15" i="11"/>
  <c r="A15" i="13" s="1"/>
  <c r="A16" i="11"/>
  <c r="A6" i="13"/>
  <c r="A5" i="5"/>
  <c r="A6" i="5"/>
  <c r="A7" i="5"/>
  <c r="A8" i="5"/>
  <c r="A9" i="5"/>
  <c r="A10" i="5"/>
  <c r="A16" i="5"/>
  <c r="A17" i="5"/>
  <c r="A18" i="5"/>
  <c r="A47" i="11"/>
  <c r="A88" i="11" s="1"/>
  <c r="A58" i="11"/>
  <c r="A92" i="11" s="1"/>
  <c r="A59" i="11"/>
  <c r="A93" i="11" s="1"/>
  <c r="A60" i="11"/>
  <c r="A94" i="11" s="1"/>
  <c r="A61" i="11"/>
  <c r="A95" i="11" s="1"/>
  <c r="A62" i="11"/>
  <c r="A96" i="11" s="1"/>
  <c r="A63" i="11"/>
  <c r="A97" i="11" s="1"/>
  <c r="A74" i="11"/>
  <c r="A108" i="11" s="1"/>
  <c r="A75" i="11"/>
  <c r="A109" i="11" s="1"/>
  <c r="A76" i="11"/>
  <c r="A110" i="11" s="1"/>
  <c r="A77" i="11"/>
  <c r="A111" i="11" s="1"/>
  <c r="A78" i="11"/>
  <c r="A112" i="11" s="1"/>
  <c r="A79" i="11"/>
  <c r="A113" i="11" s="1"/>
  <c r="A80" i="11"/>
  <c r="A114" i="11" s="1"/>
  <c r="I440" i="24"/>
  <c r="K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63" i="24"/>
  <c r="K71" i="24"/>
  <c r="K72" i="24"/>
  <c r="K81" i="24"/>
  <c r="K117" i="24"/>
  <c r="K118" i="24"/>
  <c r="K119" i="24"/>
  <c r="K120" i="24"/>
  <c r="K127" i="24"/>
  <c r="K134" i="24"/>
  <c r="K135" i="24"/>
  <c r="K136" i="24"/>
  <c r="K137" i="24"/>
  <c r="K138" i="24"/>
  <c r="K139" i="24"/>
  <c r="K146" i="24"/>
  <c r="K147" i="24"/>
  <c r="K148" i="24"/>
  <c r="K160" i="24"/>
  <c r="K161" i="24"/>
  <c r="H440" i="24"/>
  <c r="G440" i="24"/>
  <c r="F440" i="24"/>
  <c r="E440" i="24"/>
  <c r="D440" i="24"/>
  <c r="C440" i="24"/>
  <c r="B440" i="24"/>
  <c r="B442" i="24" s="1"/>
  <c r="B12" i="12"/>
  <c r="E6" i="6"/>
  <c r="H6" i="6" s="1"/>
  <c r="E8" i="6"/>
  <c r="H8" i="6" s="1"/>
  <c r="D6" i="6"/>
  <c r="D25" i="6" s="1"/>
  <c r="B11" i="5"/>
  <c r="D10" i="6" s="1"/>
  <c r="D105" i="6" s="1"/>
  <c r="B12" i="5"/>
  <c r="D11" i="6" s="1"/>
  <c r="D106" i="6" s="1"/>
  <c r="B13" i="5"/>
  <c r="D12" i="6" s="1"/>
  <c r="D126" i="6" s="1"/>
  <c r="B14" i="5"/>
  <c r="D13" i="6" s="1"/>
  <c r="D15" i="6"/>
  <c r="D207" i="6" s="1"/>
  <c r="C177" i="6"/>
  <c r="E17" i="6"/>
  <c r="H17" i="6" s="1"/>
  <c r="E16" i="6"/>
  <c r="H16" i="6" s="1"/>
  <c r="E15" i="6"/>
  <c r="H15" i="6" s="1"/>
  <c r="E12" i="6"/>
  <c r="H12" i="6" s="1"/>
  <c r="E11" i="6"/>
  <c r="H11" i="6" s="1"/>
  <c r="E10" i="6"/>
  <c r="H10" i="6" s="1"/>
  <c r="E9" i="6"/>
  <c r="H9" i="6" s="1"/>
  <c r="E7" i="6"/>
  <c r="H7" i="6" s="1"/>
  <c r="C190" i="6"/>
  <c r="C209" i="6" s="1"/>
  <c r="C176" i="6"/>
  <c r="C196" i="6" s="1"/>
  <c r="C179" i="6"/>
  <c r="C198" i="6" s="1"/>
  <c r="C182" i="6"/>
  <c r="C201" i="6" s="1"/>
  <c r="D4" i="6"/>
  <c r="D118" i="6" s="1"/>
  <c r="A100" i="11"/>
  <c r="D5" i="6"/>
  <c r="D119" i="6" s="1"/>
  <c r="D7" i="6"/>
  <c r="D121" i="6" s="1"/>
  <c r="D8" i="6"/>
  <c r="D200" i="6" s="1"/>
  <c r="A28" i="11" s="1"/>
  <c r="D9" i="6"/>
  <c r="D66" i="6" s="1"/>
  <c r="D182" i="6" s="1"/>
  <c r="D16" i="6"/>
  <c r="D35" i="6" s="1"/>
  <c r="D17" i="6"/>
  <c r="D112" i="6" s="1"/>
  <c r="C170" i="6"/>
  <c r="C156" i="6"/>
  <c r="C157" i="6"/>
  <c r="C159" i="6"/>
  <c r="C162" i="6"/>
  <c r="C150" i="6"/>
  <c r="C137" i="6"/>
  <c r="C139" i="6"/>
  <c r="C142" i="6"/>
  <c r="C131" i="6"/>
  <c r="C118" i="6"/>
  <c r="C120" i="6"/>
  <c r="C123" i="6"/>
  <c r="B29" i="6"/>
  <c r="B48" i="6" s="1"/>
  <c r="B67" i="6" s="1"/>
  <c r="B86" i="6" s="1"/>
  <c r="B105" i="6" s="1"/>
  <c r="B124" i="6" s="1"/>
  <c r="B143" i="6" s="1"/>
  <c r="B163" i="6" s="1"/>
  <c r="B183" i="6" s="1"/>
  <c r="B202" i="6" s="1"/>
  <c r="C112" i="6"/>
  <c r="C99" i="6"/>
  <c r="C101" i="6"/>
  <c r="C104" i="6"/>
  <c r="C93" i="6"/>
  <c r="C80" i="6"/>
  <c r="C82" i="6"/>
  <c r="C85" i="6"/>
  <c r="B24" i="6"/>
  <c r="B43" i="6" s="1"/>
  <c r="B62" i="6" s="1"/>
  <c r="B81" i="6" s="1"/>
  <c r="B100" i="6" s="1"/>
  <c r="B119" i="6" s="1"/>
  <c r="B138" i="6" s="1"/>
  <c r="B158" i="6" s="1"/>
  <c r="B178" i="6" s="1"/>
  <c r="B197" i="6" s="1"/>
  <c r="B51" i="6"/>
  <c r="B70" i="6" s="1"/>
  <c r="B89" i="6" s="1"/>
  <c r="B108" i="6" s="1"/>
  <c r="B127" i="6" s="1"/>
  <c r="B146" i="6" s="1"/>
  <c r="B166" i="6" s="1"/>
  <c r="B186" i="6" s="1"/>
  <c r="B205" i="6" s="1"/>
  <c r="C74" i="6"/>
  <c r="C61" i="6"/>
  <c r="C63" i="6"/>
  <c r="C66" i="6"/>
  <c r="C55" i="6"/>
  <c r="C42" i="6"/>
  <c r="C44" i="6"/>
  <c r="C47" i="6"/>
  <c r="E229" i="6"/>
  <c r="C36" i="6"/>
  <c r="C23" i="6"/>
  <c r="C25" i="6"/>
  <c r="C28" i="6"/>
  <c r="B30" i="6"/>
  <c r="B49" i="6" s="1"/>
  <c r="B68" i="6" s="1"/>
  <c r="B87" i="6" s="1"/>
  <c r="B106" i="6" s="1"/>
  <c r="B125" i="6" s="1"/>
  <c r="B144" i="6" s="1"/>
  <c r="B164" i="6" s="1"/>
  <c r="B184" i="6" s="1"/>
  <c r="B203" i="6" s="1"/>
  <c r="B31" i="6"/>
  <c r="B50" i="6" s="1"/>
  <c r="B69" i="6" s="1"/>
  <c r="B88" i="6" s="1"/>
  <c r="B107" i="6" s="1"/>
  <c r="B126" i="6" s="1"/>
  <c r="B145" i="6" s="1"/>
  <c r="B165" i="6" s="1"/>
  <c r="B185" i="6" s="1"/>
  <c r="B204" i="6" s="1"/>
  <c r="B20" i="6"/>
  <c r="E232" i="6"/>
  <c r="I79" i="8" s="1"/>
  <c r="A16" i="8"/>
  <c r="A17" i="8"/>
  <c r="A18" i="8"/>
  <c r="A15" i="8"/>
  <c r="B34" i="2"/>
  <c r="D46" i="5"/>
  <c r="D3" i="19"/>
  <c r="D5" i="19"/>
  <c r="C22" i="6"/>
  <c r="C11" i="27"/>
  <c r="C41" i="6"/>
  <c r="D5" i="4"/>
  <c r="D37" i="11" s="1"/>
  <c r="C60" i="6"/>
  <c r="C79" i="6"/>
  <c r="C98" i="6"/>
  <c r="C117" i="6"/>
  <c r="C136" i="6"/>
  <c r="C155" i="6"/>
  <c r="C175" i="6"/>
  <c r="C195" i="6" s="1"/>
  <c r="G2" i="8"/>
  <c r="G14" i="8" s="1"/>
  <c r="E3" i="14"/>
  <c r="F3" i="14"/>
  <c r="G3" i="14"/>
  <c r="H3" i="14"/>
  <c r="I3" i="14"/>
  <c r="J3" i="14"/>
  <c r="K3" i="14"/>
  <c r="D3" i="14"/>
  <c r="B173" i="6"/>
  <c r="B153" i="6"/>
  <c r="B134" i="6"/>
  <c r="B115" i="6"/>
  <c r="B96" i="6"/>
  <c r="B77" i="6"/>
  <c r="B58" i="6"/>
  <c r="B39" i="6"/>
  <c r="B1" i="6"/>
  <c r="E2" i="4"/>
  <c r="F2" i="4"/>
  <c r="G2" i="4"/>
  <c r="I2" i="4"/>
  <c r="K2" i="4"/>
  <c r="B45" i="11"/>
  <c r="B86" i="11" s="1"/>
  <c r="E3" i="17"/>
  <c r="F3" i="17"/>
  <c r="G3" i="17"/>
  <c r="H3" i="17"/>
  <c r="I3" i="17"/>
  <c r="J3" i="17"/>
  <c r="K3" i="17"/>
  <c r="D3" i="17"/>
  <c r="E11" i="16"/>
  <c r="F11" i="16"/>
  <c r="G11" i="16"/>
  <c r="H11" i="16"/>
  <c r="I11" i="16"/>
  <c r="J11" i="16"/>
  <c r="K11" i="16"/>
  <c r="D11" i="16"/>
  <c r="E17" i="14"/>
  <c r="D17" i="14"/>
  <c r="C38" i="13"/>
  <c r="B38" i="13"/>
  <c r="C3" i="13"/>
  <c r="D3" i="20" s="1"/>
  <c r="D3" i="13"/>
  <c r="E3" i="20" s="1"/>
  <c r="E3" i="13"/>
  <c r="F3" i="20" s="1"/>
  <c r="F3" i="13"/>
  <c r="G3" i="20" s="1"/>
  <c r="G3" i="13"/>
  <c r="H3" i="20" s="1"/>
  <c r="H3" i="13"/>
  <c r="I3" i="20" s="1"/>
  <c r="I3" i="13"/>
  <c r="J3" i="20" s="1"/>
  <c r="K3" i="20"/>
  <c r="L3" i="20"/>
  <c r="B3" i="13"/>
  <c r="C3" i="20" s="1"/>
  <c r="F3" i="25"/>
  <c r="H3" i="25"/>
  <c r="A81" i="11"/>
  <c r="A115" i="11" s="1"/>
  <c r="D3" i="6"/>
  <c r="A46" i="11"/>
  <c r="A87" i="11" s="1"/>
  <c r="F194" i="6"/>
  <c r="G194" i="6"/>
  <c r="H194" i="6"/>
  <c r="I194" i="6"/>
  <c r="J194" i="6"/>
  <c r="K194" i="6"/>
  <c r="L194" i="6"/>
  <c r="E194" i="6"/>
  <c r="I2" i="8"/>
  <c r="I14" i="8" s="1"/>
  <c r="H2" i="8"/>
  <c r="H14" i="8" s="1"/>
  <c r="F2" i="8"/>
  <c r="F14" i="8" s="1"/>
  <c r="E2" i="8"/>
  <c r="E14" i="8" s="1"/>
  <c r="D2" i="8"/>
  <c r="D14" i="8" s="1"/>
  <c r="C2" i="8"/>
  <c r="C14" i="8" s="1"/>
  <c r="B2" i="8"/>
  <c r="B14" i="8" s="1"/>
  <c r="I2" i="27"/>
  <c r="B2" i="27"/>
  <c r="C2" i="27"/>
  <c r="D2" i="27"/>
  <c r="E2" i="27"/>
  <c r="F2" i="27"/>
  <c r="G2" i="27"/>
  <c r="H2" i="27"/>
  <c r="A2" i="27"/>
  <c r="A68" i="8"/>
  <c r="A97" i="8" s="1"/>
  <c r="A52" i="8"/>
  <c r="A81" i="8" s="1"/>
  <c r="A60" i="8"/>
  <c r="A89" i="8" s="1"/>
  <c r="A13" i="2"/>
  <c r="A19" i="2"/>
  <c r="A20" i="2"/>
  <c r="C194" i="6"/>
  <c r="B194" i="6"/>
  <c r="C21" i="6"/>
  <c r="D2" i="4"/>
  <c r="A37" i="2"/>
  <c r="A38" i="2"/>
  <c r="A39" i="2"/>
  <c r="A40" i="2"/>
  <c r="A41" i="2"/>
  <c r="A42" i="2"/>
  <c r="A43" i="2"/>
  <c r="A49" i="2"/>
  <c r="A50" i="2"/>
  <c r="A31" i="2"/>
  <c r="A32" i="2"/>
  <c r="A34" i="2"/>
  <c r="A5" i="2"/>
  <c r="A6" i="2"/>
  <c r="A7" i="2"/>
  <c r="A8" i="2"/>
  <c r="A10" i="2"/>
  <c r="A11" i="2"/>
  <c r="A12" i="2"/>
  <c r="B3" i="25"/>
  <c r="E11" i="14"/>
  <c r="F11" i="14"/>
  <c r="G11" i="14"/>
  <c r="H11" i="14"/>
  <c r="I11" i="14"/>
  <c r="J11" i="14"/>
  <c r="K11" i="14"/>
  <c r="E13" i="14"/>
  <c r="F13" i="14"/>
  <c r="G13" i="14"/>
  <c r="H13" i="14"/>
  <c r="I13" i="14"/>
  <c r="J13" i="14"/>
  <c r="K13" i="14"/>
  <c r="H191" i="6"/>
  <c r="A23" i="13"/>
  <c r="A4" i="5"/>
  <c r="A15" i="23"/>
  <c r="D6" i="16"/>
  <c r="A23" i="2"/>
  <c r="A30" i="2"/>
  <c r="A9" i="3"/>
  <c r="A8" i="3"/>
  <c r="A7" i="3"/>
  <c r="A6" i="3"/>
  <c r="A67" i="8"/>
  <c r="A96" i="8" s="1"/>
  <c r="A87" i="8"/>
  <c r="A88" i="8"/>
  <c r="A61" i="8"/>
  <c r="A90" i="8" s="1"/>
  <c r="A62" i="8"/>
  <c r="A91" i="8" s="1"/>
  <c r="A63" i="8"/>
  <c r="A92" i="8" s="1"/>
  <c r="A64" i="8"/>
  <c r="A93" i="8" s="1"/>
  <c r="A65" i="8"/>
  <c r="A94" i="8" s="1"/>
  <c r="A66" i="8"/>
  <c r="A95" i="8" s="1"/>
  <c r="A86" i="8"/>
  <c r="A85" i="8"/>
  <c r="A84" i="8"/>
  <c r="A83" i="8"/>
  <c r="H171" i="6"/>
  <c r="D132" i="6"/>
  <c r="D37" i="6"/>
  <c r="D56" i="6" s="1"/>
  <c r="N8" i="21"/>
  <c r="N9" i="21"/>
  <c r="N10" i="21" s="1"/>
  <c r="L22" i="21"/>
  <c r="L19" i="21"/>
  <c r="M19" i="21"/>
  <c r="N19" i="21" s="1"/>
  <c r="O12" i="21"/>
  <c r="L8" i="21"/>
  <c r="L7" i="21"/>
  <c r="L9" i="21" s="1"/>
  <c r="L5" i="21"/>
  <c r="H8" i="21"/>
  <c r="G8" i="21"/>
  <c r="F8" i="21"/>
  <c r="E8" i="21"/>
  <c r="H7" i="21"/>
  <c r="G7" i="21"/>
  <c r="F7" i="21"/>
  <c r="E7" i="21"/>
  <c r="H6" i="21"/>
  <c r="G6" i="21"/>
  <c r="F6" i="21"/>
  <c r="E6" i="21"/>
  <c r="H4" i="21"/>
  <c r="H5" i="21" s="1"/>
  <c r="G4" i="21"/>
  <c r="G5" i="21" s="1"/>
  <c r="F4" i="21"/>
  <c r="F5" i="21" s="1"/>
  <c r="E4" i="21"/>
  <c r="E5" i="21" s="1"/>
  <c r="D8" i="21"/>
  <c r="D7" i="21"/>
  <c r="D6" i="21"/>
  <c r="D4" i="21"/>
  <c r="D5" i="21" s="1"/>
  <c r="C4" i="21"/>
  <c r="C5" i="21" s="1"/>
  <c r="A82" i="8"/>
  <c r="A52" i="2"/>
  <c r="A36" i="2"/>
  <c r="A4" i="2"/>
  <c r="M18" i="15"/>
  <c r="I18" i="15"/>
  <c r="G18" i="15"/>
  <c r="E18" i="15"/>
  <c r="M25" i="15"/>
  <c r="I25" i="15"/>
  <c r="G25" i="15"/>
  <c r="M14" i="15"/>
  <c r="M5" i="15"/>
  <c r="I14" i="15"/>
  <c r="I5" i="15"/>
  <c r="G5" i="15"/>
  <c r="E5" i="15"/>
  <c r="C5" i="15"/>
  <c r="C5" i="9"/>
  <c r="A51" i="2"/>
  <c r="A35" i="2"/>
  <c r="A21" i="2"/>
  <c r="A3" i="2"/>
  <c r="U65" i="8"/>
  <c r="D14" i="15"/>
  <c r="F14" i="15"/>
  <c r="B9" i="15"/>
  <c r="F23" i="15"/>
  <c r="H23" i="15"/>
  <c r="F24" i="15"/>
  <c r="H24" i="15"/>
  <c r="L23" i="15"/>
  <c r="L24" i="15"/>
  <c r="B27" i="15"/>
  <c r="D11" i="14"/>
  <c r="B23" i="15"/>
  <c r="B24" i="15"/>
  <c r="D13" i="14"/>
  <c r="D23" i="15"/>
  <c r="D24" i="15"/>
  <c r="J3" i="25"/>
  <c r="G45" i="11"/>
  <c r="G86" i="11" s="1"/>
  <c r="B10" i="2"/>
  <c r="C10" i="2" s="1"/>
  <c r="E10" i="2" s="1"/>
  <c r="F10" i="2" s="1"/>
  <c r="G10" i="2" s="1"/>
  <c r="R2" i="24"/>
  <c r="F11" i="8"/>
  <c r="Q2" i="24"/>
  <c r="M2" i="24"/>
  <c r="B16" i="8"/>
  <c r="C11" i="8"/>
  <c r="N2" i="24"/>
  <c r="S2" i="24"/>
  <c r="V2" i="24"/>
  <c r="O2" i="24"/>
  <c r="I11" i="8"/>
  <c r="T2" i="24"/>
  <c r="U2" i="24"/>
  <c r="P2" i="24"/>
  <c r="D3" i="25"/>
  <c r="H16" i="8"/>
  <c r="H45" i="11"/>
  <c r="H86" i="11" s="1"/>
  <c r="E3" i="25"/>
  <c r="D11" i="27"/>
  <c r="E11" i="27" s="1"/>
  <c r="F11" i="27" s="1"/>
  <c r="G11" i="27" s="1"/>
  <c r="H11" i="27" s="1"/>
  <c r="I11" i="27" s="1"/>
  <c r="E230" i="6"/>
  <c r="E231" i="6"/>
  <c r="G79" i="8" s="1"/>
  <c r="H17" i="8"/>
  <c r="D17" i="8"/>
  <c r="I17" i="8"/>
  <c r="F17" i="8"/>
  <c r="C54" i="2"/>
  <c r="E54" i="2" s="1"/>
  <c r="F54" i="2" s="1"/>
  <c r="G54" i="2" s="1"/>
  <c r="H54" i="2" s="1"/>
  <c r="I54" i="2" s="1"/>
  <c r="J54" i="2" s="1"/>
  <c r="K54" i="2" s="1"/>
  <c r="L54" i="2" s="1"/>
  <c r="B4" i="12" l="1"/>
  <c r="E3" i="12"/>
  <c r="B36" i="11" s="1"/>
  <c r="I22" i="15"/>
  <c r="I28" i="15" s="1"/>
  <c r="H5" i="6"/>
  <c r="H18" i="6" s="1"/>
  <c r="O21" i="6"/>
  <c r="C22" i="15"/>
  <c r="B9" i="6"/>
  <c r="B6" i="6"/>
  <c r="B149" i="6"/>
  <c r="J29" i="2"/>
  <c r="P29" i="2"/>
  <c r="I28" i="2"/>
  <c r="J27" i="2"/>
  <c r="P27" i="2"/>
  <c r="B15" i="6"/>
  <c r="B25" i="6"/>
  <c r="B46" i="6"/>
  <c r="B22" i="6"/>
  <c r="B23" i="6"/>
  <c r="B34" i="6"/>
  <c r="B28" i="6"/>
  <c r="B4" i="6"/>
  <c r="B27" i="6"/>
  <c r="B26" i="6"/>
  <c r="B3" i="6"/>
  <c r="B44" i="6"/>
  <c r="B8" i="6"/>
  <c r="B36" i="6"/>
  <c r="B16" i="6"/>
  <c r="K16" i="6" s="1"/>
  <c r="E22" i="15"/>
  <c r="J11" i="6"/>
  <c r="I11" i="6"/>
  <c r="I17" i="6"/>
  <c r="J17" i="6"/>
  <c r="I8" i="6"/>
  <c r="J8" i="6"/>
  <c r="J7" i="6"/>
  <c r="I7" i="6"/>
  <c r="I12" i="6"/>
  <c r="J12" i="6"/>
  <c r="I6" i="6"/>
  <c r="J6" i="6"/>
  <c r="I4" i="6"/>
  <c r="J4" i="6"/>
  <c r="I9" i="6"/>
  <c r="J9" i="6"/>
  <c r="J15" i="6"/>
  <c r="I15" i="6"/>
  <c r="J5" i="6"/>
  <c r="I5" i="6"/>
  <c r="J10" i="6"/>
  <c r="I10" i="6"/>
  <c r="I16" i="6"/>
  <c r="J16" i="6"/>
  <c r="J3" i="6"/>
  <c r="I3" i="6"/>
  <c r="I63" i="8"/>
  <c r="I92" i="8" s="1"/>
  <c r="I58" i="8"/>
  <c r="I65" i="8"/>
  <c r="I59" i="8"/>
  <c r="I88" i="8" s="1"/>
  <c r="I57" i="8"/>
  <c r="I55" i="8"/>
  <c r="I84" i="8" s="1"/>
  <c r="I53" i="8"/>
  <c r="I56" i="8"/>
  <c r="I85" i="8" s="1"/>
  <c r="I54" i="8"/>
  <c r="I67" i="8"/>
  <c r="I96" i="8" s="1"/>
  <c r="I61" i="8"/>
  <c r="I90" i="8" s="1"/>
  <c r="I62" i="8"/>
  <c r="I91" i="8" s="1"/>
  <c r="C67" i="8"/>
  <c r="C61" i="8"/>
  <c r="C59" i="8"/>
  <c r="C55" i="8"/>
  <c r="C65" i="8"/>
  <c r="C62" i="8"/>
  <c r="C58" i="8"/>
  <c r="C54" i="8"/>
  <c r="C63" i="8"/>
  <c r="C57" i="8"/>
  <c r="C53" i="8"/>
  <c r="C56" i="8"/>
  <c r="F62" i="8"/>
  <c r="F58" i="8"/>
  <c r="F56" i="8"/>
  <c r="F54" i="8"/>
  <c r="F63" i="8"/>
  <c r="F67" i="8"/>
  <c r="F61" i="8"/>
  <c r="F65" i="8"/>
  <c r="F59" i="8"/>
  <c r="F57" i="8"/>
  <c r="F55" i="8"/>
  <c r="F53" i="8"/>
  <c r="D39" i="8"/>
  <c r="D31" i="8" s="1"/>
  <c r="I39" i="8"/>
  <c r="I51" i="8" s="1"/>
  <c r="I80" i="8" s="1"/>
  <c r="H39" i="8"/>
  <c r="H31" i="8" s="1"/>
  <c r="E39" i="8"/>
  <c r="E31" i="8" s="1"/>
  <c r="C39" i="8"/>
  <c r="C31" i="8" s="1"/>
  <c r="B39" i="8"/>
  <c r="B31" i="8" s="1"/>
  <c r="A33" i="5"/>
  <c r="D33" i="5" s="1"/>
  <c r="F39" i="8"/>
  <c r="F51" i="8" s="1"/>
  <c r="F80" i="8" s="1"/>
  <c r="G39" i="8"/>
  <c r="G51" i="8" s="1"/>
  <c r="G80" i="8" s="1"/>
  <c r="C11" i="6"/>
  <c r="A35" i="5"/>
  <c r="D35" i="5" s="1"/>
  <c r="C125" i="6"/>
  <c r="N11" i="21"/>
  <c r="P11" i="21" s="1"/>
  <c r="L10" i="21"/>
  <c r="L12" i="21" s="1"/>
  <c r="A15" i="5"/>
  <c r="D75" i="6"/>
  <c r="D191" i="6" s="1"/>
  <c r="D171" i="6"/>
  <c r="D151" i="6"/>
  <c r="B14" i="2"/>
  <c r="C14" i="2" s="1"/>
  <c r="E14" i="2" s="1"/>
  <c r="F14" i="2" s="1"/>
  <c r="G14" i="2" s="1"/>
  <c r="H14" i="2" s="1"/>
  <c r="I14" i="2" s="1"/>
  <c r="J14" i="2" s="1"/>
  <c r="K14" i="2" s="1"/>
  <c r="L14" i="2" s="1"/>
  <c r="S14" i="2" s="1"/>
  <c r="B11" i="2"/>
  <c r="C11" i="2" s="1"/>
  <c r="B12" i="2"/>
  <c r="C12" i="2" s="1"/>
  <c r="E12" i="2" s="1"/>
  <c r="F12" i="2" s="1"/>
  <c r="G12" i="2" s="1"/>
  <c r="B39" i="2"/>
  <c r="C39" i="2" s="1"/>
  <c r="E39" i="2" s="1"/>
  <c r="F39" i="2" s="1"/>
  <c r="G39" i="2" s="1"/>
  <c r="B25" i="2"/>
  <c r="B167" i="1"/>
  <c r="B38" i="2"/>
  <c r="C38" i="2" s="1"/>
  <c r="E38" i="2" s="1"/>
  <c r="F38" i="2" s="1"/>
  <c r="G38" i="2" s="1"/>
  <c r="B179" i="1"/>
  <c r="B178" i="1" s="1"/>
  <c r="E56" i="1"/>
  <c r="B161" i="1"/>
  <c r="B26" i="2"/>
  <c r="B163" i="1"/>
  <c r="F17" i="6"/>
  <c r="F7" i="6"/>
  <c r="F8" i="6"/>
  <c r="F9" i="6"/>
  <c r="F15" i="6"/>
  <c r="G22" i="15"/>
  <c r="G28" i="15" s="1"/>
  <c r="H15" i="8"/>
  <c r="F15" i="8"/>
  <c r="F13" i="6"/>
  <c r="F16" i="6"/>
  <c r="F6" i="6"/>
  <c r="F4" i="6"/>
  <c r="B33" i="2"/>
  <c r="C33" i="2" s="1"/>
  <c r="E33" i="2" s="1"/>
  <c r="F33" i="2" s="1"/>
  <c r="G33" i="2" s="1"/>
  <c r="G31" i="2"/>
  <c r="F17" i="14"/>
  <c r="E6" i="20"/>
  <c r="F16" i="8"/>
  <c r="F5" i="6"/>
  <c r="F12" i="6"/>
  <c r="F10" i="6"/>
  <c r="F11" i="6"/>
  <c r="D16" i="8"/>
  <c r="D15" i="8"/>
  <c r="I16" i="8"/>
  <c r="I15" i="8"/>
  <c r="A57" i="11"/>
  <c r="A91" i="11" s="1"/>
  <c r="A16" i="13"/>
  <c r="C13" i="6"/>
  <c r="K13" i="6" s="1"/>
  <c r="H18" i="8"/>
  <c r="C127" i="6" s="1"/>
  <c r="M99" i="24"/>
  <c r="M103" i="24"/>
  <c r="M102" i="24"/>
  <c r="M98" i="24"/>
  <c r="M95" i="24"/>
  <c r="M100" i="24"/>
  <c r="M101" i="24"/>
  <c r="M115" i="24"/>
  <c r="M110" i="24"/>
  <c r="M94" i="24"/>
  <c r="M116" i="24"/>
  <c r="M109" i="24"/>
  <c r="M106" i="24"/>
  <c r="M104" i="24"/>
  <c r="M97" i="24"/>
  <c r="M111" i="24"/>
  <c r="M96" i="24"/>
  <c r="M113" i="24"/>
  <c r="M105" i="24"/>
  <c r="M112" i="24"/>
  <c r="M108" i="24"/>
  <c r="M92" i="24"/>
  <c r="M90" i="24"/>
  <c r="M91" i="24"/>
  <c r="M114" i="24"/>
  <c r="M93" i="24"/>
  <c r="M107" i="24"/>
  <c r="M89" i="24"/>
  <c r="R94" i="24"/>
  <c r="R104" i="24"/>
  <c r="R116" i="24"/>
  <c r="R97" i="24"/>
  <c r="R93" i="24"/>
  <c r="R109" i="24"/>
  <c r="R110" i="24"/>
  <c r="R100" i="24"/>
  <c r="R99" i="24"/>
  <c r="R95" i="24"/>
  <c r="R115" i="24"/>
  <c r="R105" i="24"/>
  <c r="R103" i="24"/>
  <c r="R101" i="24"/>
  <c r="R102" i="24"/>
  <c r="R98" i="24"/>
  <c r="R106" i="24"/>
  <c r="R111" i="24"/>
  <c r="R91" i="24"/>
  <c r="R90" i="24"/>
  <c r="R112" i="24"/>
  <c r="R108" i="24"/>
  <c r="R89" i="24"/>
  <c r="R107" i="24"/>
  <c r="R92" i="24"/>
  <c r="R114" i="24"/>
  <c r="R113" i="24"/>
  <c r="R96" i="24"/>
  <c r="Q100" i="24"/>
  <c r="Q97" i="24"/>
  <c r="Q99" i="24"/>
  <c r="Q116" i="24"/>
  <c r="Q109" i="24"/>
  <c r="Q104" i="24"/>
  <c r="Q103" i="24"/>
  <c r="Q101" i="24"/>
  <c r="Q102" i="24"/>
  <c r="Q106" i="24"/>
  <c r="Q95" i="24"/>
  <c r="Q94" i="24"/>
  <c r="Q114" i="24"/>
  <c r="Q115" i="24"/>
  <c r="Q110" i="24"/>
  <c r="Q98" i="24"/>
  <c r="Q93" i="24"/>
  <c r="Q105" i="24"/>
  <c r="Q113" i="24"/>
  <c r="Q107" i="24"/>
  <c r="Q91" i="24"/>
  <c r="Q89" i="24"/>
  <c r="Q111" i="24"/>
  <c r="Q96" i="24"/>
  <c r="Q112" i="24"/>
  <c r="Q108" i="24"/>
  <c r="Q92" i="24"/>
  <c r="Q90" i="24"/>
  <c r="U116" i="24"/>
  <c r="U109" i="24"/>
  <c r="U104" i="24"/>
  <c r="U103" i="24"/>
  <c r="U101" i="24"/>
  <c r="U97" i="24"/>
  <c r="U94" i="24"/>
  <c r="U114" i="24"/>
  <c r="U115" i="24"/>
  <c r="U110" i="24"/>
  <c r="U102" i="24"/>
  <c r="U98" i="24"/>
  <c r="U93" i="24"/>
  <c r="U99" i="24"/>
  <c r="U95" i="24"/>
  <c r="U111" i="24"/>
  <c r="U100" i="24"/>
  <c r="U105" i="24"/>
  <c r="U112" i="24"/>
  <c r="U92" i="24"/>
  <c r="U113" i="24"/>
  <c r="U107" i="24"/>
  <c r="U91" i="24"/>
  <c r="U89" i="24"/>
  <c r="U106" i="24"/>
  <c r="U108" i="24"/>
  <c r="U90" i="24"/>
  <c r="U96" i="24"/>
  <c r="O99" i="24"/>
  <c r="O102" i="24"/>
  <c r="O115" i="24"/>
  <c r="O95" i="24"/>
  <c r="O98" i="24"/>
  <c r="O100" i="24"/>
  <c r="O110" i="24"/>
  <c r="O105" i="24"/>
  <c r="O101" i="24"/>
  <c r="O104" i="24"/>
  <c r="O109" i="24"/>
  <c r="O116" i="24"/>
  <c r="O97" i="24"/>
  <c r="O103" i="24"/>
  <c r="O94" i="24"/>
  <c r="O92" i="24"/>
  <c r="O90" i="24"/>
  <c r="O108" i="24"/>
  <c r="O96" i="24"/>
  <c r="O106" i="24"/>
  <c r="O114" i="24"/>
  <c r="O111" i="24"/>
  <c r="O112" i="24"/>
  <c r="O107" i="24"/>
  <c r="O91" i="24"/>
  <c r="O89" i="24"/>
  <c r="O113" i="24"/>
  <c r="O93" i="24"/>
  <c r="S116" i="24"/>
  <c r="S109" i="24"/>
  <c r="S104" i="24"/>
  <c r="S100" i="24"/>
  <c r="S97" i="24"/>
  <c r="S94" i="24"/>
  <c r="S99" i="24"/>
  <c r="S102" i="24"/>
  <c r="S98" i="24"/>
  <c r="S101" i="24"/>
  <c r="S103" i="24"/>
  <c r="S95" i="24"/>
  <c r="S110" i="24"/>
  <c r="S115" i="24"/>
  <c r="S111" i="24"/>
  <c r="S93" i="24"/>
  <c r="S113" i="24"/>
  <c r="S108" i="24"/>
  <c r="S96" i="24"/>
  <c r="S89" i="24"/>
  <c r="S114" i="24"/>
  <c r="S105" i="24"/>
  <c r="S92" i="24"/>
  <c r="S90" i="24"/>
  <c r="S106" i="24"/>
  <c r="S112" i="24"/>
  <c r="S107" i="24"/>
  <c r="S91" i="24"/>
  <c r="P109" i="24"/>
  <c r="P116" i="24"/>
  <c r="P103" i="24"/>
  <c r="P102" i="24"/>
  <c r="P101" i="24"/>
  <c r="P98" i="24"/>
  <c r="P110" i="24"/>
  <c r="P104" i="24"/>
  <c r="P97" i="24"/>
  <c r="P94" i="24"/>
  <c r="P115" i="24"/>
  <c r="P99" i="24"/>
  <c r="P95" i="24"/>
  <c r="P100" i="24"/>
  <c r="P112" i="24"/>
  <c r="P114" i="24"/>
  <c r="P89" i="24"/>
  <c r="P93" i="24"/>
  <c r="P107" i="24"/>
  <c r="P96" i="24"/>
  <c r="P111" i="24"/>
  <c r="P105" i="24"/>
  <c r="P106" i="24"/>
  <c r="P113" i="24"/>
  <c r="P92" i="24"/>
  <c r="P90" i="24"/>
  <c r="P108" i="24"/>
  <c r="P91" i="24"/>
  <c r="T104" i="24"/>
  <c r="T98" i="24"/>
  <c r="T94" i="24"/>
  <c r="T95" i="24"/>
  <c r="T99" i="24"/>
  <c r="T102" i="24"/>
  <c r="T97" i="24"/>
  <c r="T116" i="24"/>
  <c r="T111" i="24"/>
  <c r="T105" i="24"/>
  <c r="T106" i="24"/>
  <c r="T103" i="24"/>
  <c r="T101" i="24"/>
  <c r="T115" i="24"/>
  <c r="T110" i="24"/>
  <c r="T109" i="24"/>
  <c r="T100" i="24"/>
  <c r="T108" i="24"/>
  <c r="T92" i="24"/>
  <c r="T91" i="24"/>
  <c r="T89" i="24"/>
  <c r="T113" i="24"/>
  <c r="T90" i="24"/>
  <c r="T112" i="24"/>
  <c r="T114" i="24"/>
  <c r="T93" i="24"/>
  <c r="T107" i="24"/>
  <c r="T96" i="24"/>
  <c r="V104" i="24"/>
  <c r="V109" i="24"/>
  <c r="V100" i="24"/>
  <c r="V99" i="24"/>
  <c r="V97" i="24"/>
  <c r="V93" i="24"/>
  <c r="V115" i="24"/>
  <c r="V105" i="24"/>
  <c r="V103" i="24"/>
  <c r="V101" i="24"/>
  <c r="V95" i="24"/>
  <c r="V98" i="24"/>
  <c r="V116" i="24"/>
  <c r="V94" i="24"/>
  <c r="V106" i="24"/>
  <c r="V102" i="24"/>
  <c r="V114" i="24"/>
  <c r="V110" i="24"/>
  <c r="V113" i="24"/>
  <c r="V107" i="24"/>
  <c r="V96" i="24"/>
  <c r="V91" i="24"/>
  <c r="V90" i="24"/>
  <c r="V89" i="24"/>
  <c r="V111" i="24"/>
  <c r="V112" i="24"/>
  <c r="V108" i="24"/>
  <c r="V92" i="24"/>
  <c r="N104" i="24"/>
  <c r="N102" i="24"/>
  <c r="N98" i="24"/>
  <c r="N93" i="24"/>
  <c r="N100" i="24"/>
  <c r="N97" i="24"/>
  <c r="N115" i="24"/>
  <c r="N105" i="24"/>
  <c r="N103" i="24"/>
  <c r="N116" i="24"/>
  <c r="N99" i="24"/>
  <c r="N94" i="24"/>
  <c r="N109" i="24"/>
  <c r="N106" i="24"/>
  <c r="N101" i="24"/>
  <c r="N95" i="24"/>
  <c r="N114" i="24"/>
  <c r="N112" i="24"/>
  <c r="N108" i="24"/>
  <c r="N92" i="24"/>
  <c r="N96" i="24"/>
  <c r="N89" i="24"/>
  <c r="N110" i="24"/>
  <c r="N111" i="24"/>
  <c r="N113" i="24"/>
  <c r="N107" i="24"/>
  <c r="N91" i="24"/>
  <c r="N90" i="24"/>
  <c r="N227" i="24"/>
  <c r="N231" i="24"/>
  <c r="N230" i="24"/>
  <c r="N228" i="24"/>
  <c r="N232" i="24"/>
  <c r="N225" i="24"/>
  <c r="N229" i="24"/>
  <c r="N233" i="24"/>
  <c r="N226" i="24"/>
  <c r="M226" i="24"/>
  <c r="M228" i="24"/>
  <c r="M230" i="24"/>
  <c r="M232" i="24"/>
  <c r="M225" i="24"/>
  <c r="M227" i="24"/>
  <c r="M229" i="24"/>
  <c r="M231" i="24"/>
  <c r="M233" i="24"/>
  <c r="O225" i="24"/>
  <c r="O229" i="24"/>
  <c r="O233" i="24"/>
  <c r="O226" i="24"/>
  <c r="O228" i="24"/>
  <c r="O232" i="24"/>
  <c r="O230" i="24"/>
  <c r="O227" i="24"/>
  <c r="O231" i="24"/>
  <c r="U228" i="24"/>
  <c r="U232" i="24"/>
  <c r="U227" i="24"/>
  <c r="U231" i="24"/>
  <c r="U226" i="24"/>
  <c r="U230" i="24"/>
  <c r="U225" i="24"/>
  <c r="U229" i="24"/>
  <c r="U233" i="24"/>
  <c r="S226" i="24"/>
  <c r="S230" i="24"/>
  <c r="S225" i="24"/>
  <c r="S229" i="24"/>
  <c r="S233" i="24"/>
  <c r="S228" i="24"/>
  <c r="S232" i="24"/>
  <c r="S227" i="24"/>
  <c r="S231" i="24"/>
  <c r="T227" i="24"/>
  <c r="T231" i="24"/>
  <c r="T226" i="24"/>
  <c r="T230" i="24"/>
  <c r="T225" i="24"/>
  <c r="T229" i="24"/>
  <c r="T233" i="24"/>
  <c r="T228" i="24"/>
  <c r="T232" i="24"/>
  <c r="V225" i="24"/>
  <c r="V229" i="24"/>
  <c r="V233" i="24"/>
  <c r="V228" i="24"/>
  <c r="V232" i="24"/>
  <c r="V227" i="24"/>
  <c r="V231" i="24"/>
  <c r="V226" i="24"/>
  <c r="V230" i="24"/>
  <c r="R225" i="24"/>
  <c r="R226" i="24"/>
  <c r="R227" i="24"/>
  <c r="R228" i="24"/>
  <c r="R229" i="24"/>
  <c r="R230" i="24"/>
  <c r="R231" i="24"/>
  <c r="R232" i="24"/>
  <c r="R233" i="24"/>
  <c r="Q228" i="24"/>
  <c r="Q232" i="24"/>
  <c r="Q231" i="24"/>
  <c r="Q225" i="24"/>
  <c r="Q229" i="24"/>
  <c r="Q233" i="24"/>
  <c r="Q227" i="24"/>
  <c r="Q226" i="24"/>
  <c r="Q230" i="24"/>
  <c r="P225" i="24"/>
  <c r="P227" i="24"/>
  <c r="P229" i="24"/>
  <c r="P231" i="24"/>
  <c r="P233" i="24"/>
  <c r="P226" i="24"/>
  <c r="P228" i="24"/>
  <c r="P230" i="24"/>
  <c r="P232" i="24"/>
  <c r="M22" i="15"/>
  <c r="M28" i="15" s="1"/>
  <c r="D5" i="25"/>
  <c r="C3" i="27"/>
  <c r="C8" i="27" s="1"/>
  <c r="F3" i="27"/>
  <c r="G5" i="25"/>
  <c r="L3" i="12"/>
  <c r="I36" i="11" s="1"/>
  <c r="J5" i="25"/>
  <c r="I3" i="27"/>
  <c r="I13" i="27" s="1"/>
  <c r="M373" i="24"/>
  <c r="M401" i="24"/>
  <c r="M429" i="24"/>
  <c r="M374" i="24"/>
  <c r="M396" i="24"/>
  <c r="M397" i="24"/>
  <c r="M378" i="24"/>
  <c r="M402" i="24"/>
  <c r="M415" i="24"/>
  <c r="M406" i="24"/>
  <c r="M412" i="24"/>
  <c r="M393" i="24"/>
  <c r="M408" i="24"/>
  <c r="M392" i="24"/>
  <c r="M414" i="24"/>
  <c r="M424" i="24"/>
  <c r="M395" i="24"/>
  <c r="M387" i="24"/>
  <c r="M379" i="24"/>
  <c r="M434" i="24"/>
  <c r="M410" i="24"/>
  <c r="M426" i="24"/>
  <c r="M389" i="24"/>
  <c r="M376" i="24"/>
  <c r="M399" i="24"/>
  <c r="M435" i="24"/>
  <c r="M427" i="24"/>
  <c r="M430" i="24"/>
  <c r="M422" i="24"/>
  <c r="M432" i="24"/>
  <c r="M421" i="24"/>
  <c r="M403" i="24"/>
  <c r="M391" i="24"/>
  <c r="M381" i="24"/>
  <c r="M404" i="24"/>
  <c r="M417" i="24"/>
  <c r="M380" i="24"/>
  <c r="M419" i="24"/>
  <c r="M433" i="24"/>
  <c r="M409" i="24"/>
  <c r="M405" i="24"/>
  <c r="M400" i="24"/>
  <c r="M431" i="24"/>
  <c r="M411" i="24"/>
  <c r="M423" i="24"/>
  <c r="M394" i="24"/>
  <c r="M420" i="24"/>
  <c r="M413" i="24"/>
  <c r="M436" i="24"/>
  <c r="M425" i="24"/>
  <c r="M382" i="24"/>
  <c r="M385" i="24"/>
  <c r="M384" i="24"/>
  <c r="M383" i="24"/>
  <c r="M388" i="24"/>
  <c r="M375" i="24"/>
  <c r="M390" i="24"/>
  <c r="M428" i="24"/>
  <c r="M416" i="24"/>
  <c r="M407" i="24"/>
  <c r="M377" i="24"/>
  <c r="M398" i="24"/>
  <c r="M418" i="24"/>
  <c r="M386" i="24"/>
  <c r="R429" i="24"/>
  <c r="R396" i="24"/>
  <c r="R401" i="24"/>
  <c r="R378" i="24"/>
  <c r="R374" i="24"/>
  <c r="R373" i="24"/>
  <c r="R397" i="24"/>
  <c r="R402" i="24"/>
  <c r="R412" i="24"/>
  <c r="R384" i="24"/>
  <c r="R431" i="24"/>
  <c r="R411" i="24"/>
  <c r="R413" i="24"/>
  <c r="R400" i="24"/>
  <c r="R399" i="24"/>
  <c r="R393" i="24"/>
  <c r="R414" i="24"/>
  <c r="R424" i="24"/>
  <c r="R395" i="24"/>
  <c r="R387" i="24"/>
  <c r="R379" i="24"/>
  <c r="R434" i="24"/>
  <c r="R406" i="24"/>
  <c r="R426" i="24"/>
  <c r="R389" i="24"/>
  <c r="R392" i="24"/>
  <c r="R425" i="24"/>
  <c r="R388" i="24"/>
  <c r="R423" i="24"/>
  <c r="R409" i="24"/>
  <c r="R398" i="24"/>
  <c r="R385" i="24"/>
  <c r="R420" i="24"/>
  <c r="R383" i="24"/>
  <c r="R428" i="24"/>
  <c r="R418" i="24"/>
  <c r="R436" i="24"/>
  <c r="R394" i="24"/>
  <c r="R386" i="24"/>
  <c r="R405" i="24"/>
  <c r="R408" i="24"/>
  <c r="R410" i="24"/>
  <c r="R376" i="24"/>
  <c r="R404" i="24"/>
  <c r="R380" i="24"/>
  <c r="R435" i="24"/>
  <c r="R432" i="24"/>
  <c r="R382" i="24"/>
  <c r="R377" i="24"/>
  <c r="R417" i="24"/>
  <c r="R419" i="24"/>
  <c r="R430" i="24"/>
  <c r="R403" i="24"/>
  <c r="R381" i="24"/>
  <c r="R375" i="24"/>
  <c r="R427" i="24"/>
  <c r="R390" i="24"/>
  <c r="R422" i="24"/>
  <c r="R415" i="24"/>
  <c r="R421" i="24"/>
  <c r="R391" i="24"/>
  <c r="R416" i="24"/>
  <c r="R407" i="24"/>
  <c r="R433" i="24"/>
  <c r="U396" i="24"/>
  <c r="U374" i="24"/>
  <c r="U401" i="24"/>
  <c r="U397" i="24"/>
  <c r="U429" i="24"/>
  <c r="U373" i="24"/>
  <c r="U402" i="24"/>
  <c r="U400" i="24"/>
  <c r="U412" i="24"/>
  <c r="U398" i="24"/>
  <c r="U378" i="24"/>
  <c r="U421" i="24"/>
  <c r="U384" i="24"/>
  <c r="U413" i="24"/>
  <c r="U422" i="24"/>
  <c r="U385" i="24"/>
  <c r="U415" i="24"/>
  <c r="U432" i="24"/>
  <c r="U403" i="24"/>
  <c r="U420" i="24"/>
  <c r="U391" i="24"/>
  <c r="U383" i="24"/>
  <c r="U428" i="24"/>
  <c r="U418" i="24"/>
  <c r="U381" i="24"/>
  <c r="U436" i="24"/>
  <c r="U408" i="24"/>
  <c r="U406" i="24"/>
  <c r="U376" i="24"/>
  <c r="U425" i="24"/>
  <c r="U388" i="24"/>
  <c r="U394" i="24"/>
  <c r="U390" i="24"/>
  <c r="U386" i="24"/>
  <c r="U382" i="24"/>
  <c r="U399" i="24"/>
  <c r="U395" i="24"/>
  <c r="U379" i="24"/>
  <c r="U410" i="24"/>
  <c r="U389" i="24"/>
  <c r="U416" i="24"/>
  <c r="U375" i="24"/>
  <c r="U435" i="24"/>
  <c r="U407" i="24"/>
  <c r="U427" i="24"/>
  <c r="U377" i="24"/>
  <c r="U430" i="24"/>
  <c r="U392" i="24"/>
  <c r="U404" i="24"/>
  <c r="U417" i="24"/>
  <c r="U380" i="24"/>
  <c r="U419" i="24"/>
  <c r="U393" i="24"/>
  <c r="U431" i="24"/>
  <c r="U387" i="24"/>
  <c r="U411" i="24"/>
  <c r="U434" i="24"/>
  <c r="U423" i="24"/>
  <c r="U433" i="24"/>
  <c r="U409" i="24"/>
  <c r="U414" i="24"/>
  <c r="U426" i="24"/>
  <c r="U405" i="24"/>
  <c r="U424" i="24"/>
  <c r="S396" i="24"/>
  <c r="S399" i="24"/>
  <c r="S400" i="24"/>
  <c r="S374" i="24"/>
  <c r="S378" i="24"/>
  <c r="S429" i="24"/>
  <c r="S373" i="24"/>
  <c r="S402" i="24"/>
  <c r="S401" i="24"/>
  <c r="S397" i="24"/>
  <c r="S398" i="24"/>
  <c r="S412" i="24"/>
  <c r="S432" i="24"/>
  <c r="S421" i="24"/>
  <c r="S384" i="24"/>
  <c r="S431" i="24"/>
  <c r="S413" i="24"/>
  <c r="S428" i="24"/>
  <c r="S410" i="24"/>
  <c r="S406" i="24"/>
  <c r="S422" i="24"/>
  <c r="S385" i="24"/>
  <c r="S395" i="24"/>
  <c r="S387" i="24"/>
  <c r="S379" i="24"/>
  <c r="S418" i="24"/>
  <c r="S381" i="24"/>
  <c r="S415" i="24"/>
  <c r="S392" i="24"/>
  <c r="S411" i="24"/>
  <c r="S391" i="24"/>
  <c r="S416" i="24"/>
  <c r="S425" i="24"/>
  <c r="S388" i="24"/>
  <c r="S423" i="24"/>
  <c r="S394" i="24"/>
  <c r="S386" i="24"/>
  <c r="S409" i="24"/>
  <c r="S430" i="24"/>
  <c r="S393" i="24"/>
  <c r="S414" i="24"/>
  <c r="S403" i="24"/>
  <c r="S434" i="24"/>
  <c r="S426" i="24"/>
  <c r="S377" i="24"/>
  <c r="S408" i="24"/>
  <c r="S424" i="24"/>
  <c r="S383" i="24"/>
  <c r="S376" i="24"/>
  <c r="S436" i="24"/>
  <c r="S404" i="24"/>
  <c r="S417" i="24"/>
  <c r="S380" i="24"/>
  <c r="S435" i="24"/>
  <c r="S407" i="24"/>
  <c r="S427" i="24"/>
  <c r="S419" i="24"/>
  <c r="S405" i="24"/>
  <c r="S433" i="24"/>
  <c r="S420" i="24"/>
  <c r="S389" i="24"/>
  <c r="S382" i="24"/>
  <c r="S375" i="24"/>
  <c r="S390" i="24"/>
  <c r="P378" i="24"/>
  <c r="P397" i="24"/>
  <c r="P429" i="24"/>
  <c r="P402" i="24"/>
  <c r="P399" i="24"/>
  <c r="P400" i="24"/>
  <c r="P373" i="24"/>
  <c r="P396" i="24"/>
  <c r="P401" i="24"/>
  <c r="P374" i="24"/>
  <c r="P412" i="24"/>
  <c r="P385" i="24"/>
  <c r="P411" i="24"/>
  <c r="P424" i="24"/>
  <c r="P395" i="24"/>
  <c r="P387" i="24"/>
  <c r="P379" i="24"/>
  <c r="P418" i="24"/>
  <c r="P381" i="24"/>
  <c r="P421" i="24"/>
  <c r="P384" i="24"/>
  <c r="P414" i="24"/>
  <c r="P431" i="24"/>
  <c r="P413" i="24"/>
  <c r="P434" i="24"/>
  <c r="P410" i="24"/>
  <c r="P406" i="24"/>
  <c r="P426" i="24"/>
  <c r="P398" i="24"/>
  <c r="P422" i="24"/>
  <c r="P432" i="24"/>
  <c r="P403" i="24"/>
  <c r="P389" i="24"/>
  <c r="P436" i="24"/>
  <c r="P377" i="24"/>
  <c r="P415" i="24"/>
  <c r="P392" i="24"/>
  <c r="P391" i="24"/>
  <c r="P425" i="24"/>
  <c r="P388" i="24"/>
  <c r="P423" i="24"/>
  <c r="P394" i="24"/>
  <c r="P386" i="24"/>
  <c r="P430" i="24"/>
  <c r="P393" i="24"/>
  <c r="P420" i="24"/>
  <c r="P428" i="24"/>
  <c r="P416" i="24"/>
  <c r="P375" i="24"/>
  <c r="P435" i="24"/>
  <c r="P407" i="24"/>
  <c r="P390" i="24"/>
  <c r="P433" i="24"/>
  <c r="P408" i="24"/>
  <c r="P404" i="24"/>
  <c r="P427" i="24"/>
  <c r="P405" i="24"/>
  <c r="P383" i="24"/>
  <c r="P417" i="24"/>
  <c r="P419" i="24"/>
  <c r="P382" i="24"/>
  <c r="P409" i="24"/>
  <c r="P376" i="24"/>
  <c r="P380" i="24"/>
  <c r="T401" i="24"/>
  <c r="T397" i="24"/>
  <c r="T400" i="24"/>
  <c r="T396" i="24"/>
  <c r="T412" i="24"/>
  <c r="T398" i="24"/>
  <c r="T402" i="24"/>
  <c r="T378" i="24"/>
  <c r="T429" i="24"/>
  <c r="T374" i="24"/>
  <c r="T430" i="24"/>
  <c r="T399" i="24"/>
  <c r="T373" i="24"/>
  <c r="T415" i="24"/>
  <c r="T408" i="24"/>
  <c r="T392" i="24"/>
  <c r="T414" i="24"/>
  <c r="T403" i="24"/>
  <c r="T420" i="24"/>
  <c r="T391" i="24"/>
  <c r="T383" i="24"/>
  <c r="T434" i="24"/>
  <c r="T426" i="24"/>
  <c r="T389" i="24"/>
  <c r="T376" i="24"/>
  <c r="T393" i="24"/>
  <c r="T411" i="24"/>
  <c r="T424" i="24"/>
  <c r="T421" i="24"/>
  <c r="T431" i="24"/>
  <c r="T395" i="24"/>
  <c r="T379" i="24"/>
  <c r="T410" i="24"/>
  <c r="T381" i="24"/>
  <c r="T404" i="24"/>
  <c r="T417" i="24"/>
  <c r="T380" i="24"/>
  <c r="T375" i="24"/>
  <c r="T435" i="24"/>
  <c r="T407" i="24"/>
  <c r="T427" i="24"/>
  <c r="T419" i="24"/>
  <c r="T390" i="24"/>
  <c r="T382" i="24"/>
  <c r="T433" i="24"/>
  <c r="T409" i="24"/>
  <c r="T405" i="24"/>
  <c r="T422" i="24"/>
  <c r="T432" i="24"/>
  <c r="T436" i="24"/>
  <c r="T384" i="24"/>
  <c r="T387" i="24"/>
  <c r="T413" i="24"/>
  <c r="T406" i="24"/>
  <c r="T418" i="24"/>
  <c r="T425" i="24"/>
  <c r="T388" i="24"/>
  <c r="T423" i="24"/>
  <c r="T394" i="24"/>
  <c r="T416" i="24"/>
  <c r="T386" i="24"/>
  <c r="T385" i="24"/>
  <c r="T377" i="24"/>
  <c r="T428" i="24"/>
  <c r="V374" i="24"/>
  <c r="V401" i="24"/>
  <c r="V397" i="24"/>
  <c r="V429" i="24"/>
  <c r="V396" i="24"/>
  <c r="V400" i="24"/>
  <c r="V378" i="24"/>
  <c r="V373" i="24"/>
  <c r="V412" i="24"/>
  <c r="V422" i="24"/>
  <c r="V385" i="24"/>
  <c r="V432" i="24"/>
  <c r="V408" i="24"/>
  <c r="V392" i="24"/>
  <c r="V431" i="24"/>
  <c r="V403" i="24"/>
  <c r="V420" i="24"/>
  <c r="V391" i="24"/>
  <c r="V383" i="24"/>
  <c r="V428" i="24"/>
  <c r="V418" i="24"/>
  <c r="V381" i="24"/>
  <c r="V399" i="24"/>
  <c r="V398" i="24"/>
  <c r="V421" i="24"/>
  <c r="V411" i="24"/>
  <c r="V376" i="24"/>
  <c r="V430" i="24"/>
  <c r="V393" i="24"/>
  <c r="V415" i="24"/>
  <c r="V384" i="24"/>
  <c r="V414" i="24"/>
  <c r="V424" i="24"/>
  <c r="V387" i="24"/>
  <c r="V413" i="24"/>
  <c r="V434" i="24"/>
  <c r="V426" i="24"/>
  <c r="V416" i="24"/>
  <c r="V375" i="24"/>
  <c r="V407" i="24"/>
  <c r="V386" i="24"/>
  <c r="V377" i="24"/>
  <c r="V433" i="24"/>
  <c r="V406" i="24"/>
  <c r="V404" i="24"/>
  <c r="V425" i="24"/>
  <c r="V417" i="24"/>
  <c r="V380" i="24"/>
  <c r="V423" i="24"/>
  <c r="V390" i="24"/>
  <c r="V402" i="24"/>
  <c r="V395" i="24"/>
  <c r="V379" i="24"/>
  <c r="V389" i="24"/>
  <c r="V436" i="24"/>
  <c r="V427" i="24"/>
  <c r="V419" i="24"/>
  <c r="V410" i="24"/>
  <c r="V409" i="24"/>
  <c r="V435" i="24"/>
  <c r="V382" i="24"/>
  <c r="V388" i="24"/>
  <c r="V394" i="24"/>
  <c r="V405" i="24"/>
  <c r="N397" i="24"/>
  <c r="N402" i="24"/>
  <c r="N374" i="24"/>
  <c r="N373" i="24"/>
  <c r="N396" i="24"/>
  <c r="N400" i="24"/>
  <c r="N430" i="24"/>
  <c r="N399" i="24"/>
  <c r="N401" i="24"/>
  <c r="N429" i="24"/>
  <c r="N398" i="24"/>
  <c r="N393" i="24"/>
  <c r="N414" i="24"/>
  <c r="N424" i="24"/>
  <c r="N395" i="24"/>
  <c r="N387" i="24"/>
  <c r="N379" i="24"/>
  <c r="N434" i="24"/>
  <c r="N406" i="24"/>
  <c r="N426" i="24"/>
  <c r="N389" i="24"/>
  <c r="N376" i="24"/>
  <c r="N412" i="24"/>
  <c r="N384" i="24"/>
  <c r="N431" i="24"/>
  <c r="N413" i="24"/>
  <c r="N410" i="24"/>
  <c r="N378" i="24"/>
  <c r="N385" i="24"/>
  <c r="N411" i="24"/>
  <c r="N420" i="24"/>
  <c r="N383" i="24"/>
  <c r="N428" i="24"/>
  <c r="N418" i="24"/>
  <c r="N436" i="24"/>
  <c r="N404" i="24"/>
  <c r="N417" i="24"/>
  <c r="N380" i="24"/>
  <c r="N423" i="24"/>
  <c r="N419" i="24"/>
  <c r="N394" i="24"/>
  <c r="N405" i="24"/>
  <c r="N408" i="24"/>
  <c r="N382" i="24"/>
  <c r="N422" i="24"/>
  <c r="N415" i="24"/>
  <c r="N432" i="24"/>
  <c r="N421" i="24"/>
  <c r="N403" i="24"/>
  <c r="N391" i="24"/>
  <c r="N381" i="24"/>
  <c r="N416" i="24"/>
  <c r="N425" i="24"/>
  <c r="N388" i="24"/>
  <c r="N375" i="24"/>
  <c r="N435" i="24"/>
  <c r="N407" i="24"/>
  <c r="N427" i="24"/>
  <c r="N392" i="24"/>
  <c r="N386" i="24"/>
  <c r="N409" i="24"/>
  <c r="N390" i="24"/>
  <c r="N433" i="24"/>
  <c r="N377" i="24"/>
  <c r="O402" i="24"/>
  <c r="O373" i="24"/>
  <c r="O429" i="24"/>
  <c r="O430" i="24"/>
  <c r="O401" i="24"/>
  <c r="O397" i="24"/>
  <c r="O374" i="24"/>
  <c r="O396" i="24"/>
  <c r="O398" i="24"/>
  <c r="O399" i="24"/>
  <c r="O422" i="24"/>
  <c r="O393" i="24"/>
  <c r="O410" i="24"/>
  <c r="O415" i="24"/>
  <c r="O432" i="24"/>
  <c r="O408" i="24"/>
  <c r="O392" i="24"/>
  <c r="O411" i="24"/>
  <c r="O403" i="24"/>
  <c r="O420" i="24"/>
  <c r="O391" i="24"/>
  <c r="O383" i="24"/>
  <c r="O428" i="24"/>
  <c r="O389" i="24"/>
  <c r="O376" i="24"/>
  <c r="O378" i="24"/>
  <c r="O384" i="24"/>
  <c r="O424" i="24"/>
  <c r="O387" i="24"/>
  <c r="O413" i="24"/>
  <c r="O406" i="24"/>
  <c r="O381" i="24"/>
  <c r="O416" i="24"/>
  <c r="O404" i="24"/>
  <c r="O417" i="24"/>
  <c r="O380" i="24"/>
  <c r="O375" i="24"/>
  <c r="O435" i="24"/>
  <c r="O407" i="24"/>
  <c r="O427" i="24"/>
  <c r="O419" i="24"/>
  <c r="O390" i="24"/>
  <c r="O382" i="24"/>
  <c r="O433" i="24"/>
  <c r="O405" i="24"/>
  <c r="O385" i="24"/>
  <c r="O414" i="24"/>
  <c r="O434" i="24"/>
  <c r="O426" i="24"/>
  <c r="O412" i="24"/>
  <c r="O418" i="24"/>
  <c r="O388" i="24"/>
  <c r="O394" i="24"/>
  <c r="O386" i="24"/>
  <c r="O409" i="24"/>
  <c r="O436" i="24"/>
  <c r="O377" i="24"/>
  <c r="O400" i="24"/>
  <c r="O421" i="24"/>
  <c r="O395" i="24"/>
  <c r="O431" i="24"/>
  <c r="O379" i="24"/>
  <c r="O425" i="24"/>
  <c r="O423" i="24"/>
  <c r="Q402" i="24"/>
  <c r="Q373" i="24"/>
  <c r="Q429" i="24"/>
  <c r="Q430" i="24"/>
  <c r="Q397" i="24"/>
  <c r="Q401" i="24"/>
  <c r="Q396" i="24"/>
  <c r="Q374" i="24"/>
  <c r="Q399" i="24"/>
  <c r="Q398" i="24"/>
  <c r="Q422" i="24"/>
  <c r="Q385" i="24"/>
  <c r="Q432" i="24"/>
  <c r="Q421" i="24"/>
  <c r="Q403" i="24"/>
  <c r="Q420" i="24"/>
  <c r="Q391" i="24"/>
  <c r="Q383" i="24"/>
  <c r="Q428" i="24"/>
  <c r="Q418" i="24"/>
  <c r="Q381" i="24"/>
  <c r="Q436" i="24"/>
  <c r="Q412" i="24"/>
  <c r="Q400" i="24"/>
  <c r="Q378" i="24"/>
  <c r="Q415" i="24"/>
  <c r="Q408" i="24"/>
  <c r="Q392" i="24"/>
  <c r="Q395" i="24"/>
  <c r="Q379" i="24"/>
  <c r="Q410" i="24"/>
  <c r="Q389" i="24"/>
  <c r="Q416" i="24"/>
  <c r="Q375" i="24"/>
  <c r="Q407" i="24"/>
  <c r="Q377" i="24"/>
  <c r="Q384" i="24"/>
  <c r="Q431" i="24"/>
  <c r="Q411" i="24"/>
  <c r="Q413" i="24"/>
  <c r="Q376" i="24"/>
  <c r="Q388" i="24"/>
  <c r="Q435" i="24"/>
  <c r="Q427" i="24"/>
  <c r="Q419" i="24"/>
  <c r="Q390" i="24"/>
  <c r="Q382" i="24"/>
  <c r="Q433" i="24"/>
  <c r="Q409" i="24"/>
  <c r="Q393" i="24"/>
  <c r="Q414" i="24"/>
  <c r="Q424" i="24"/>
  <c r="Q387" i="24"/>
  <c r="Q434" i="24"/>
  <c r="Q426" i="24"/>
  <c r="Q417" i="24"/>
  <c r="Q380" i="24"/>
  <c r="Q423" i="24"/>
  <c r="Q406" i="24"/>
  <c r="Q425" i="24"/>
  <c r="Q394" i="24"/>
  <c r="Q405" i="24"/>
  <c r="Q404" i="24"/>
  <c r="Q386" i="24"/>
  <c r="P366" i="24"/>
  <c r="P365" i="24"/>
  <c r="P363" i="24"/>
  <c r="P361" i="24"/>
  <c r="P359" i="24"/>
  <c r="P357" i="24"/>
  <c r="P367" i="24"/>
  <c r="P364" i="24"/>
  <c r="P362" i="24"/>
  <c r="P360" i="24"/>
  <c r="P358" i="24"/>
  <c r="T366" i="24"/>
  <c r="T362" i="24"/>
  <c r="T367" i="24"/>
  <c r="T365" i="24"/>
  <c r="T363" i="24"/>
  <c r="T357" i="24"/>
  <c r="T361" i="24"/>
  <c r="T359" i="24"/>
  <c r="T364" i="24"/>
  <c r="T358" i="24"/>
  <c r="T360" i="24"/>
  <c r="N366" i="24"/>
  <c r="N364" i="24"/>
  <c r="N360" i="24"/>
  <c r="N358" i="24"/>
  <c r="N362" i="24"/>
  <c r="N367" i="24"/>
  <c r="N365" i="24"/>
  <c r="N363" i="24"/>
  <c r="N357" i="24"/>
  <c r="N361" i="24"/>
  <c r="N359" i="24"/>
  <c r="Q366" i="24"/>
  <c r="Q365" i="24"/>
  <c r="Q363" i="24"/>
  <c r="Q361" i="24"/>
  <c r="Q359" i="24"/>
  <c r="Q357" i="24"/>
  <c r="Q367" i="24"/>
  <c r="Q364" i="24"/>
  <c r="Q362" i="24"/>
  <c r="Q360" i="24"/>
  <c r="Q358" i="24"/>
  <c r="U366" i="24"/>
  <c r="U365" i="24"/>
  <c r="U363" i="24"/>
  <c r="U361" i="24"/>
  <c r="U359" i="24"/>
  <c r="U357" i="24"/>
  <c r="U367" i="24"/>
  <c r="U364" i="24"/>
  <c r="U362" i="24"/>
  <c r="U360" i="24"/>
  <c r="U358" i="24"/>
  <c r="O366" i="24"/>
  <c r="O364" i="24"/>
  <c r="O362" i="24"/>
  <c r="O360" i="24"/>
  <c r="O358" i="24"/>
  <c r="O367" i="24"/>
  <c r="O365" i="24"/>
  <c r="O363" i="24"/>
  <c r="O361" i="24"/>
  <c r="O359" i="24"/>
  <c r="O357" i="24"/>
  <c r="S366" i="24"/>
  <c r="S367" i="24"/>
  <c r="S364" i="24"/>
  <c r="S362" i="24"/>
  <c r="S360" i="24"/>
  <c r="S358" i="24"/>
  <c r="S365" i="24"/>
  <c r="S363" i="24"/>
  <c r="S361" i="24"/>
  <c r="S359" i="24"/>
  <c r="S357" i="24"/>
  <c r="M366" i="24"/>
  <c r="M367" i="24"/>
  <c r="M364" i="24"/>
  <c r="M362" i="24"/>
  <c r="M360" i="24"/>
  <c r="M358" i="24"/>
  <c r="M365" i="24"/>
  <c r="M363" i="24"/>
  <c r="M359" i="24"/>
  <c r="M357" i="24"/>
  <c r="M361" i="24"/>
  <c r="R366" i="24"/>
  <c r="R361" i="24"/>
  <c r="R359" i="24"/>
  <c r="R364" i="24"/>
  <c r="R360" i="24"/>
  <c r="R358" i="24"/>
  <c r="R362" i="24"/>
  <c r="R367" i="24"/>
  <c r="R365" i="24"/>
  <c r="R363" i="24"/>
  <c r="R357" i="24"/>
  <c r="V366" i="24"/>
  <c r="V367" i="24"/>
  <c r="V365" i="24"/>
  <c r="V363" i="24"/>
  <c r="V357" i="24"/>
  <c r="V361" i="24"/>
  <c r="V359" i="24"/>
  <c r="V364" i="24"/>
  <c r="V360" i="24"/>
  <c r="V358" i="24"/>
  <c r="V362" i="24"/>
  <c r="Q342" i="24"/>
  <c r="Q341" i="24"/>
  <c r="Q344" i="24"/>
  <c r="Q347" i="24"/>
  <c r="Q339" i="24"/>
  <c r="Q346" i="24"/>
  <c r="Q343" i="24"/>
  <c r="Q345" i="24"/>
  <c r="Q340" i="24"/>
  <c r="U343" i="24"/>
  <c r="U345" i="24"/>
  <c r="U340" i="24"/>
  <c r="U342" i="24"/>
  <c r="U341" i="24"/>
  <c r="U344" i="24"/>
  <c r="U347" i="24"/>
  <c r="U339" i="24"/>
  <c r="U346" i="24"/>
  <c r="O347" i="24"/>
  <c r="O340" i="24"/>
  <c r="O342" i="24"/>
  <c r="O341" i="24"/>
  <c r="O339" i="24"/>
  <c r="O343" i="24"/>
  <c r="O345" i="24"/>
  <c r="O344" i="24"/>
  <c r="O346" i="24"/>
  <c r="S341" i="24"/>
  <c r="S339" i="24"/>
  <c r="S345" i="24"/>
  <c r="S346" i="24"/>
  <c r="S347" i="24"/>
  <c r="S340" i="24"/>
  <c r="S342" i="24"/>
  <c r="S343" i="24"/>
  <c r="S344" i="24"/>
  <c r="M341" i="24"/>
  <c r="M344" i="24"/>
  <c r="M347" i="24"/>
  <c r="M339" i="24"/>
  <c r="M346" i="24"/>
  <c r="M343" i="24"/>
  <c r="M345" i="24"/>
  <c r="M340" i="24"/>
  <c r="M342" i="24"/>
  <c r="R341" i="24"/>
  <c r="R339" i="24"/>
  <c r="R342" i="24"/>
  <c r="R344" i="24"/>
  <c r="R347" i="24"/>
  <c r="R340" i="24"/>
  <c r="R345" i="24"/>
  <c r="R343" i="24"/>
  <c r="R346" i="24"/>
  <c r="P345" i="24"/>
  <c r="P347" i="24"/>
  <c r="P343" i="24"/>
  <c r="P340" i="24"/>
  <c r="P344" i="24"/>
  <c r="P339" i="24"/>
  <c r="P346" i="24"/>
  <c r="P341" i="24"/>
  <c r="P342" i="24"/>
  <c r="T340" i="24"/>
  <c r="T342" i="24"/>
  <c r="T346" i="24"/>
  <c r="T347" i="24"/>
  <c r="T341" i="24"/>
  <c r="T343" i="24"/>
  <c r="T344" i="24"/>
  <c r="T339" i="24"/>
  <c r="T345" i="24"/>
  <c r="V344" i="24"/>
  <c r="V343" i="24"/>
  <c r="V345" i="24"/>
  <c r="V346" i="24"/>
  <c r="V341" i="24"/>
  <c r="V339" i="24"/>
  <c r="V340" i="24"/>
  <c r="V347" i="24"/>
  <c r="V342" i="24"/>
  <c r="N347" i="24"/>
  <c r="N346" i="24"/>
  <c r="N341" i="24"/>
  <c r="N344" i="24"/>
  <c r="N345" i="24"/>
  <c r="N342" i="24"/>
  <c r="N343" i="24"/>
  <c r="N340" i="24"/>
  <c r="N339" i="24"/>
  <c r="U333" i="24"/>
  <c r="U337" i="24"/>
  <c r="U335" i="24"/>
  <c r="U336" i="24"/>
  <c r="U332" i="24"/>
  <c r="U331" i="24"/>
  <c r="U334" i="24"/>
  <c r="U329" i="24"/>
  <c r="U330" i="24"/>
  <c r="S334" i="24"/>
  <c r="S332" i="24"/>
  <c r="S337" i="24"/>
  <c r="S333" i="24"/>
  <c r="S335" i="24"/>
  <c r="S336" i="24"/>
  <c r="S329" i="24"/>
  <c r="S331" i="24"/>
  <c r="S330" i="24"/>
  <c r="M333" i="24"/>
  <c r="M337" i="24"/>
  <c r="M332" i="24"/>
  <c r="M334" i="24"/>
  <c r="M336" i="24"/>
  <c r="M335" i="24"/>
  <c r="M331" i="24"/>
  <c r="M330" i="24"/>
  <c r="M329" i="24"/>
  <c r="R337" i="24"/>
  <c r="R335" i="24"/>
  <c r="R333" i="24"/>
  <c r="R334" i="24"/>
  <c r="R332" i="24"/>
  <c r="R329" i="24"/>
  <c r="R336" i="24"/>
  <c r="R331" i="24"/>
  <c r="R330" i="24"/>
  <c r="P334" i="24"/>
  <c r="P335" i="24"/>
  <c r="P332" i="24"/>
  <c r="P333" i="24"/>
  <c r="P336" i="24"/>
  <c r="P329" i="24"/>
  <c r="P337" i="24"/>
  <c r="P331" i="24"/>
  <c r="P330" i="24"/>
  <c r="T334" i="24"/>
  <c r="T333" i="24"/>
  <c r="T332" i="24"/>
  <c r="T337" i="24"/>
  <c r="T336" i="24"/>
  <c r="T335" i="24"/>
  <c r="T331" i="24"/>
  <c r="T329" i="24"/>
  <c r="T330" i="24"/>
  <c r="V335" i="24"/>
  <c r="V333" i="24"/>
  <c r="V337" i="24"/>
  <c r="V336" i="24"/>
  <c r="V329" i="24"/>
  <c r="V334" i="24"/>
  <c r="V332" i="24"/>
  <c r="V330" i="24"/>
  <c r="V331" i="24"/>
  <c r="N333" i="24"/>
  <c r="N335" i="24"/>
  <c r="N337" i="24"/>
  <c r="N332" i="24"/>
  <c r="N336" i="24"/>
  <c r="N334" i="24"/>
  <c r="N329" i="24"/>
  <c r="N330" i="24"/>
  <c r="N331" i="24"/>
  <c r="N338" i="24"/>
  <c r="R338" i="24"/>
  <c r="V338" i="24"/>
  <c r="M338" i="24"/>
  <c r="U338" i="24"/>
  <c r="O338" i="24"/>
  <c r="S338" i="24"/>
  <c r="P338" i="24"/>
  <c r="T338" i="24"/>
  <c r="Q338" i="24"/>
  <c r="O334" i="24"/>
  <c r="O333" i="24"/>
  <c r="O337" i="24"/>
  <c r="O332" i="24"/>
  <c r="O335" i="24"/>
  <c r="O336" i="24"/>
  <c r="O330" i="24"/>
  <c r="O331" i="24"/>
  <c r="O329" i="24"/>
  <c r="Q337" i="24"/>
  <c r="Q333" i="24"/>
  <c r="Q335" i="24"/>
  <c r="Q334" i="24"/>
  <c r="Q332" i="24"/>
  <c r="Q336" i="24"/>
  <c r="Q329" i="24"/>
  <c r="Q331" i="24"/>
  <c r="Q330" i="24"/>
  <c r="U324" i="24"/>
  <c r="U322" i="24"/>
  <c r="U327" i="24"/>
  <c r="U323" i="24"/>
  <c r="U325" i="24"/>
  <c r="U314" i="24"/>
  <c r="U326" i="24"/>
  <c r="U320" i="24"/>
  <c r="U318" i="24"/>
  <c r="U316" i="24"/>
  <c r="U313" i="24"/>
  <c r="U317" i="24"/>
  <c r="U321" i="24"/>
  <c r="U319" i="24"/>
  <c r="U315" i="24"/>
  <c r="O323" i="24"/>
  <c r="O324" i="24"/>
  <c r="O327" i="24"/>
  <c r="O314" i="24"/>
  <c r="O326" i="24"/>
  <c r="O322" i="24"/>
  <c r="O325" i="24"/>
  <c r="O321" i="24"/>
  <c r="O317" i="24"/>
  <c r="O315" i="24"/>
  <c r="O319" i="24"/>
  <c r="O320" i="24"/>
  <c r="O316" i="24"/>
  <c r="O313" i="24"/>
  <c r="O318" i="24"/>
  <c r="S327" i="24"/>
  <c r="S324" i="24"/>
  <c r="S323" i="24"/>
  <c r="S326" i="24"/>
  <c r="S325" i="24"/>
  <c r="S322" i="24"/>
  <c r="S314" i="24"/>
  <c r="S319" i="24"/>
  <c r="S321" i="24"/>
  <c r="S316" i="24"/>
  <c r="S315" i="24"/>
  <c r="S320" i="24"/>
  <c r="S318" i="24"/>
  <c r="S313" i="24"/>
  <c r="S317" i="24"/>
  <c r="M324" i="24"/>
  <c r="M325" i="24"/>
  <c r="M327" i="24"/>
  <c r="M314" i="24"/>
  <c r="M326" i="24"/>
  <c r="M323" i="24"/>
  <c r="M322" i="24"/>
  <c r="M321" i="24"/>
  <c r="M319" i="24"/>
  <c r="M317" i="24"/>
  <c r="M315" i="24"/>
  <c r="M316" i="24"/>
  <c r="M320" i="24"/>
  <c r="M318" i="24"/>
  <c r="M313" i="24"/>
  <c r="R324" i="24"/>
  <c r="R326" i="24"/>
  <c r="R325" i="24"/>
  <c r="R314" i="24"/>
  <c r="R327" i="24"/>
  <c r="R323" i="24"/>
  <c r="R322" i="24"/>
  <c r="R321" i="24"/>
  <c r="R319" i="24"/>
  <c r="R318" i="24"/>
  <c r="R315" i="24"/>
  <c r="R316" i="24"/>
  <c r="R317" i="24"/>
  <c r="R320" i="24"/>
  <c r="R313" i="24"/>
  <c r="N328" i="24"/>
  <c r="R328" i="24"/>
  <c r="V328" i="24"/>
  <c r="O328" i="24"/>
  <c r="S328" i="24"/>
  <c r="Q328" i="24"/>
  <c r="P328" i="24"/>
  <c r="T328" i="24"/>
  <c r="M328" i="24"/>
  <c r="U328" i="24"/>
  <c r="Q324" i="24"/>
  <c r="Q326" i="24"/>
  <c r="Q323" i="24"/>
  <c r="Q314" i="24"/>
  <c r="Q322" i="24"/>
  <c r="Q325" i="24"/>
  <c r="Q327" i="24"/>
  <c r="Q320" i="24"/>
  <c r="Q313" i="24"/>
  <c r="Q321" i="24"/>
  <c r="Q319" i="24"/>
  <c r="Q317" i="24"/>
  <c r="Q315" i="24"/>
  <c r="Q318" i="24"/>
  <c r="Q316" i="24"/>
  <c r="P327" i="24"/>
  <c r="P325" i="24"/>
  <c r="P323" i="24"/>
  <c r="P324" i="24"/>
  <c r="P326" i="24"/>
  <c r="P314" i="24"/>
  <c r="P322" i="24"/>
  <c r="P317" i="24"/>
  <c r="P320" i="24"/>
  <c r="P318" i="24"/>
  <c r="P313" i="24"/>
  <c r="P319" i="24"/>
  <c r="P315" i="24"/>
  <c r="P321" i="24"/>
  <c r="P316" i="24"/>
  <c r="T323" i="24"/>
  <c r="T325" i="24"/>
  <c r="T327" i="24"/>
  <c r="T324" i="24"/>
  <c r="T322" i="24"/>
  <c r="T326" i="24"/>
  <c r="T314" i="24"/>
  <c r="T315" i="24"/>
  <c r="T319" i="24"/>
  <c r="T318" i="24"/>
  <c r="T321" i="24"/>
  <c r="T317" i="24"/>
  <c r="T316" i="24"/>
  <c r="T313" i="24"/>
  <c r="T320" i="24"/>
  <c r="V324" i="24"/>
  <c r="V327" i="24"/>
  <c r="V322" i="24"/>
  <c r="V326" i="24"/>
  <c r="V325" i="24"/>
  <c r="V323" i="24"/>
  <c r="V314" i="24"/>
  <c r="V320" i="24"/>
  <c r="V316" i="24"/>
  <c r="V313" i="24"/>
  <c r="V317" i="24"/>
  <c r="V321" i="24"/>
  <c r="V319" i="24"/>
  <c r="V318" i="24"/>
  <c r="V315" i="24"/>
  <c r="N322" i="24"/>
  <c r="N324" i="24"/>
  <c r="N314" i="24"/>
  <c r="N323" i="24"/>
  <c r="N326" i="24"/>
  <c r="N327" i="24"/>
  <c r="N325" i="24"/>
  <c r="N313" i="24"/>
  <c r="N317" i="24"/>
  <c r="N315" i="24"/>
  <c r="N320" i="24"/>
  <c r="N316" i="24"/>
  <c r="N321" i="24"/>
  <c r="N319" i="24"/>
  <c r="N318" i="24"/>
  <c r="P348" i="24"/>
  <c r="T348" i="24"/>
  <c r="M348" i="24"/>
  <c r="Q348" i="24"/>
  <c r="U348" i="24"/>
  <c r="O348" i="24"/>
  <c r="N348" i="24"/>
  <c r="R348" i="24"/>
  <c r="V348" i="24"/>
  <c r="S348" i="24"/>
  <c r="M304" i="24"/>
  <c r="M302" i="24"/>
  <c r="M303" i="24"/>
  <c r="M301" i="24"/>
  <c r="M298" i="24"/>
  <c r="M294" i="24"/>
  <c r="M290" i="24"/>
  <c r="M300" i="24"/>
  <c r="M297" i="24"/>
  <c r="M295" i="24"/>
  <c r="M293" i="24"/>
  <c r="M291" i="24"/>
  <c r="M289" i="24"/>
  <c r="M299" i="24"/>
  <c r="M296" i="24"/>
  <c r="M292" i="24"/>
  <c r="T302" i="24"/>
  <c r="T303" i="24"/>
  <c r="T304" i="24"/>
  <c r="T290" i="24"/>
  <c r="T289" i="24"/>
  <c r="T301" i="24"/>
  <c r="T297" i="24"/>
  <c r="T296" i="24"/>
  <c r="T294" i="24"/>
  <c r="T292" i="24"/>
  <c r="T299" i="24"/>
  <c r="T298" i="24"/>
  <c r="T293" i="24"/>
  <c r="T300" i="24"/>
  <c r="T295" i="24"/>
  <c r="T291" i="24"/>
  <c r="P302" i="24"/>
  <c r="P303" i="24"/>
  <c r="P304" i="24"/>
  <c r="P301" i="24"/>
  <c r="P298" i="24"/>
  <c r="P296" i="24"/>
  <c r="P294" i="24"/>
  <c r="P292" i="24"/>
  <c r="P289" i="24"/>
  <c r="P300" i="24"/>
  <c r="P295" i="24"/>
  <c r="P291" i="24"/>
  <c r="P299" i="24"/>
  <c r="P293" i="24"/>
  <c r="P297" i="24"/>
  <c r="P290" i="24"/>
  <c r="N303" i="24"/>
  <c r="N299" i="24"/>
  <c r="N302" i="24"/>
  <c r="N304" i="24"/>
  <c r="N300" i="24"/>
  <c r="N297" i="24"/>
  <c r="N295" i="24"/>
  <c r="N293" i="24"/>
  <c r="N291" i="24"/>
  <c r="N290" i="24"/>
  <c r="N296" i="24"/>
  <c r="N292" i="24"/>
  <c r="N301" i="24"/>
  <c r="N289" i="24"/>
  <c r="N294" i="24"/>
  <c r="N298" i="24"/>
  <c r="Q304" i="24"/>
  <c r="Q302" i="24"/>
  <c r="Q301" i="24"/>
  <c r="Q303" i="24"/>
  <c r="Q298" i="24"/>
  <c r="Q296" i="24"/>
  <c r="Q294" i="24"/>
  <c r="Q292" i="24"/>
  <c r="Q290" i="24"/>
  <c r="Q300" i="24"/>
  <c r="Q295" i="24"/>
  <c r="Q291" i="24"/>
  <c r="Q299" i="24"/>
  <c r="Q297" i="24"/>
  <c r="Q293" i="24"/>
  <c r="Q289" i="24"/>
  <c r="R303" i="24"/>
  <c r="R304" i="24"/>
  <c r="R299" i="24"/>
  <c r="R302" i="24"/>
  <c r="R301" i="24"/>
  <c r="R298" i="24"/>
  <c r="R289" i="24"/>
  <c r="R296" i="24"/>
  <c r="R292" i="24"/>
  <c r="R300" i="24"/>
  <c r="R297" i="24"/>
  <c r="R295" i="24"/>
  <c r="R293" i="24"/>
  <c r="R291" i="24"/>
  <c r="R290" i="24"/>
  <c r="R294" i="24"/>
  <c r="V303" i="24"/>
  <c r="V302" i="24"/>
  <c r="V304" i="24"/>
  <c r="V299" i="24"/>
  <c r="V296" i="24"/>
  <c r="V294" i="24"/>
  <c r="V292" i="24"/>
  <c r="V297" i="24"/>
  <c r="V293" i="24"/>
  <c r="V290" i="24"/>
  <c r="V289" i="24"/>
  <c r="V301" i="24"/>
  <c r="V298" i="24"/>
  <c r="V300" i="24"/>
  <c r="V295" i="24"/>
  <c r="V291" i="24"/>
  <c r="U303" i="24"/>
  <c r="U304" i="24"/>
  <c r="U302" i="24"/>
  <c r="U301" i="24"/>
  <c r="U300" i="24"/>
  <c r="U295" i="24"/>
  <c r="U291" i="24"/>
  <c r="U299" i="24"/>
  <c r="U298" i="24"/>
  <c r="U296" i="24"/>
  <c r="U294" i="24"/>
  <c r="U292" i="24"/>
  <c r="U290" i="24"/>
  <c r="U297" i="24"/>
  <c r="U293" i="24"/>
  <c r="U289" i="24"/>
  <c r="O303" i="24"/>
  <c r="O304" i="24"/>
  <c r="O302" i="24"/>
  <c r="O299" i="24"/>
  <c r="O300" i="24"/>
  <c r="O297" i="24"/>
  <c r="O295" i="24"/>
  <c r="O291" i="24"/>
  <c r="O298" i="24"/>
  <c r="O294" i="24"/>
  <c r="O293" i="24"/>
  <c r="O290" i="24"/>
  <c r="O289" i="24"/>
  <c r="O296" i="24"/>
  <c r="O292" i="24"/>
  <c r="O301" i="24"/>
  <c r="S303" i="24"/>
  <c r="S304" i="24"/>
  <c r="S302" i="24"/>
  <c r="S299" i="24"/>
  <c r="S301" i="24"/>
  <c r="S293" i="24"/>
  <c r="S298" i="24"/>
  <c r="S294" i="24"/>
  <c r="S300" i="24"/>
  <c r="S297" i="24"/>
  <c r="S295" i="24"/>
  <c r="S291" i="24"/>
  <c r="S290" i="24"/>
  <c r="S289" i="24"/>
  <c r="S296" i="24"/>
  <c r="S292" i="24"/>
  <c r="O281" i="24"/>
  <c r="O280" i="24"/>
  <c r="O282" i="24"/>
  <c r="O279" i="24"/>
  <c r="O278" i="24"/>
  <c r="M280" i="24"/>
  <c r="M282" i="24"/>
  <c r="M281" i="24"/>
  <c r="M278" i="24"/>
  <c r="M279" i="24"/>
  <c r="R280" i="24"/>
  <c r="R282" i="24"/>
  <c r="R281" i="24"/>
  <c r="R278" i="24"/>
  <c r="R279" i="24"/>
  <c r="U280" i="24"/>
  <c r="U282" i="24"/>
  <c r="U281" i="24"/>
  <c r="U278" i="24"/>
  <c r="U279" i="24"/>
  <c r="S281" i="24"/>
  <c r="S280" i="24"/>
  <c r="S282" i="24"/>
  <c r="S278" i="24"/>
  <c r="S279" i="24"/>
  <c r="P282" i="24"/>
  <c r="P281" i="24"/>
  <c r="P280" i="24"/>
  <c r="P278" i="24"/>
  <c r="P279" i="24"/>
  <c r="T281" i="24"/>
  <c r="T280" i="24"/>
  <c r="T282" i="24"/>
  <c r="T278" i="24"/>
  <c r="T279" i="24"/>
  <c r="V280" i="24"/>
  <c r="V282" i="24"/>
  <c r="V281" i="24"/>
  <c r="V279" i="24"/>
  <c r="V278" i="24"/>
  <c r="N281" i="24"/>
  <c r="N280" i="24"/>
  <c r="N282" i="24"/>
  <c r="N279" i="24"/>
  <c r="N278" i="24"/>
  <c r="Q280" i="24"/>
  <c r="Q282" i="24"/>
  <c r="Q281" i="24"/>
  <c r="Q278" i="24"/>
  <c r="Q279" i="24"/>
  <c r="U273" i="24"/>
  <c r="U275" i="24"/>
  <c r="U272" i="24"/>
  <c r="U270" i="24"/>
  <c r="U268" i="24"/>
  <c r="U276" i="24"/>
  <c r="U271" i="24"/>
  <c r="U274" i="24"/>
  <c r="U269" i="24"/>
  <c r="O273" i="24"/>
  <c r="O271" i="24"/>
  <c r="O270" i="24"/>
  <c r="O275" i="24"/>
  <c r="O276" i="24"/>
  <c r="O274" i="24"/>
  <c r="O269" i="24"/>
  <c r="O272" i="24"/>
  <c r="O268" i="24"/>
  <c r="S273" i="24"/>
  <c r="S276" i="24"/>
  <c r="S274" i="24"/>
  <c r="S269" i="24"/>
  <c r="S268" i="24"/>
  <c r="S270" i="24"/>
  <c r="S271" i="24"/>
  <c r="S275" i="24"/>
  <c r="S272" i="24"/>
  <c r="M273" i="24"/>
  <c r="M276" i="24"/>
  <c r="M274" i="24"/>
  <c r="M271" i="24"/>
  <c r="M269" i="24"/>
  <c r="M275" i="24"/>
  <c r="M270" i="24"/>
  <c r="M272" i="24"/>
  <c r="M268" i="24"/>
  <c r="R273" i="24"/>
  <c r="R276" i="24"/>
  <c r="R275" i="24"/>
  <c r="R274" i="24"/>
  <c r="R268" i="24"/>
  <c r="R269" i="24"/>
  <c r="R272" i="24"/>
  <c r="R270" i="24"/>
  <c r="R271" i="24"/>
  <c r="P273" i="24"/>
  <c r="P276" i="24"/>
  <c r="P271" i="24"/>
  <c r="P268" i="24"/>
  <c r="P275" i="24"/>
  <c r="P272" i="24"/>
  <c r="P270" i="24"/>
  <c r="P274" i="24"/>
  <c r="P269" i="24"/>
  <c r="T273" i="24"/>
  <c r="T272" i="24"/>
  <c r="T271" i="24"/>
  <c r="T274" i="24"/>
  <c r="T269" i="24"/>
  <c r="T268" i="24"/>
  <c r="T270" i="24"/>
  <c r="T276" i="24"/>
  <c r="T275" i="24"/>
  <c r="V273" i="24"/>
  <c r="V270" i="24"/>
  <c r="V275" i="24"/>
  <c r="V274" i="24"/>
  <c r="V269" i="24"/>
  <c r="V272" i="24"/>
  <c r="V271" i="24"/>
  <c r="V276" i="24"/>
  <c r="V268" i="24"/>
  <c r="N273" i="24"/>
  <c r="N269" i="24"/>
  <c r="N272" i="24"/>
  <c r="N276" i="24"/>
  <c r="N275" i="24"/>
  <c r="N274" i="24"/>
  <c r="N268" i="24"/>
  <c r="N271" i="24"/>
  <c r="N270" i="24"/>
  <c r="Q273" i="24"/>
  <c r="Q276" i="24"/>
  <c r="Q271" i="24"/>
  <c r="Q275" i="24"/>
  <c r="Q272" i="24"/>
  <c r="Q270" i="24"/>
  <c r="Q268" i="24"/>
  <c r="Q274" i="24"/>
  <c r="Q269" i="24"/>
  <c r="P260" i="24"/>
  <c r="P261" i="24"/>
  <c r="P259" i="24"/>
  <c r="P258" i="24"/>
  <c r="N258" i="24"/>
  <c r="N261" i="24"/>
  <c r="N259" i="24"/>
  <c r="N260" i="24"/>
  <c r="Q261" i="24"/>
  <c r="Q260" i="24"/>
  <c r="Q259" i="24"/>
  <c r="Q258" i="24"/>
  <c r="T259" i="24"/>
  <c r="T258" i="24"/>
  <c r="T260" i="24"/>
  <c r="T261" i="24"/>
  <c r="U258" i="24"/>
  <c r="U261" i="24"/>
  <c r="U260" i="24"/>
  <c r="U259" i="24"/>
  <c r="O259" i="24"/>
  <c r="O260" i="24"/>
  <c r="O258" i="24"/>
  <c r="O261" i="24"/>
  <c r="S260" i="24"/>
  <c r="S259" i="24"/>
  <c r="S258" i="24"/>
  <c r="S261" i="24"/>
  <c r="M262" i="24"/>
  <c r="Q262" i="24"/>
  <c r="U262" i="24"/>
  <c r="N262" i="24"/>
  <c r="R262" i="24"/>
  <c r="V262" i="24"/>
  <c r="T262" i="24"/>
  <c r="O262" i="24"/>
  <c r="S262" i="24"/>
  <c r="P262" i="24"/>
  <c r="V258" i="24"/>
  <c r="V259" i="24"/>
  <c r="V260" i="24"/>
  <c r="V261" i="24"/>
  <c r="M260" i="24"/>
  <c r="M258" i="24"/>
  <c r="M261" i="24"/>
  <c r="M259" i="24"/>
  <c r="R259" i="24"/>
  <c r="R260" i="24"/>
  <c r="R258" i="24"/>
  <c r="R261" i="24"/>
  <c r="U249" i="24"/>
  <c r="U251" i="24"/>
  <c r="U250" i="24"/>
  <c r="U252" i="24"/>
  <c r="U248" i="24"/>
  <c r="U245" i="24"/>
  <c r="U246" i="24"/>
  <c r="U247" i="24"/>
  <c r="O250" i="24"/>
  <c r="O252" i="24"/>
  <c r="O249" i="24"/>
  <c r="O251" i="24"/>
  <c r="O246" i="24"/>
  <c r="O245" i="24"/>
  <c r="O248" i="24"/>
  <c r="O247" i="24"/>
  <c r="S250" i="24"/>
  <c r="S252" i="24"/>
  <c r="S249" i="24"/>
  <c r="S251" i="24"/>
  <c r="S245" i="24"/>
  <c r="S246" i="24"/>
  <c r="S247" i="24"/>
  <c r="S248" i="24"/>
  <c r="P249" i="24"/>
  <c r="P251" i="24"/>
  <c r="P250" i="24"/>
  <c r="P252" i="24"/>
  <c r="P246" i="24"/>
  <c r="P245" i="24"/>
  <c r="P247" i="24"/>
  <c r="P248" i="24"/>
  <c r="T250" i="24"/>
  <c r="T252" i="24"/>
  <c r="T249" i="24"/>
  <c r="T251" i="24"/>
  <c r="T247" i="24"/>
  <c r="T248" i="24"/>
  <c r="T246" i="24"/>
  <c r="T245" i="24"/>
  <c r="V252" i="24"/>
  <c r="V249" i="24"/>
  <c r="V251" i="24"/>
  <c r="V250" i="24"/>
  <c r="V248" i="24"/>
  <c r="V247" i="24"/>
  <c r="V245" i="24"/>
  <c r="V246" i="24"/>
  <c r="N252" i="24"/>
  <c r="N249" i="24"/>
  <c r="N251" i="24"/>
  <c r="N250" i="24"/>
  <c r="N246" i="24"/>
  <c r="N248" i="24"/>
  <c r="N247" i="24"/>
  <c r="N245" i="24"/>
  <c r="Q249" i="24"/>
  <c r="Q251" i="24"/>
  <c r="Q250" i="24"/>
  <c r="Q252" i="24"/>
  <c r="Q246" i="24"/>
  <c r="Q247" i="24"/>
  <c r="Q248" i="24"/>
  <c r="Q245" i="24"/>
  <c r="M249" i="24"/>
  <c r="M251" i="24"/>
  <c r="M250" i="24"/>
  <c r="M252" i="24"/>
  <c r="M245" i="24"/>
  <c r="M246" i="24"/>
  <c r="M248" i="24"/>
  <c r="M247" i="24"/>
  <c r="R250" i="24"/>
  <c r="R249" i="24"/>
  <c r="R251" i="24"/>
  <c r="R252" i="24"/>
  <c r="R248" i="24"/>
  <c r="R247" i="24"/>
  <c r="R245" i="24"/>
  <c r="R246" i="24"/>
  <c r="M224" i="24"/>
  <c r="M234" i="24"/>
  <c r="M236" i="24"/>
  <c r="M238" i="24"/>
  <c r="M242" i="24"/>
  <c r="M235" i="24"/>
  <c r="M237" i="24"/>
  <c r="M239" i="24"/>
  <c r="M241" i="24"/>
  <c r="M243" i="24"/>
  <c r="M240" i="24"/>
  <c r="P238" i="24"/>
  <c r="P242" i="24"/>
  <c r="P235" i="24"/>
  <c r="P237" i="24"/>
  <c r="P239" i="24"/>
  <c r="P241" i="24"/>
  <c r="P243" i="24"/>
  <c r="P224" i="24"/>
  <c r="P234" i="24"/>
  <c r="P236" i="24"/>
  <c r="P240" i="24"/>
  <c r="T234" i="24"/>
  <c r="T235" i="24"/>
  <c r="T237" i="24"/>
  <c r="T239" i="24"/>
  <c r="T241" i="24"/>
  <c r="T243" i="24"/>
  <c r="T224" i="24"/>
  <c r="T236" i="24"/>
  <c r="T242" i="24"/>
  <c r="T238" i="24"/>
  <c r="T240" i="24"/>
  <c r="V235" i="24"/>
  <c r="V239" i="24"/>
  <c r="V224" i="24"/>
  <c r="V234" i="24"/>
  <c r="V236" i="24"/>
  <c r="V238" i="24"/>
  <c r="V242" i="24"/>
  <c r="V237" i="24"/>
  <c r="V243" i="24"/>
  <c r="V241" i="24"/>
  <c r="V240" i="24"/>
  <c r="N237" i="24"/>
  <c r="N241" i="24"/>
  <c r="N224" i="24"/>
  <c r="N234" i="24"/>
  <c r="N236" i="24"/>
  <c r="N238" i="24"/>
  <c r="N242" i="24"/>
  <c r="N239" i="24"/>
  <c r="N235" i="24"/>
  <c r="N243" i="24"/>
  <c r="N240" i="24"/>
  <c r="M244" i="24"/>
  <c r="Q244" i="24"/>
  <c r="U244" i="24"/>
  <c r="T244" i="24"/>
  <c r="N244" i="24"/>
  <c r="R244" i="24"/>
  <c r="V244" i="24"/>
  <c r="O244" i="24"/>
  <c r="S244" i="24"/>
  <c r="P244" i="24"/>
  <c r="Q224" i="24"/>
  <c r="Q234" i="24"/>
  <c r="Q236" i="24"/>
  <c r="Q238" i="24"/>
  <c r="Q242" i="24"/>
  <c r="Q235" i="24"/>
  <c r="Q237" i="24"/>
  <c r="Q239" i="24"/>
  <c r="Q241" i="24"/>
  <c r="Q243" i="24"/>
  <c r="Q240" i="24"/>
  <c r="R243" i="24"/>
  <c r="R224" i="24"/>
  <c r="R234" i="24"/>
  <c r="R236" i="24"/>
  <c r="R238" i="24"/>
  <c r="R242" i="24"/>
  <c r="R235" i="24"/>
  <c r="R241" i="24"/>
  <c r="R237" i="24"/>
  <c r="R239" i="24"/>
  <c r="R240" i="24"/>
  <c r="U224" i="24"/>
  <c r="U234" i="24"/>
  <c r="U236" i="24"/>
  <c r="U238" i="24"/>
  <c r="U242" i="24"/>
  <c r="U235" i="24"/>
  <c r="U237" i="24"/>
  <c r="U239" i="24"/>
  <c r="U241" i="24"/>
  <c r="U243" i="24"/>
  <c r="U240" i="24"/>
  <c r="O235" i="24"/>
  <c r="O237" i="24"/>
  <c r="O239" i="24"/>
  <c r="O241" i="24"/>
  <c r="O243" i="24"/>
  <c r="O224" i="24"/>
  <c r="O234" i="24"/>
  <c r="O236" i="24"/>
  <c r="O238" i="24"/>
  <c r="O242" i="24"/>
  <c r="O240" i="24"/>
  <c r="S235" i="24"/>
  <c r="S237" i="24"/>
  <c r="S239" i="24"/>
  <c r="S241" i="24"/>
  <c r="S243" i="24"/>
  <c r="S224" i="24"/>
  <c r="S234" i="24"/>
  <c r="S236" i="24"/>
  <c r="S238" i="24"/>
  <c r="S242" i="24"/>
  <c r="S240" i="24"/>
  <c r="P217" i="24"/>
  <c r="P214" i="24"/>
  <c r="P212" i="24"/>
  <c r="P215" i="24"/>
  <c r="P210" i="24"/>
  <c r="P213" i="24"/>
  <c r="P216" i="24"/>
  <c r="P211" i="24"/>
  <c r="V217" i="24"/>
  <c r="V214" i="24"/>
  <c r="V212" i="24"/>
  <c r="V210" i="24"/>
  <c r="V216" i="24"/>
  <c r="V211" i="24"/>
  <c r="V213" i="24"/>
  <c r="V215" i="24"/>
  <c r="Q212" i="24"/>
  <c r="Q217" i="24"/>
  <c r="Q215" i="24"/>
  <c r="Q214" i="24"/>
  <c r="Q210" i="24"/>
  <c r="Q216" i="24"/>
  <c r="Q213" i="24"/>
  <c r="Q211" i="24"/>
  <c r="T210" i="24"/>
  <c r="T214" i="24"/>
  <c r="T215" i="24"/>
  <c r="T217" i="24"/>
  <c r="T212" i="24"/>
  <c r="T213" i="24"/>
  <c r="T211" i="24"/>
  <c r="T216" i="24"/>
  <c r="N210" i="24"/>
  <c r="N217" i="24"/>
  <c r="N214" i="24"/>
  <c r="N212" i="24"/>
  <c r="N216" i="24"/>
  <c r="N215" i="24"/>
  <c r="N211" i="24"/>
  <c r="N213" i="24"/>
  <c r="U212" i="24"/>
  <c r="U217" i="24"/>
  <c r="U215" i="24"/>
  <c r="U214" i="24"/>
  <c r="U210" i="24"/>
  <c r="U216" i="24"/>
  <c r="U211" i="24"/>
  <c r="U213" i="24"/>
  <c r="O217" i="24"/>
  <c r="O214" i="24"/>
  <c r="O210" i="24"/>
  <c r="O212" i="24"/>
  <c r="O215" i="24"/>
  <c r="O211" i="24"/>
  <c r="O213" i="24"/>
  <c r="O216" i="24"/>
  <c r="S214" i="24"/>
  <c r="S210" i="24"/>
  <c r="S215" i="24"/>
  <c r="S212" i="24"/>
  <c r="S217" i="24"/>
  <c r="S216" i="24"/>
  <c r="S211" i="24"/>
  <c r="S213" i="24"/>
  <c r="M214" i="24"/>
  <c r="M210" i="24"/>
  <c r="M217" i="24"/>
  <c r="M212" i="24"/>
  <c r="M215" i="24"/>
  <c r="M213" i="24"/>
  <c r="M216" i="24"/>
  <c r="M211" i="24"/>
  <c r="R217" i="24"/>
  <c r="R214" i="24"/>
  <c r="R212" i="24"/>
  <c r="R210" i="24"/>
  <c r="R213" i="24"/>
  <c r="R216" i="24"/>
  <c r="R215" i="24"/>
  <c r="R211" i="24"/>
  <c r="Q206" i="24"/>
  <c r="Q204" i="24"/>
  <c r="Q199" i="24"/>
  <c r="Q201" i="24"/>
  <c r="Q203" i="24"/>
  <c r="Q202" i="24"/>
  <c r="Q205" i="24"/>
  <c r="Q200" i="24"/>
  <c r="Q198" i="24"/>
  <c r="U204" i="24"/>
  <c r="U199" i="24"/>
  <c r="U206" i="24"/>
  <c r="U198" i="24"/>
  <c r="U202" i="24"/>
  <c r="U201" i="24"/>
  <c r="U203" i="24"/>
  <c r="U200" i="24"/>
  <c r="U205" i="24"/>
  <c r="O201" i="24"/>
  <c r="O204" i="24"/>
  <c r="O199" i="24"/>
  <c r="O202" i="24"/>
  <c r="O198" i="24"/>
  <c r="O200" i="24"/>
  <c r="O203" i="24"/>
  <c r="O205" i="24"/>
  <c r="O206" i="24"/>
  <c r="S204" i="24"/>
  <c r="S206" i="24"/>
  <c r="S199" i="24"/>
  <c r="S202" i="24"/>
  <c r="S201" i="24"/>
  <c r="S205" i="24"/>
  <c r="S198" i="24"/>
  <c r="S200" i="24"/>
  <c r="S203" i="24"/>
  <c r="M204" i="24"/>
  <c r="M206" i="24"/>
  <c r="M200" i="24"/>
  <c r="M198" i="24"/>
  <c r="M199" i="24"/>
  <c r="M202" i="24"/>
  <c r="M205" i="24"/>
  <c r="M201" i="24"/>
  <c r="M203" i="24"/>
  <c r="R204" i="24"/>
  <c r="R199" i="24"/>
  <c r="R201" i="24"/>
  <c r="R203" i="24"/>
  <c r="R200" i="24"/>
  <c r="R206" i="24"/>
  <c r="R202" i="24"/>
  <c r="R205" i="24"/>
  <c r="R198" i="24"/>
  <c r="P204" i="24"/>
  <c r="P199" i="24"/>
  <c r="P206" i="24"/>
  <c r="P202" i="24"/>
  <c r="P201" i="24"/>
  <c r="P200" i="24"/>
  <c r="P205" i="24"/>
  <c r="P203" i="24"/>
  <c r="P198" i="24"/>
  <c r="T206" i="24"/>
  <c r="T204" i="24"/>
  <c r="T199" i="24"/>
  <c r="T205" i="24"/>
  <c r="T203" i="24"/>
  <c r="T201" i="24"/>
  <c r="T200" i="24"/>
  <c r="T198" i="24"/>
  <c r="T202" i="24"/>
  <c r="V204" i="24"/>
  <c r="V201" i="24"/>
  <c r="V199" i="24"/>
  <c r="V205" i="24"/>
  <c r="V198" i="24"/>
  <c r="V202" i="24"/>
  <c r="V206" i="24"/>
  <c r="V203" i="24"/>
  <c r="V200" i="24"/>
  <c r="N204" i="24"/>
  <c r="N199" i="24"/>
  <c r="N206" i="24"/>
  <c r="N202" i="24"/>
  <c r="N201" i="24"/>
  <c r="N203" i="24"/>
  <c r="N205" i="24"/>
  <c r="N198" i="24"/>
  <c r="N200" i="24"/>
  <c r="R192" i="24"/>
  <c r="R196" i="24"/>
  <c r="R184" i="24"/>
  <c r="R182" i="24"/>
  <c r="R180" i="24"/>
  <c r="R193" i="24"/>
  <c r="R178" i="24"/>
  <c r="R187" i="24"/>
  <c r="R195" i="24"/>
  <c r="R194" i="24"/>
  <c r="R186" i="24"/>
  <c r="R190" i="24"/>
  <c r="R179" i="24"/>
  <c r="R189" i="24"/>
  <c r="R183" i="24"/>
  <c r="R191" i="24"/>
  <c r="R185" i="24"/>
  <c r="R188" i="24"/>
  <c r="R181" i="24"/>
  <c r="P196" i="24"/>
  <c r="P192" i="24"/>
  <c r="P179" i="24"/>
  <c r="P181" i="24"/>
  <c r="P188" i="24"/>
  <c r="P191" i="24"/>
  <c r="P190" i="24"/>
  <c r="P193" i="24"/>
  <c r="P189" i="24"/>
  <c r="P187" i="24"/>
  <c r="P183" i="24"/>
  <c r="P195" i="24"/>
  <c r="P178" i="24"/>
  <c r="P186" i="24"/>
  <c r="P184" i="24"/>
  <c r="P182" i="24"/>
  <c r="P180" i="24"/>
  <c r="P185" i="24"/>
  <c r="P194" i="24"/>
  <c r="V196" i="24"/>
  <c r="V192" i="24"/>
  <c r="V190" i="24"/>
  <c r="V179" i="24"/>
  <c r="V193" i="24"/>
  <c r="V178" i="24"/>
  <c r="V181" i="24"/>
  <c r="V187" i="24"/>
  <c r="V189" i="24"/>
  <c r="V188" i="24"/>
  <c r="V184" i="24"/>
  <c r="V182" i="24"/>
  <c r="V191" i="24"/>
  <c r="V185" i="24"/>
  <c r="V180" i="24"/>
  <c r="V183" i="24"/>
  <c r="V195" i="24"/>
  <c r="V194" i="24"/>
  <c r="V186" i="24"/>
  <c r="Q196" i="24"/>
  <c r="Q192" i="24"/>
  <c r="Q183" i="24"/>
  <c r="Q190" i="24"/>
  <c r="Q184" i="24"/>
  <c r="Q193" i="24"/>
  <c r="Q182" i="24"/>
  <c r="Q189" i="24"/>
  <c r="Q194" i="24"/>
  <c r="Q180" i="24"/>
  <c r="Q187" i="24"/>
  <c r="Q186" i="24"/>
  <c r="Q195" i="24"/>
  <c r="Q191" i="24"/>
  <c r="Q185" i="24"/>
  <c r="Q188" i="24"/>
  <c r="Q179" i="24"/>
  <c r="Q181" i="24"/>
  <c r="Q178" i="24"/>
  <c r="M192" i="24"/>
  <c r="M196" i="24"/>
  <c r="M184" i="24"/>
  <c r="M193" i="24"/>
  <c r="M182" i="24"/>
  <c r="M189" i="24"/>
  <c r="M194" i="24"/>
  <c r="M180" i="24"/>
  <c r="M187" i="24"/>
  <c r="M186" i="24"/>
  <c r="M179" i="24"/>
  <c r="M181" i="24"/>
  <c r="M183" i="24"/>
  <c r="M190" i="24"/>
  <c r="M195" i="24"/>
  <c r="M178" i="24"/>
  <c r="M191" i="24"/>
  <c r="M185" i="24"/>
  <c r="M188" i="24"/>
  <c r="T192" i="24"/>
  <c r="T196" i="24"/>
  <c r="T183" i="24"/>
  <c r="T195" i="24"/>
  <c r="T191" i="24"/>
  <c r="T185" i="24"/>
  <c r="T194" i="24"/>
  <c r="T180" i="24"/>
  <c r="T184" i="24"/>
  <c r="T190" i="24"/>
  <c r="T179" i="24"/>
  <c r="T178" i="24"/>
  <c r="T181" i="24"/>
  <c r="T182" i="24"/>
  <c r="T193" i="24"/>
  <c r="T189" i="24"/>
  <c r="T187" i="24"/>
  <c r="T188" i="24"/>
  <c r="T186" i="24"/>
  <c r="N192" i="24"/>
  <c r="N196" i="24"/>
  <c r="N189" i="24"/>
  <c r="N194" i="24"/>
  <c r="N186" i="24"/>
  <c r="N183" i="24"/>
  <c r="N195" i="24"/>
  <c r="N191" i="24"/>
  <c r="N185" i="24"/>
  <c r="N188" i="24"/>
  <c r="N184" i="24"/>
  <c r="N193" i="24"/>
  <c r="N180" i="24"/>
  <c r="N187" i="24"/>
  <c r="N190" i="24"/>
  <c r="N179" i="24"/>
  <c r="N178" i="24"/>
  <c r="N181" i="24"/>
  <c r="N182" i="24"/>
  <c r="U192" i="24"/>
  <c r="U196" i="24"/>
  <c r="U190" i="24"/>
  <c r="U195" i="24"/>
  <c r="U178" i="24"/>
  <c r="U191" i="24"/>
  <c r="U185" i="24"/>
  <c r="U188" i="24"/>
  <c r="U183" i="24"/>
  <c r="U179" i="24"/>
  <c r="U181" i="24"/>
  <c r="U184" i="24"/>
  <c r="U193" i="24"/>
  <c r="U182" i="24"/>
  <c r="U189" i="24"/>
  <c r="U194" i="24"/>
  <c r="U180" i="24"/>
  <c r="U187" i="24"/>
  <c r="U186" i="24"/>
  <c r="O192" i="24"/>
  <c r="O196" i="24"/>
  <c r="O183" i="24"/>
  <c r="O195" i="24"/>
  <c r="O182" i="24"/>
  <c r="O191" i="24"/>
  <c r="O185" i="24"/>
  <c r="O194" i="24"/>
  <c r="O180" i="24"/>
  <c r="O186" i="24"/>
  <c r="O178" i="24"/>
  <c r="O188" i="24"/>
  <c r="O190" i="24"/>
  <c r="O179" i="24"/>
  <c r="O193" i="24"/>
  <c r="O189" i="24"/>
  <c r="O181" i="24"/>
  <c r="O187" i="24"/>
  <c r="O184" i="24"/>
  <c r="S196" i="24"/>
  <c r="S192" i="24"/>
  <c r="S184" i="24"/>
  <c r="S181" i="24"/>
  <c r="S183" i="24"/>
  <c r="S195" i="24"/>
  <c r="S182" i="24"/>
  <c r="S191" i="24"/>
  <c r="S185" i="24"/>
  <c r="S194" i="24"/>
  <c r="S180" i="24"/>
  <c r="S186" i="24"/>
  <c r="S190" i="24"/>
  <c r="S179" i="24"/>
  <c r="S178" i="24"/>
  <c r="S188" i="24"/>
  <c r="S193" i="24"/>
  <c r="S189" i="24"/>
  <c r="S187" i="24"/>
  <c r="M170" i="24"/>
  <c r="M172" i="24"/>
  <c r="M174" i="24"/>
  <c r="M176" i="24"/>
  <c r="M173" i="24"/>
  <c r="M169" i="24"/>
  <c r="M167" i="24"/>
  <c r="M165" i="24"/>
  <c r="M163" i="24"/>
  <c r="M175" i="24"/>
  <c r="M168" i="24"/>
  <c r="M164" i="24"/>
  <c r="M171" i="24"/>
  <c r="M166" i="24"/>
  <c r="M162" i="24"/>
  <c r="P170" i="24"/>
  <c r="P172" i="24"/>
  <c r="P173" i="24"/>
  <c r="P169" i="24"/>
  <c r="P163" i="24"/>
  <c r="P174" i="24"/>
  <c r="P175" i="24"/>
  <c r="P166" i="24"/>
  <c r="P176" i="24"/>
  <c r="P167" i="24"/>
  <c r="P165" i="24"/>
  <c r="P171" i="24"/>
  <c r="P162" i="24"/>
  <c r="P168" i="24"/>
  <c r="P164" i="24"/>
  <c r="T172" i="24"/>
  <c r="T170" i="24"/>
  <c r="T164" i="24"/>
  <c r="T176" i="24"/>
  <c r="T167" i="24"/>
  <c r="T166" i="24"/>
  <c r="T174" i="24"/>
  <c r="T171" i="24"/>
  <c r="T162" i="24"/>
  <c r="T173" i="24"/>
  <c r="T169" i="24"/>
  <c r="T163" i="24"/>
  <c r="T168" i="24"/>
  <c r="T175" i="24"/>
  <c r="T165" i="24"/>
  <c r="V172" i="24"/>
  <c r="V170" i="24"/>
  <c r="V175" i="24"/>
  <c r="V164" i="24"/>
  <c r="V176" i="24"/>
  <c r="V173" i="24"/>
  <c r="V169" i="24"/>
  <c r="V168" i="24"/>
  <c r="V167" i="24"/>
  <c r="V166" i="24"/>
  <c r="V163" i="24"/>
  <c r="V165" i="24"/>
  <c r="V174" i="24"/>
  <c r="V171" i="24"/>
  <c r="V162" i="24"/>
  <c r="N172" i="24"/>
  <c r="N170" i="24"/>
  <c r="N174" i="24"/>
  <c r="N165" i="24"/>
  <c r="N176" i="24"/>
  <c r="N173" i="24"/>
  <c r="N168" i="24"/>
  <c r="N167" i="24"/>
  <c r="N163" i="24"/>
  <c r="N175" i="24"/>
  <c r="N171" i="24"/>
  <c r="N164" i="24"/>
  <c r="N162" i="24"/>
  <c r="N169" i="24"/>
  <c r="N166" i="24"/>
  <c r="Q172" i="24"/>
  <c r="Q170" i="24"/>
  <c r="Q171" i="24"/>
  <c r="Q166" i="24"/>
  <c r="Q162" i="24"/>
  <c r="Q174" i="24"/>
  <c r="Q176" i="24"/>
  <c r="Q173" i="24"/>
  <c r="Q169" i="24"/>
  <c r="Q167" i="24"/>
  <c r="Q165" i="24"/>
  <c r="Q163" i="24"/>
  <c r="Q175" i="24"/>
  <c r="Q168" i="24"/>
  <c r="Q164" i="24"/>
  <c r="R172" i="24"/>
  <c r="R174" i="24"/>
  <c r="R176" i="24"/>
  <c r="R173" i="24"/>
  <c r="R169" i="24"/>
  <c r="R168" i="24"/>
  <c r="R167" i="24"/>
  <c r="R166" i="24"/>
  <c r="R163" i="24"/>
  <c r="R171" i="24"/>
  <c r="R162" i="24"/>
  <c r="R170" i="24"/>
  <c r="R165" i="24"/>
  <c r="R175" i="24"/>
  <c r="R164" i="24"/>
  <c r="U170" i="24"/>
  <c r="U174" i="24"/>
  <c r="U172" i="24"/>
  <c r="U175" i="24"/>
  <c r="U171" i="24"/>
  <c r="U168" i="24"/>
  <c r="U166" i="24"/>
  <c r="U164" i="24"/>
  <c r="U162" i="24"/>
  <c r="U176" i="24"/>
  <c r="U169" i="24"/>
  <c r="U165" i="24"/>
  <c r="U173" i="24"/>
  <c r="U167" i="24"/>
  <c r="U163" i="24"/>
  <c r="O170" i="24"/>
  <c r="O174" i="24"/>
  <c r="O172" i="24"/>
  <c r="O175" i="24"/>
  <c r="O171" i="24"/>
  <c r="O162" i="24"/>
  <c r="O173" i="24"/>
  <c r="O168" i="24"/>
  <c r="O163" i="24"/>
  <c r="O176" i="24"/>
  <c r="O165" i="24"/>
  <c r="O164" i="24"/>
  <c r="O169" i="24"/>
  <c r="O166" i="24"/>
  <c r="O167" i="24"/>
  <c r="S172" i="24"/>
  <c r="S174" i="24"/>
  <c r="S176" i="24"/>
  <c r="S167" i="24"/>
  <c r="S165" i="24"/>
  <c r="S164" i="24"/>
  <c r="S169" i="24"/>
  <c r="S175" i="24"/>
  <c r="S171" i="24"/>
  <c r="S168" i="24"/>
  <c r="S166" i="24"/>
  <c r="S162" i="24"/>
  <c r="S170" i="24"/>
  <c r="S173" i="24"/>
  <c r="S163" i="24"/>
  <c r="M161" i="24"/>
  <c r="Q161" i="24"/>
  <c r="U161" i="24"/>
  <c r="N161" i="24"/>
  <c r="R161" i="24"/>
  <c r="V161" i="24"/>
  <c r="O161" i="24"/>
  <c r="S161" i="24"/>
  <c r="P161" i="24"/>
  <c r="T161" i="24"/>
  <c r="S142" i="24"/>
  <c r="S143" i="24"/>
  <c r="S152" i="24"/>
  <c r="S151" i="24"/>
  <c r="S154" i="24"/>
  <c r="S141" i="24"/>
  <c r="S149" i="24"/>
  <c r="S144" i="24"/>
  <c r="S156" i="24"/>
  <c r="S155" i="24"/>
  <c r="S150" i="24"/>
  <c r="S145" i="24"/>
  <c r="S140" i="24"/>
  <c r="S153" i="24"/>
  <c r="M142" i="24"/>
  <c r="M141" i="24"/>
  <c r="M140" i="24"/>
  <c r="M152" i="24"/>
  <c r="M155" i="24"/>
  <c r="M154" i="24"/>
  <c r="M145" i="24"/>
  <c r="M143" i="24"/>
  <c r="M144" i="24"/>
  <c r="M151" i="24"/>
  <c r="M150" i="24"/>
  <c r="M149" i="24"/>
  <c r="M156" i="24"/>
  <c r="M153" i="24"/>
  <c r="R142" i="24"/>
  <c r="R141" i="24"/>
  <c r="R149" i="24"/>
  <c r="R140" i="24"/>
  <c r="R152" i="24"/>
  <c r="R155" i="24"/>
  <c r="R154" i="24"/>
  <c r="R156" i="24"/>
  <c r="R153" i="24"/>
  <c r="R145" i="24"/>
  <c r="R143" i="24"/>
  <c r="R144" i="24"/>
  <c r="R151" i="24"/>
  <c r="R150" i="24"/>
  <c r="M148" i="24"/>
  <c r="Q148" i="24"/>
  <c r="U148" i="24"/>
  <c r="T148" i="24"/>
  <c r="N148" i="24"/>
  <c r="R148" i="24"/>
  <c r="V148" i="24"/>
  <c r="O148" i="24"/>
  <c r="S148" i="24"/>
  <c r="P148" i="24"/>
  <c r="U145" i="24"/>
  <c r="U143" i="24"/>
  <c r="U144" i="24"/>
  <c r="U156" i="24"/>
  <c r="U153" i="24"/>
  <c r="U151" i="24"/>
  <c r="U150" i="24"/>
  <c r="U141" i="24"/>
  <c r="U152" i="24"/>
  <c r="U155" i="24"/>
  <c r="U154" i="24"/>
  <c r="U149" i="24"/>
  <c r="U142" i="24"/>
  <c r="U140" i="24"/>
  <c r="M146" i="24"/>
  <c r="Q146" i="24"/>
  <c r="U146" i="24"/>
  <c r="N146" i="24"/>
  <c r="R146" i="24"/>
  <c r="V146" i="24"/>
  <c r="O146" i="24"/>
  <c r="S146" i="24"/>
  <c r="P146" i="24"/>
  <c r="T146" i="24"/>
  <c r="P142" i="24"/>
  <c r="P145" i="24"/>
  <c r="P143" i="24"/>
  <c r="P140" i="24"/>
  <c r="P152" i="24"/>
  <c r="P153" i="24"/>
  <c r="P151" i="24"/>
  <c r="P154" i="24"/>
  <c r="P149" i="24"/>
  <c r="P144" i="24"/>
  <c r="P150" i="24"/>
  <c r="P141" i="24"/>
  <c r="P156" i="24"/>
  <c r="P155" i="24"/>
  <c r="T156" i="24"/>
  <c r="T155" i="24"/>
  <c r="T142" i="24"/>
  <c r="T145" i="24"/>
  <c r="T143" i="24"/>
  <c r="T140" i="24"/>
  <c r="T152" i="24"/>
  <c r="T153" i="24"/>
  <c r="T151" i="24"/>
  <c r="T154" i="24"/>
  <c r="T141" i="24"/>
  <c r="T149" i="24"/>
  <c r="T144" i="24"/>
  <c r="T150" i="24"/>
  <c r="V145" i="24"/>
  <c r="V143" i="24"/>
  <c r="V144" i="24"/>
  <c r="V151" i="24"/>
  <c r="V150" i="24"/>
  <c r="V142" i="24"/>
  <c r="V141" i="24"/>
  <c r="V149" i="24"/>
  <c r="V140" i="24"/>
  <c r="V152" i="24"/>
  <c r="V155" i="24"/>
  <c r="V154" i="24"/>
  <c r="V156" i="24"/>
  <c r="V153" i="24"/>
  <c r="N149" i="24"/>
  <c r="N140" i="24"/>
  <c r="N145" i="24"/>
  <c r="N143" i="24"/>
  <c r="N144" i="24"/>
  <c r="N156" i="24"/>
  <c r="N153" i="24"/>
  <c r="N151" i="24"/>
  <c r="N150" i="24"/>
  <c r="N142" i="24"/>
  <c r="N141" i="24"/>
  <c r="N152" i="24"/>
  <c r="N155" i="24"/>
  <c r="N154" i="24"/>
  <c r="O147" i="24"/>
  <c r="S147" i="24"/>
  <c r="P147" i="24"/>
  <c r="T147" i="24"/>
  <c r="M147" i="24"/>
  <c r="Q147" i="24"/>
  <c r="U147" i="24"/>
  <c r="N147" i="24"/>
  <c r="R147" i="24"/>
  <c r="V147" i="24"/>
  <c r="O141" i="24"/>
  <c r="O149" i="24"/>
  <c r="O144" i="24"/>
  <c r="O156" i="24"/>
  <c r="O155" i="24"/>
  <c r="O150" i="24"/>
  <c r="O142" i="24"/>
  <c r="O140" i="24"/>
  <c r="O153" i="24"/>
  <c r="O145" i="24"/>
  <c r="O143" i="24"/>
  <c r="O152" i="24"/>
  <c r="O151" i="24"/>
  <c r="O154" i="24"/>
  <c r="Q156" i="24"/>
  <c r="Q153" i="24"/>
  <c r="Q142" i="24"/>
  <c r="Q141" i="24"/>
  <c r="Q140" i="24"/>
  <c r="Q152" i="24"/>
  <c r="Q155" i="24"/>
  <c r="Q154" i="24"/>
  <c r="Q149" i="24"/>
  <c r="Q145" i="24"/>
  <c r="Q143" i="24"/>
  <c r="Q144" i="24"/>
  <c r="Q151" i="24"/>
  <c r="Q150" i="24"/>
  <c r="R130" i="24"/>
  <c r="R128" i="24"/>
  <c r="R132" i="24"/>
  <c r="R133" i="24"/>
  <c r="R129" i="24"/>
  <c r="R131" i="24"/>
  <c r="R121" i="24"/>
  <c r="R123" i="24"/>
  <c r="R122" i="24"/>
  <c r="R126" i="24"/>
  <c r="R125" i="24"/>
  <c r="R124" i="24"/>
  <c r="T132" i="24"/>
  <c r="T133" i="24"/>
  <c r="T131" i="24"/>
  <c r="T129" i="24"/>
  <c r="T128" i="24"/>
  <c r="T122" i="24"/>
  <c r="T124" i="24"/>
  <c r="T130" i="24"/>
  <c r="T121" i="24"/>
  <c r="T123" i="24"/>
  <c r="T126" i="24"/>
  <c r="T125" i="24"/>
  <c r="N132" i="24"/>
  <c r="N133" i="24"/>
  <c r="N124" i="24"/>
  <c r="N122" i="24"/>
  <c r="N126" i="24"/>
  <c r="N125" i="24"/>
  <c r="N129" i="24"/>
  <c r="N128" i="24"/>
  <c r="N130" i="24"/>
  <c r="N131" i="24"/>
  <c r="N121" i="24"/>
  <c r="N123" i="24"/>
  <c r="Q131" i="24"/>
  <c r="Q132" i="24"/>
  <c r="Q129" i="24"/>
  <c r="Q128" i="24"/>
  <c r="Q130" i="24"/>
  <c r="Q124" i="24"/>
  <c r="Q122" i="24"/>
  <c r="Q133" i="24"/>
  <c r="Q121" i="24"/>
  <c r="Q123" i="24"/>
  <c r="Q126" i="24"/>
  <c r="Q125" i="24"/>
  <c r="M132" i="24"/>
  <c r="M131" i="24"/>
  <c r="M130" i="24"/>
  <c r="M133" i="24"/>
  <c r="M121" i="24"/>
  <c r="M123" i="24"/>
  <c r="M126" i="24"/>
  <c r="M125" i="24"/>
  <c r="M129" i="24"/>
  <c r="M124" i="24"/>
  <c r="M128" i="24"/>
  <c r="M122" i="24"/>
  <c r="P132" i="24"/>
  <c r="P133" i="24"/>
  <c r="P121" i="24"/>
  <c r="P123" i="24"/>
  <c r="P126" i="24"/>
  <c r="P125" i="24"/>
  <c r="P128" i="24"/>
  <c r="P130" i="24"/>
  <c r="P129" i="24"/>
  <c r="P131" i="24"/>
  <c r="P122" i="24"/>
  <c r="P124" i="24"/>
  <c r="V132" i="24"/>
  <c r="V129" i="24"/>
  <c r="V130" i="24"/>
  <c r="V133" i="24"/>
  <c r="V128" i="24"/>
  <c r="V122" i="24"/>
  <c r="V126" i="24"/>
  <c r="V125" i="24"/>
  <c r="V124" i="24"/>
  <c r="V121" i="24"/>
  <c r="V123" i="24"/>
  <c r="V131" i="24"/>
  <c r="U132" i="24"/>
  <c r="U131" i="24"/>
  <c r="U121" i="24"/>
  <c r="U123" i="24"/>
  <c r="U126" i="24"/>
  <c r="U133" i="24"/>
  <c r="U129" i="24"/>
  <c r="U128" i="24"/>
  <c r="U130" i="24"/>
  <c r="U122" i="24"/>
  <c r="U124" i="24"/>
  <c r="U125" i="24"/>
  <c r="O133" i="24"/>
  <c r="O132" i="24"/>
  <c r="O130" i="24"/>
  <c r="O121" i="24"/>
  <c r="O123" i="24"/>
  <c r="O125" i="24"/>
  <c r="O128" i="24"/>
  <c r="O131" i="24"/>
  <c r="O124" i="24"/>
  <c r="O129" i="24"/>
  <c r="O122" i="24"/>
  <c r="O126" i="24"/>
  <c r="S133" i="24"/>
  <c r="S129" i="24"/>
  <c r="S132" i="24"/>
  <c r="S124" i="24"/>
  <c r="S128" i="24"/>
  <c r="S122" i="24"/>
  <c r="S131" i="24"/>
  <c r="S130" i="24"/>
  <c r="S125" i="24"/>
  <c r="S126" i="24"/>
  <c r="S121" i="24"/>
  <c r="S123" i="24"/>
  <c r="N127" i="24"/>
  <c r="R127" i="24"/>
  <c r="V127" i="24"/>
  <c r="O127" i="24"/>
  <c r="S127" i="24"/>
  <c r="P127" i="24"/>
  <c r="T127" i="24"/>
  <c r="M127" i="24"/>
  <c r="Q127" i="24"/>
  <c r="U127" i="24"/>
  <c r="P134" i="24"/>
  <c r="T134" i="24"/>
  <c r="M134" i="24"/>
  <c r="U134" i="24"/>
  <c r="N134" i="24"/>
  <c r="R134" i="24"/>
  <c r="V134" i="24"/>
  <c r="O134" i="24"/>
  <c r="S134" i="24"/>
  <c r="Q134" i="24"/>
  <c r="P82" i="24"/>
  <c r="P83" i="24"/>
  <c r="P84" i="24"/>
  <c r="P88" i="24"/>
  <c r="P86" i="24"/>
  <c r="P85" i="24"/>
  <c r="P87" i="24"/>
  <c r="N83" i="24"/>
  <c r="N88" i="24"/>
  <c r="N82" i="24"/>
  <c r="N84" i="24"/>
  <c r="N87" i="24"/>
  <c r="N86" i="24"/>
  <c r="N85" i="24"/>
  <c r="Q82" i="24"/>
  <c r="Q84" i="24"/>
  <c r="Q83" i="24"/>
  <c r="Q88" i="24"/>
  <c r="Q87" i="24"/>
  <c r="Q86" i="24"/>
  <c r="Q85" i="24"/>
  <c r="T88" i="24"/>
  <c r="T82" i="24"/>
  <c r="T83" i="24"/>
  <c r="T84" i="24"/>
  <c r="T87" i="24"/>
  <c r="T86" i="24"/>
  <c r="T85" i="24"/>
  <c r="U83" i="24"/>
  <c r="U88" i="24"/>
  <c r="U82" i="24"/>
  <c r="U84" i="24"/>
  <c r="U85" i="24"/>
  <c r="U86" i="24"/>
  <c r="U87" i="24"/>
  <c r="O83" i="24"/>
  <c r="O84" i="24"/>
  <c r="O88" i="24"/>
  <c r="O82" i="24"/>
  <c r="O87" i="24"/>
  <c r="O85" i="24"/>
  <c r="O86" i="24"/>
  <c r="S82" i="24"/>
  <c r="S84" i="24"/>
  <c r="S88" i="24"/>
  <c r="S83" i="24"/>
  <c r="S85" i="24"/>
  <c r="S87" i="24"/>
  <c r="S86" i="24"/>
  <c r="V83" i="24"/>
  <c r="V88" i="24"/>
  <c r="V82" i="24"/>
  <c r="V84" i="24"/>
  <c r="V85" i="24"/>
  <c r="V86" i="24"/>
  <c r="V87" i="24"/>
  <c r="M82" i="24"/>
  <c r="M84" i="24"/>
  <c r="M83" i="24"/>
  <c r="M88" i="24"/>
  <c r="M86" i="24"/>
  <c r="M87" i="24"/>
  <c r="M85" i="24"/>
  <c r="R82" i="24"/>
  <c r="R84" i="24"/>
  <c r="R88" i="24"/>
  <c r="R83" i="24"/>
  <c r="R86" i="24"/>
  <c r="R85" i="24"/>
  <c r="R87" i="24"/>
  <c r="P74" i="24"/>
  <c r="P75" i="24"/>
  <c r="P76" i="24"/>
  <c r="P78" i="24"/>
  <c r="P77" i="24"/>
  <c r="P79" i="24"/>
  <c r="T74" i="24"/>
  <c r="T75" i="24"/>
  <c r="T76" i="24"/>
  <c r="T79" i="24"/>
  <c r="T77" i="24"/>
  <c r="T78" i="24"/>
  <c r="V75" i="24"/>
  <c r="V74" i="24"/>
  <c r="V76" i="24"/>
  <c r="V77" i="24"/>
  <c r="V79" i="24"/>
  <c r="V78" i="24"/>
  <c r="N74" i="24"/>
  <c r="N76" i="24"/>
  <c r="N75" i="24"/>
  <c r="N79" i="24"/>
  <c r="N78" i="24"/>
  <c r="N77" i="24"/>
  <c r="Q75" i="24"/>
  <c r="Q74" i="24"/>
  <c r="Q76" i="24"/>
  <c r="Q77" i="24"/>
  <c r="Q79" i="24"/>
  <c r="Q78" i="24"/>
  <c r="U75" i="24"/>
  <c r="U74" i="24"/>
  <c r="U76" i="24"/>
  <c r="U77" i="24"/>
  <c r="U79" i="24"/>
  <c r="U78" i="24"/>
  <c r="O74" i="24"/>
  <c r="O75" i="24"/>
  <c r="O76" i="24"/>
  <c r="O79" i="24"/>
  <c r="O77" i="24"/>
  <c r="O78" i="24"/>
  <c r="S74" i="24"/>
  <c r="S75" i="24"/>
  <c r="S76" i="24"/>
  <c r="S77" i="24"/>
  <c r="S78" i="24"/>
  <c r="S79" i="24"/>
  <c r="M74" i="24"/>
  <c r="M76" i="24"/>
  <c r="M75" i="24"/>
  <c r="M79" i="24"/>
  <c r="M78" i="24"/>
  <c r="M77" i="24"/>
  <c r="R74" i="24"/>
  <c r="R76" i="24"/>
  <c r="R75" i="24"/>
  <c r="R78" i="24"/>
  <c r="R79" i="24"/>
  <c r="R77" i="24"/>
  <c r="U64" i="24"/>
  <c r="U66" i="24"/>
  <c r="U68" i="24"/>
  <c r="U65" i="24"/>
  <c r="U67" i="24"/>
  <c r="U69" i="24"/>
  <c r="S65" i="24"/>
  <c r="S67" i="24"/>
  <c r="S69" i="24"/>
  <c r="S64" i="24"/>
  <c r="S66" i="24"/>
  <c r="S68" i="24"/>
  <c r="P65" i="24"/>
  <c r="P67" i="24"/>
  <c r="P69" i="24"/>
  <c r="P66" i="24"/>
  <c r="P68" i="24"/>
  <c r="P64" i="24"/>
  <c r="T65" i="24"/>
  <c r="T67" i="24"/>
  <c r="T69" i="24"/>
  <c r="T64" i="24"/>
  <c r="T66" i="24"/>
  <c r="T68" i="24"/>
  <c r="V64" i="24"/>
  <c r="V66" i="24"/>
  <c r="V68" i="24"/>
  <c r="V67" i="24"/>
  <c r="V65" i="24"/>
  <c r="V69" i="24"/>
  <c r="N69" i="24"/>
  <c r="N64" i="24"/>
  <c r="N66" i="24"/>
  <c r="N68" i="24"/>
  <c r="N67" i="24"/>
  <c r="N65" i="24"/>
  <c r="Q64" i="24"/>
  <c r="Q66" i="24"/>
  <c r="Q68" i="24"/>
  <c r="Q65" i="24"/>
  <c r="Q67" i="24"/>
  <c r="Q69" i="24"/>
  <c r="O65" i="24"/>
  <c r="O67" i="24"/>
  <c r="O69" i="24"/>
  <c r="O64" i="24"/>
  <c r="O66" i="24"/>
  <c r="O68" i="24"/>
  <c r="M64" i="24"/>
  <c r="M66" i="24"/>
  <c r="M68" i="24"/>
  <c r="M65" i="24"/>
  <c r="M67" i="24"/>
  <c r="M69" i="24"/>
  <c r="R64" i="24"/>
  <c r="R66" i="24"/>
  <c r="R68" i="24"/>
  <c r="R65" i="24"/>
  <c r="R69" i="24"/>
  <c r="R67" i="24"/>
  <c r="U61" i="24"/>
  <c r="U62" i="24"/>
  <c r="U58" i="24"/>
  <c r="U60" i="24"/>
  <c r="U57" i="24"/>
  <c r="U56" i="24"/>
  <c r="U59" i="24"/>
  <c r="O61" i="24"/>
  <c r="O57" i="24"/>
  <c r="O62" i="24"/>
  <c r="O58" i="24"/>
  <c r="O59" i="24"/>
  <c r="O60" i="24"/>
  <c r="O56" i="24"/>
  <c r="S61" i="24"/>
  <c r="S57" i="24"/>
  <c r="S62" i="24"/>
  <c r="S58" i="24"/>
  <c r="S59" i="24"/>
  <c r="S60" i="24"/>
  <c r="S56" i="24"/>
  <c r="M61" i="24"/>
  <c r="M57" i="24"/>
  <c r="M56" i="24"/>
  <c r="M59" i="24"/>
  <c r="M62" i="24"/>
  <c r="M58" i="24"/>
  <c r="M60" i="24"/>
  <c r="R61" i="24"/>
  <c r="R57" i="24"/>
  <c r="R56" i="24"/>
  <c r="R59" i="24"/>
  <c r="R62" i="24"/>
  <c r="R58" i="24"/>
  <c r="R60" i="24"/>
  <c r="J38" i="11"/>
  <c r="P61" i="24"/>
  <c r="P56" i="24"/>
  <c r="P57" i="24"/>
  <c r="P62" i="24"/>
  <c r="P58" i="24"/>
  <c r="P59" i="24"/>
  <c r="P60" i="24"/>
  <c r="T61" i="24"/>
  <c r="T56" i="24"/>
  <c r="T57" i="24"/>
  <c r="T62" i="24"/>
  <c r="T58" i="24"/>
  <c r="T59" i="24"/>
  <c r="T60" i="24"/>
  <c r="V61" i="24"/>
  <c r="V57" i="24"/>
  <c r="V56" i="24"/>
  <c r="V59" i="24"/>
  <c r="V62" i="24"/>
  <c r="V58" i="24"/>
  <c r="V60" i="24"/>
  <c r="N61" i="24"/>
  <c r="N62" i="24"/>
  <c r="N58" i="24"/>
  <c r="N60" i="24"/>
  <c r="N57" i="24"/>
  <c r="N56" i="24"/>
  <c r="N59" i="24"/>
  <c r="Q61" i="24"/>
  <c r="Q57" i="24"/>
  <c r="Q56" i="24"/>
  <c r="Q59" i="24"/>
  <c r="Q62" i="24"/>
  <c r="Q58" i="24"/>
  <c r="Q60" i="24"/>
  <c r="P55" i="24"/>
  <c r="V55" i="24"/>
  <c r="M55" i="24"/>
  <c r="R55" i="24"/>
  <c r="T55" i="24"/>
  <c r="N55" i="24"/>
  <c r="Q55" i="24"/>
  <c r="U55" i="24"/>
  <c r="O55" i="24"/>
  <c r="S55" i="24"/>
  <c r="M158" i="24"/>
  <c r="M160" i="24"/>
  <c r="M177" i="24"/>
  <c r="M207" i="24"/>
  <c r="M209" i="24"/>
  <c r="M218" i="24"/>
  <c r="M220" i="24"/>
  <c r="M222" i="24"/>
  <c r="M253" i="24"/>
  <c r="M255" i="24"/>
  <c r="M157" i="24"/>
  <c r="M197" i="24"/>
  <c r="M223" i="24"/>
  <c r="M264" i="24"/>
  <c r="M266" i="24"/>
  <c r="M277" i="24"/>
  <c r="M283" i="24"/>
  <c r="M285" i="24"/>
  <c r="M287" i="24"/>
  <c r="M305" i="24"/>
  <c r="M307" i="24"/>
  <c r="M309" i="24"/>
  <c r="M311" i="24"/>
  <c r="M350" i="24"/>
  <c r="M352" i="24"/>
  <c r="M354" i="24"/>
  <c r="M356" i="24"/>
  <c r="M368" i="24"/>
  <c r="M370" i="24"/>
  <c r="M372" i="24"/>
  <c r="M438" i="24"/>
  <c r="M208" i="24"/>
  <c r="M159" i="24"/>
  <c r="M257" i="24"/>
  <c r="M267" i="24"/>
  <c r="M256" i="24"/>
  <c r="M263" i="24"/>
  <c r="M284" i="24"/>
  <c r="M306" i="24"/>
  <c r="M355" i="24"/>
  <c r="M371" i="24"/>
  <c r="M221" i="24"/>
  <c r="M286" i="24"/>
  <c r="M288" i="24"/>
  <c r="M312" i="24"/>
  <c r="M353" i="24"/>
  <c r="M369" i="24"/>
  <c r="M219" i="24"/>
  <c r="M310" i="24"/>
  <c r="M349" i="24"/>
  <c r="M308" i="24"/>
  <c r="M254" i="24"/>
  <c r="M265" i="24"/>
  <c r="M351" i="24"/>
  <c r="M439" i="24"/>
  <c r="M437" i="24"/>
  <c r="M52" i="24"/>
  <c r="M50" i="24"/>
  <c r="M51" i="24"/>
  <c r="M46" i="24"/>
  <c r="M49" i="24"/>
  <c r="M48" i="24"/>
  <c r="M47" i="24"/>
  <c r="M12" i="24"/>
  <c r="M45" i="24"/>
  <c r="M44" i="24"/>
  <c r="M13" i="24"/>
  <c r="M11" i="24"/>
  <c r="M14" i="24"/>
  <c r="O63" i="24"/>
  <c r="S63" i="24"/>
  <c r="P63" i="24"/>
  <c r="T63" i="24"/>
  <c r="N63" i="24"/>
  <c r="V63" i="24"/>
  <c r="U63" i="24"/>
  <c r="M63" i="24"/>
  <c r="Q63" i="24"/>
  <c r="R63" i="24"/>
  <c r="P177" i="24"/>
  <c r="P207" i="24"/>
  <c r="P219" i="24"/>
  <c r="P220" i="24"/>
  <c r="P256" i="24"/>
  <c r="P159" i="24"/>
  <c r="P160" i="24"/>
  <c r="P221" i="24"/>
  <c r="P222" i="24"/>
  <c r="P223" i="24"/>
  <c r="P254" i="24"/>
  <c r="P263" i="24"/>
  <c r="P264" i="24"/>
  <c r="P283" i="24"/>
  <c r="P197" i="24"/>
  <c r="P267" i="24"/>
  <c r="P286" i="24"/>
  <c r="P287" i="24"/>
  <c r="P310" i="24"/>
  <c r="P311" i="24"/>
  <c r="P351" i="24"/>
  <c r="P352" i="24"/>
  <c r="P368" i="24"/>
  <c r="P439" i="24"/>
  <c r="P255" i="24"/>
  <c r="P306" i="24"/>
  <c r="P307" i="24"/>
  <c r="P157" i="24"/>
  <c r="P208" i="24"/>
  <c r="P218" i="24"/>
  <c r="P253" i="24"/>
  <c r="P265" i="24"/>
  <c r="P277" i="24"/>
  <c r="P285" i="24"/>
  <c r="P308" i="24"/>
  <c r="P309" i="24"/>
  <c r="P349" i="24"/>
  <c r="P350" i="24"/>
  <c r="P437" i="24"/>
  <c r="P438" i="24"/>
  <c r="P158" i="24"/>
  <c r="P209" i="24"/>
  <c r="P284" i="24"/>
  <c r="P305" i="24"/>
  <c r="P354" i="24"/>
  <c r="P257" i="24"/>
  <c r="P266" i="24"/>
  <c r="P312" i="24"/>
  <c r="P371" i="24"/>
  <c r="P372" i="24"/>
  <c r="P288" i="24"/>
  <c r="P369" i="24"/>
  <c r="P370" i="24"/>
  <c r="P355" i="24"/>
  <c r="P356" i="24"/>
  <c r="P353" i="24"/>
  <c r="P50" i="24"/>
  <c r="P48" i="24"/>
  <c r="P51" i="24"/>
  <c r="P47" i="24"/>
  <c r="P52" i="24"/>
  <c r="P45" i="24"/>
  <c r="P46" i="24"/>
  <c r="P49" i="24"/>
  <c r="P13" i="24"/>
  <c r="P12" i="24"/>
  <c r="P14" i="24"/>
  <c r="P11" i="24"/>
  <c r="P44" i="24"/>
  <c r="T159" i="24"/>
  <c r="T160" i="24"/>
  <c r="T218" i="24"/>
  <c r="T254" i="24"/>
  <c r="T255" i="24"/>
  <c r="T157" i="24"/>
  <c r="T158" i="24"/>
  <c r="T197" i="24"/>
  <c r="T207" i="24"/>
  <c r="T222" i="24"/>
  <c r="T208" i="24"/>
  <c r="T219" i="24"/>
  <c r="T220" i="24"/>
  <c r="T221" i="24"/>
  <c r="T223" i="24"/>
  <c r="T253" i="24"/>
  <c r="T277" i="24"/>
  <c r="T257" i="24"/>
  <c r="T263" i="24"/>
  <c r="T284" i="24"/>
  <c r="T285" i="24"/>
  <c r="T308" i="24"/>
  <c r="T309" i="24"/>
  <c r="T349" i="24"/>
  <c r="T350" i="24"/>
  <c r="T437" i="24"/>
  <c r="T438" i="24"/>
  <c r="T264" i="24"/>
  <c r="T267" i="24"/>
  <c r="T312" i="24"/>
  <c r="T177" i="24"/>
  <c r="T266" i="24"/>
  <c r="T306" i="24"/>
  <c r="T307" i="24"/>
  <c r="T355" i="24"/>
  <c r="T356" i="24"/>
  <c r="T371" i="24"/>
  <c r="T372" i="24"/>
  <c r="T256" i="24"/>
  <c r="T288" i="24"/>
  <c r="T305" i="24"/>
  <c r="T209" i="24"/>
  <c r="T265" i="24"/>
  <c r="T311" i="24"/>
  <c r="T368" i="24"/>
  <c r="T287" i="24"/>
  <c r="T353" i="24"/>
  <c r="T354" i="24"/>
  <c r="T283" i="24"/>
  <c r="T310" i="24"/>
  <c r="T351" i="24"/>
  <c r="T352" i="24"/>
  <c r="T439" i="24"/>
  <c r="T286" i="24"/>
  <c r="T369" i="24"/>
  <c r="T370" i="24"/>
  <c r="T49" i="24"/>
  <c r="T47" i="24"/>
  <c r="T52" i="24"/>
  <c r="T45" i="24"/>
  <c r="T50" i="24"/>
  <c r="T46" i="24"/>
  <c r="T51" i="24"/>
  <c r="T48" i="24"/>
  <c r="T44" i="24"/>
  <c r="T12" i="24"/>
  <c r="T14" i="24"/>
  <c r="T11" i="24"/>
  <c r="T13" i="24"/>
  <c r="V177" i="24"/>
  <c r="V207" i="24"/>
  <c r="V208" i="24"/>
  <c r="V220" i="24"/>
  <c r="V221" i="24"/>
  <c r="V160" i="24"/>
  <c r="V157" i="24"/>
  <c r="V209" i="24"/>
  <c r="V219" i="24"/>
  <c r="V158" i="24"/>
  <c r="V197" i="24"/>
  <c r="V254" i="24"/>
  <c r="V218" i="24"/>
  <c r="V255" i="24"/>
  <c r="V264" i="24"/>
  <c r="V265" i="24"/>
  <c r="V283" i="24"/>
  <c r="V267" i="24"/>
  <c r="V277" i="24"/>
  <c r="V287" i="24"/>
  <c r="V288" i="24"/>
  <c r="V311" i="24"/>
  <c r="V312" i="24"/>
  <c r="V352" i="24"/>
  <c r="V353" i="24"/>
  <c r="V368" i="24"/>
  <c r="V369" i="24"/>
  <c r="V284" i="24"/>
  <c r="V159" i="24"/>
  <c r="V223" i="24"/>
  <c r="V257" i="24"/>
  <c r="V263" i="24"/>
  <c r="V285" i="24"/>
  <c r="V286" i="24"/>
  <c r="V309" i="24"/>
  <c r="V310" i="24"/>
  <c r="V350" i="24"/>
  <c r="V351" i="24"/>
  <c r="V438" i="24"/>
  <c r="V439" i="24"/>
  <c r="V222" i="24"/>
  <c r="V253" i="24"/>
  <c r="V266" i="24"/>
  <c r="V307" i="24"/>
  <c r="V308" i="24"/>
  <c r="V256" i="24"/>
  <c r="V371" i="24"/>
  <c r="V305" i="24"/>
  <c r="V356" i="24"/>
  <c r="V354" i="24"/>
  <c r="V355" i="24"/>
  <c r="V306" i="24"/>
  <c r="V349" i="24"/>
  <c r="V372" i="24"/>
  <c r="V437" i="24"/>
  <c r="V370" i="24"/>
  <c r="V47" i="24"/>
  <c r="V50" i="24"/>
  <c r="V52" i="24"/>
  <c r="V49" i="24"/>
  <c r="V48" i="24"/>
  <c r="V51" i="24"/>
  <c r="V46" i="24"/>
  <c r="V12" i="24"/>
  <c r="V13" i="24"/>
  <c r="V11" i="24"/>
  <c r="V45" i="24"/>
  <c r="V14" i="24"/>
  <c r="V44" i="24"/>
  <c r="N158" i="24"/>
  <c r="N159" i="24"/>
  <c r="N253" i="24"/>
  <c r="N254" i="24"/>
  <c r="N157" i="24"/>
  <c r="N197" i="24"/>
  <c r="N209" i="24"/>
  <c r="N160" i="24"/>
  <c r="N219" i="24"/>
  <c r="N222" i="24"/>
  <c r="N177" i="24"/>
  <c r="N255" i="24"/>
  <c r="N208" i="24"/>
  <c r="N218" i="24"/>
  <c r="N220" i="24"/>
  <c r="N265" i="24"/>
  <c r="N277" i="24"/>
  <c r="N307" i="24"/>
  <c r="N308" i="24"/>
  <c r="N349" i="24"/>
  <c r="N356" i="24"/>
  <c r="N372" i="24"/>
  <c r="N437" i="24"/>
  <c r="N257" i="24"/>
  <c r="N287" i="24"/>
  <c r="N288" i="24"/>
  <c r="N256" i="24"/>
  <c r="N263" i="24"/>
  <c r="N266" i="24"/>
  <c r="N284" i="24"/>
  <c r="N305" i="24"/>
  <c r="N306" i="24"/>
  <c r="N354" i="24"/>
  <c r="N355" i="24"/>
  <c r="N370" i="24"/>
  <c r="N371" i="24"/>
  <c r="N264" i="24"/>
  <c r="N311" i="24"/>
  <c r="N312" i="24"/>
  <c r="N223" i="24"/>
  <c r="N285" i="24"/>
  <c r="N351" i="24"/>
  <c r="N438" i="24"/>
  <c r="N283" i="24"/>
  <c r="N310" i="24"/>
  <c r="N368" i="24"/>
  <c r="N369" i="24"/>
  <c r="N267" i="24"/>
  <c r="N286" i="24"/>
  <c r="N207" i="24"/>
  <c r="N221" i="24"/>
  <c r="N309" i="24"/>
  <c r="N352" i="24"/>
  <c r="N353" i="24"/>
  <c r="N350" i="24"/>
  <c r="N439" i="24"/>
  <c r="N52" i="24"/>
  <c r="N48" i="24"/>
  <c r="N50" i="24"/>
  <c r="N49" i="24"/>
  <c r="N46" i="24"/>
  <c r="N51" i="24"/>
  <c r="N47" i="24"/>
  <c r="N13" i="24"/>
  <c r="N11" i="24"/>
  <c r="N14" i="24"/>
  <c r="N45" i="24"/>
  <c r="N44" i="24"/>
  <c r="N12" i="24"/>
  <c r="O136" i="24"/>
  <c r="S136" i="24"/>
  <c r="P136" i="24"/>
  <c r="T136" i="24"/>
  <c r="R136" i="24"/>
  <c r="N136" i="24"/>
  <c r="Q136" i="24"/>
  <c r="V136" i="24"/>
  <c r="M136" i="24"/>
  <c r="U136" i="24"/>
  <c r="M119" i="24"/>
  <c r="Q119" i="24"/>
  <c r="U119" i="24"/>
  <c r="N119" i="24"/>
  <c r="R119" i="24"/>
  <c r="V119" i="24"/>
  <c r="T119" i="24"/>
  <c r="S119" i="24"/>
  <c r="P119" i="24"/>
  <c r="O119" i="24"/>
  <c r="M72" i="24"/>
  <c r="Q72" i="24"/>
  <c r="U72" i="24"/>
  <c r="N72" i="24"/>
  <c r="R72" i="24"/>
  <c r="V72" i="24"/>
  <c r="P72" i="24"/>
  <c r="O72" i="24"/>
  <c r="T72" i="24"/>
  <c r="S72" i="24"/>
  <c r="M137" i="24"/>
  <c r="Q137" i="24"/>
  <c r="N137" i="24"/>
  <c r="R137" i="24"/>
  <c r="V137" i="24"/>
  <c r="P137" i="24"/>
  <c r="O137" i="24"/>
  <c r="S137" i="24"/>
  <c r="T137" i="24"/>
  <c r="U137" i="24"/>
  <c r="O120" i="24"/>
  <c r="S120" i="24"/>
  <c r="P120" i="24"/>
  <c r="T120" i="24"/>
  <c r="R120" i="24"/>
  <c r="U120" i="24"/>
  <c r="M120" i="24"/>
  <c r="V120" i="24"/>
  <c r="Q120" i="24"/>
  <c r="N120" i="24"/>
  <c r="O73" i="24"/>
  <c r="S73" i="24"/>
  <c r="P73" i="24"/>
  <c r="T73" i="24"/>
  <c r="N73" i="24"/>
  <c r="V73" i="24"/>
  <c r="M73" i="24"/>
  <c r="Q73" i="24"/>
  <c r="U73" i="24"/>
  <c r="R73" i="24"/>
  <c r="Q158" i="24"/>
  <c r="Q160" i="24"/>
  <c r="Q177" i="24"/>
  <c r="Q207" i="24"/>
  <c r="Q209" i="24"/>
  <c r="Q218" i="24"/>
  <c r="Q220" i="24"/>
  <c r="Q222" i="24"/>
  <c r="Q253" i="24"/>
  <c r="Q255" i="24"/>
  <c r="Q208" i="24"/>
  <c r="Q221" i="24"/>
  <c r="Q257" i="24"/>
  <c r="Q264" i="24"/>
  <c r="Q266" i="24"/>
  <c r="Q277" i="24"/>
  <c r="Q283" i="24"/>
  <c r="Q285" i="24"/>
  <c r="Q287" i="24"/>
  <c r="Q305" i="24"/>
  <c r="Q307" i="24"/>
  <c r="Q309" i="24"/>
  <c r="Q311" i="24"/>
  <c r="Q350" i="24"/>
  <c r="Q352" i="24"/>
  <c r="Q354" i="24"/>
  <c r="Q356" i="24"/>
  <c r="Q368" i="24"/>
  <c r="Q370" i="24"/>
  <c r="Q372" i="24"/>
  <c r="Q438" i="24"/>
  <c r="Q197" i="24"/>
  <c r="Q223" i="24"/>
  <c r="Q157" i="24"/>
  <c r="Q256" i="24"/>
  <c r="Q159" i="24"/>
  <c r="Q254" i="24"/>
  <c r="Q265" i="24"/>
  <c r="Q284" i="24"/>
  <c r="Q288" i="24"/>
  <c r="Q312" i="24"/>
  <c r="Q353" i="24"/>
  <c r="Q369" i="24"/>
  <c r="Q263" i="24"/>
  <c r="Q308" i="24"/>
  <c r="Q267" i="24"/>
  <c r="Q286" i="24"/>
  <c r="Q310" i="24"/>
  <c r="Q351" i="24"/>
  <c r="Q439" i="24"/>
  <c r="Q349" i="24"/>
  <c r="Q437" i="24"/>
  <c r="Q219" i="24"/>
  <c r="Q306" i="24"/>
  <c r="Q371" i="24"/>
  <c r="Q355" i="24"/>
  <c r="Q47" i="24"/>
  <c r="Q46" i="24"/>
  <c r="Q51" i="24"/>
  <c r="Q49" i="24"/>
  <c r="Q48" i="24"/>
  <c r="Q45" i="24"/>
  <c r="Q50" i="24"/>
  <c r="Q44" i="24"/>
  <c r="Q52" i="24"/>
  <c r="Q14" i="24"/>
  <c r="Q12" i="24"/>
  <c r="Q13" i="24"/>
  <c r="Q11" i="24"/>
  <c r="O139" i="24"/>
  <c r="S139" i="24"/>
  <c r="N139" i="24"/>
  <c r="T139" i="24"/>
  <c r="P139" i="24"/>
  <c r="U139" i="24"/>
  <c r="R139" i="24"/>
  <c r="V139" i="24"/>
  <c r="M139" i="24"/>
  <c r="Q139" i="24"/>
  <c r="M135" i="24"/>
  <c r="Q135" i="24"/>
  <c r="U135" i="24"/>
  <c r="N135" i="24"/>
  <c r="R135" i="24"/>
  <c r="V135" i="24"/>
  <c r="T135" i="24"/>
  <c r="O135" i="24"/>
  <c r="P135" i="24"/>
  <c r="S135" i="24"/>
  <c r="O118" i="24"/>
  <c r="S118" i="24"/>
  <c r="P118" i="24"/>
  <c r="T118" i="24"/>
  <c r="N118" i="24"/>
  <c r="V118" i="24"/>
  <c r="R118" i="24"/>
  <c r="U118" i="24"/>
  <c r="Q118" i="24"/>
  <c r="M118" i="24"/>
  <c r="O71" i="24"/>
  <c r="S71" i="24"/>
  <c r="P71" i="24"/>
  <c r="T71" i="24"/>
  <c r="R71" i="24"/>
  <c r="M71" i="24"/>
  <c r="V71" i="24"/>
  <c r="N71" i="24"/>
  <c r="Q71" i="24"/>
  <c r="U71" i="24"/>
  <c r="R157" i="24"/>
  <c r="R197" i="24"/>
  <c r="R209" i="24"/>
  <c r="R222" i="24"/>
  <c r="R223" i="24"/>
  <c r="R177" i="24"/>
  <c r="R207" i="24"/>
  <c r="R208" i="24"/>
  <c r="R218" i="24"/>
  <c r="R160" i="24"/>
  <c r="R219" i="24"/>
  <c r="R220" i="24"/>
  <c r="R221" i="24"/>
  <c r="R253" i="24"/>
  <c r="R257" i="24"/>
  <c r="R256" i="24"/>
  <c r="R266" i="24"/>
  <c r="R267" i="24"/>
  <c r="R159" i="24"/>
  <c r="R254" i="24"/>
  <c r="R264" i="24"/>
  <c r="R305" i="24"/>
  <c r="R306" i="24"/>
  <c r="R354" i="24"/>
  <c r="R355" i="24"/>
  <c r="R370" i="24"/>
  <c r="R371" i="24"/>
  <c r="R277" i="24"/>
  <c r="R309" i="24"/>
  <c r="R310" i="24"/>
  <c r="R283" i="24"/>
  <c r="R287" i="24"/>
  <c r="R288" i="24"/>
  <c r="R311" i="24"/>
  <c r="R312" i="24"/>
  <c r="R352" i="24"/>
  <c r="R353" i="24"/>
  <c r="R368" i="24"/>
  <c r="R369" i="24"/>
  <c r="R265" i="24"/>
  <c r="R285" i="24"/>
  <c r="R286" i="24"/>
  <c r="R307" i="24"/>
  <c r="R356" i="24"/>
  <c r="R263" i="24"/>
  <c r="R350" i="24"/>
  <c r="R351" i="24"/>
  <c r="R438" i="24"/>
  <c r="R439" i="24"/>
  <c r="R308" i="24"/>
  <c r="R349" i="24"/>
  <c r="R372" i="24"/>
  <c r="R437" i="24"/>
  <c r="R158" i="24"/>
  <c r="R255" i="24"/>
  <c r="R284" i="24"/>
  <c r="R51" i="24"/>
  <c r="R47" i="24"/>
  <c r="R50" i="24"/>
  <c r="R49" i="24"/>
  <c r="R48" i="24"/>
  <c r="R46" i="24"/>
  <c r="R52" i="24"/>
  <c r="R44" i="24"/>
  <c r="R45" i="24"/>
  <c r="R13" i="24"/>
  <c r="R12" i="24"/>
  <c r="R11" i="24"/>
  <c r="R14" i="24"/>
  <c r="M80" i="24"/>
  <c r="Q80" i="24"/>
  <c r="U80" i="24"/>
  <c r="N80" i="24"/>
  <c r="R80" i="24"/>
  <c r="V80" i="24"/>
  <c r="P80" i="24"/>
  <c r="O80" i="24"/>
  <c r="S80" i="24"/>
  <c r="T80" i="24"/>
  <c r="U158" i="24"/>
  <c r="U160" i="24"/>
  <c r="U177" i="24"/>
  <c r="U207" i="24"/>
  <c r="U209" i="24"/>
  <c r="U218" i="24"/>
  <c r="U220" i="24"/>
  <c r="U222" i="24"/>
  <c r="U253" i="24"/>
  <c r="U255" i="24"/>
  <c r="U219" i="24"/>
  <c r="U256" i="24"/>
  <c r="U257" i="24"/>
  <c r="U264" i="24"/>
  <c r="U266" i="24"/>
  <c r="U277" i="24"/>
  <c r="U283" i="24"/>
  <c r="U285" i="24"/>
  <c r="U287" i="24"/>
  <c r="U305" i="24"/>
  <c r="U307" i="24"/>
  <c r="U309" i="24"/>
  <c r="U311" i="24"/>
  <c r="U350" i="24"/>
  <c r="U352" i="24"/>
  <c r="U354" i="24"/>
  <c r="U356" i="24"/>
  <c r="U368" i="24"/>
  <c r="U370" i="24"/>
  <c r="U372" i="24"/>
  <c r="U438" i="24"/>
  <c r="U159" i="24"/>
  <c r="U208" i="24"/>
  <c r="U157" i="24"/>
  <c r="U263" i="24"/>
  <c r="U221" i="24"/>
  <c r="U223" i="24"/>
  <c r="U265" i="24"/>
  <c r="U286" i="24"/>
  <c r="U310" i="24"/>
  <c r="U351" i="24"/>
  <c r="U439" i="24"/>
  <c r="U197" i="24"/>
  <c r="U254" i="24"/>
  <c r="U284" i="24"/>
  <c r="U308" i="24"/>
  <c r="U349" i="24"/>
  <c r="U437" i="24"/>
  <c r="U306" i="24"/>
  <c r="U355" i="24"/>
  <c r="U312" i="24"/>
  <c r="U353" i="24"/>
  <c r="U267" i="24"/>
  <c r="U288" i="24"/>
  <c r="U371" i="24"/>
  <c r="U369" i="24"/>
  <c r="U51" i="24"/>
  <c r="U49" i="24"/>
  <c r="U48" i="24"/>
  <c r="U47" i="24"/>
  <c r="U50" i="24"/>
  <c r="U52" i="24"/>
  <c r="U45" i="24"/>
  <c r="U46" i="24"/>
  <c r="U14" i="24"/>
  <c r="U13" i="24"/>
  <c r="U11" i="24"/>
  <c r="U44" i="24"/>
  <c r="U12" i="24"/>
  <c r="O157" i="24"/>
  <c r="O159" i="24"/>
  <c r="O197" i="24"/>
  <c r="O208" i="24"/>
  <c r="O219" i="24"/>
  <c r="O221" i="24"/>
  <c r="O223" i="24"/>
  <c r="O254" i="24"/>
  <c r="O256" i="24"/>
  <c r="O257" i="24"/>
  <c r="O160" i="24"/>
  <c r="O218" i="24"/>
  <c r="O255" i="24"/>
  <c r="O263" i="24"/>
  <c r="O265" i="24"/>
  <c r="O267" i="24"/>
  <c r="O284" i="24"/>
  <c r="O286" i="24"/>
  <c r="O288" i="24"/>
  <c r="O306" i="24"/>
  <c r="O308" i="24"/>
  <c r="O310" i="24"/>
  <c r="O312" i="24"/>
  <c r="O349" i="24"/>
  <c r="O351" i="24"/>
  <c r="O353" i="24"/>
  <c r="O355" i="24"/>
  <c r="O369" i="24"/>
  <c r="O371" i="24"/>
  <c r="O437" i="24"/>
  <c r="O439" i="24"/>
  <c r="O158" i="24"/>
  <c r="O177" i="24"/>
  <c r="O207" i="24"/>
  <c r="O209" i="24"/>
  <c r="O277" i="24"/>
  <c r="O253" i="24"/>
  <c r="O283" i="24"/>
  <c r="O285" i="24"/>
  <c r="O309" i="24"/>
  <c r="O350" i="24"/>
  <c r="O438" i="24"/>
  <c r="O266" i="24"/>
  <c r="O305" i="24"/>
  <c r="O220" i="24"/>
  <c r="O222" i="24"/>
  <c r="O307" i="24"/>
  <c r="O356" i="24"/>
  <c r="O372" i="24"/>
  <c r="O287" i="24"/>
  <c r="O370" i="24"/>
  <c r="O264" i="24"/>
  <c r="O368" i="24"/>
  <c r="O311" i="24"/>
  <c r="O354" i="24"/>
  <c r="O352" i="24"/>
  <c r="O50" i="24"/>
  <c r="O49" i="24"/>
  <c r="O46" i="24"/>
  <c r="O47" i="24"/>
  <c r="O52" i="24"/>
  <c r="O48" i="24"/>
  <c r="O51" i="24"/>
  <c r="O45" i="24"/>
  <c r="O12" i="24"/>
  <c r="O14" i="24"/>
  <c r="O44" i="24"/>
  <c r="O13" i="24"/>
  <c r="O11" i="24"/>
  <c r="S157" i="24"/>
  <c r="S159" i="24"/>
  <c r="S197" i="24"/>
  <c r="S208" i="24"/>
  <c r="S219" i="24"/>
  <c r="S221" i="24"/>
  <c r="S223" i="24"/>
  <c r="S254" i="24"/>
  <c r="S256" i="24"/>
  <c r="S158" i="24"/>
  <c r="S253" i="24"/>
  <c r="S263" i="24"/>
  <c r="S265" i="24"/>
  <c r="S267" i="24"/>
  <c r="S284" i="24"/>
  <c r="S286" i="24"/>
  <c r="S288" i="24"/>
  <c r="S306" i="24"/>
  <c r="S308" i="24"/>
  <c r="S310" i="24"/>
  <c r="S312" i="24"/>
  <c r="S349" i="24"/>
  <c r="S351" i="24"/>
  <c r="S353" i="24"/>
  <c r="S355" i="24"/>
  <c r="S369" i="24"/>
  <c r="S371" i="24"/>
  <c r="S437" i="24"/>
  <c r="S439" i="24"/>
  <c r="S209" i="24"/>
  <c r="S220" i="24"/>
  <c r="S218" i="24"/>
  <c r="S255" i="24"/>
  <c r="S160" i="24"/>
  <c r="S207" i="24"/>
  <c r="S222" i="24"/>
  <c r="S257" i="24"/>
  <c r="S177" i="24"/>
  <c r="S266" i="24"/>
  <c r="S307" i="24"/>
  <c r="S356" i="24"/>
  <c r="S372" i="24"/>
  <c r="S283" i="24"/>
  <c r="S311" i="24"/>
  <c r="S264" i="24"/>
  <c r="S305" i="24"/>
  <c r="S354" i="24"/>
  <c r="S370" i="24"/>
  <c r="S287" i="24"/>
  <c r="S309" i="24"/>
  <c r="S285" i="24"/>
  <c r="S352" i="24"/>
  <c r="S350" i="24"/>
  <c r="S438" i="24"/>
  <c r="S277" i="24"/>
  <c r="S368" i="24"/>
  <c r="S47" i="24"/>
  <c r="S50" i="24"/>
  <c r="S49" i="24"/>
  <c r="S48" i="24"/>
  <c r="S51" i="24"/>
  <c r="S46" i="24"/>
  <c r="S52" i="24"/>
  <c r="S13" i="24"/>
  <c r="S12" i="24"/>
  <c r="S11" i="24"/>
  <c r="S14" i="24"/>
  <c r="S44" i="24"/>
  <c r="S45" i="24"/>
  <c r="M138" i="24"/>
  <c r="Q138" i="24"/>
  <c r="U138" i="24"/>
  <c r="N138" i="24"/>
  <c r="S138" i="24"/>
  <c r="O138" i="24"/>
  <c r="T138" i="24"/>
  <c r="R138" i="24"/>
  <c r="P138" i="24"/>
  <c r="V138" i="24"/>
  <c r="M117" i="24"/>
  <c r="Q117" i="24"/>
  <c r="U117" i="24"/>
  <c r="N117" i="24"/>
  <c r="R117" i="24"/>
  <c r="V117" i="24"/>
  <c r="P117" i="24"/>
  <c r="S117" i="24"/>
  <c r="T117" i="24"/>
  <c r="O117" i="24"/>
  <c r="O81" i="24"/>
  <c r="S81" i="24"/>
  <c r="P81" i="24"/>
  <c r="T81" i="24"/>
  <c r="N81" i="24"/>
  <c r="V81" i="24"/>
  <c r="Q81" i="24"/>
  <c r="R81" i="24"/>
  <c r="M81" i="24"/>
  <c r="U81" i="24"/>
  <c r="M70" i="24"/>
  <c r="Q70" i="24"/>
  <c r="U70" i="24"/>
  <c r="N70" i="24"/>
  <c r="R70" i="24"/>
  <c r="V70" i="24"/>
  <c r="T70" i="24"/>
  <c r="O70" i="24"/>
  <c r="S70" i="24"/>
  <c r="P70" i="24"/>
  <c r="M41" i="24"/>
  <c r="Q41" i="24"/>
  <c r="U41" i="24"/>
  <c r="S41" i="24"/>
  <c r="N41" i="24"/>
  <c r="R41" i="24"/>
  <c r="V41" i="24"/>
  <c r="O41" i="24"/>
  <c r="P41" i="24"/>
  <c r="T41" i="24"/>
  <c r="M37" i="24"/>
  <c r="Q37" i="24"/>
  <c r="U37" i="24"/>
  <c r="S37" i="24"/>
  <c r="N37" i="24"/>
  <c r="R37" i="24"/>
  <c r="V37" i="24"/>
  <c r="O37" i="24"/>
  <c r="P37" i="24"/>
  <c r="T37" i="24"/>
  <c r="M33" i="24"/>
  <c r="Q33" i="24"/>
  <c r="U33" i="24"/>
  <c r="S33" i="24"/>
  <c r="N33" i="24"/>
  <c r="R33" i="24"/>
  <c r="V33" i="24"/>
  <c r="O33" i="24"/>
  <c r="P33" i="24"/>
  <c r="T33" i="24"/>
  <c r="M29" i="24"/>
  <c r="Q29" i="24"/>
  <c r="U29" i="24"/>
  <c r="O29" i="24"/>
  <c r="N29" i="24"/>
  <c r="R29" i="24"/>
  <c r="V29" i="24"/>
  <c r="S29" i="24"/>
  <c r="P29" i="24"/>
  <c r="T29" i="24"/>
  <c r="M25" i="24"/>
  <c r="Q25" i="24"/>
  <c r="U25" i="24"/>
  <c r="S25" i="24"/>
  <c r="P25" i="24"/>
  <c r="T25" i="24"/>
  <c r="N25" i="24"/>
  <c r="R25" i="24"/>
  <c r="V25" i="24"/>
  <c r="O25" i="24"/>
  <c r="O40" i="24"/>
  <c r="S40" i="24"/>
  <c r="M40" i="24"/>
  <c r="U40" i="24"/>
  <c r="P40" i="24"/>
  <c r="T40" i="24"/>
  <c r="Q40" i="24"/>
  <c r="R40" i="24"/>
  <c r="V40" i="24"/>
  <c r="N40" i="24"/>
  <c r="O36" i="24"/>
  <c r="S36" i="24"/>
  <c r="M36" i="24"/>
  <c r="U36" i="24"/>
  <c r="P36" i="24"/>
  <c r="T36" i="24"/>
  <c r="Q36" i="24"/>
  <c r="N36" i="24"/>
  <c r="R36" i="24"/>
  <c r="V36" i="24"/>
  <c r="O32" i="24"/>
  <c r="S32" i="24"/>
  <c r="M32" i="24"/>
  <c r="U32" i="24"/>
  <c r="P32" i="24"/>
  <c r="T32" i="24"/>
  <c r="Q32" i="24"/>
  <c r="R32" i="24"/>
  <c r="V32" i="24"/>
  <c r="N32" i="24"/>
  <c r="O28" i="24"/>
  <c r="S28" i="24"/>
  <c r="Q28" i="24"/>
  <c r="P28" i="24"/>
  <c r="T28" i="24"/>
  <c r="M28" i="24"/>
  <c r="U28" i="24"/>
  <c r="N28" i="24"/>
  <c r="R28" i="24"/>
  <c r="V28" i="24"/>
  <c r="O24" i="24"/>
  <c r="S24" i="24"/>
  <c r="Q24" i="24"/>
  <c r="U24" i="24"/>
  <c r="N24" i="24"/>
  <c r="R24" i="24"/>
  <c r="V24" i="24"/>
  <c r="P24" i="24"/>
  <c r="T24" i="24"/>
  <c r="M24" i="24"/>
  <c r="M39" i="24"/>
  <c r="Q39" i="24"/>
  <c r="U39" i="24"/>
  <c r="O39" i="24"/>
  <c r="N39" i="24"/>
  <c r="R39" i="24"/>
  <c r="V39" i="24"/>
  <c r="S39" i="24"/>
  <c r="P39" i="24"/>
  <c r="T39" i="24"/>
  <c r="M35" i="24"/>
  <c r="Q35" i="24"/>
  <c r="U35" i="24"/>
  <c r="O35" i="24"/>
  <c r="N35" i="24"/>
  <c r="R35" i="24"/>
  <c r="V35" i="24"/>
  <c r="S35" i="24"/>
  <c r="T35" i="24"/>
  <c r="P35" i="24"/>
  <c r="M31" i="24"/>
  <c r="Q31" i="24"/>
  <c r="U31" i="24"/>
  <c r="O31" i="24"/>
  <c r="N31" i="24"/>
  <c r="R31" i="24"/>
  <c r="V31" i="24"/>
  <c r="S31" i="24"/>
  <c r="P31" i="24"/>
  <c r="T31" i="24"/>
  <c r="M27" i="24"/>
  <c r="Q27" i="24"/>
  <c r="U27" i="24"/>
  <c r="S27" i="24"/>
  <c r="N27" i="24"/>
  <c r="R27" i="24"/>
  <c r="V27" i="24"/>
  <c r="O27" i="24"/>
  <c r="T27" i="24"/>
  <c r="P27" i="24"/>
  <c r="O38" i="24"/>
  <c r="S38" i="24"/>
  <c r="Q38" i="24"/>
  <c r="P38" i="24"/>
  <c r="T38" i="24"/>
  <c r="M38" i="24"/>
  <c r="U38" i="24"/>
  <c r="V38" i="24"/>
  <c r="N38" i="24"/>
  <c r="R38" i="24"/>
  <c r="O34" i="24"/>
  <c r="S34" i="24"/>
  <c r="Q34" i="24"/>
  <c r="P34" i="24"/>
  <c r="T34" i="24"/>
  <c r="M34" i="24"/>
  <c r="U34" i="24"/>
  <c r="N34" i="24"/>
  <c r="R34" i="24"/>
  <c r="V34" i="24"/>
  <c r="O30" i="24"/>
  <c r="S30" i="24"/>
  <c r="M30" i="24"/>
  <c r="Q30" i="24"/>
  <c r="P30" i="24"/>
  <c r="T30" i="24"/>
  <c r="U30" i="24"/>
  <c r="V30" i="24"/>
  <c r="N30" i="24"/>
  <c r="R30" i="24"/>
  <c r="O26" i="24"/>
  <c r="S26" i="24"/>
  <c r="M26" i="24"/>
  <c r="U26" i="24"/>
  <c r="P26" i="24"/>
  <c r="T26" i="24"/>
  <c r="Q26" i="24"/>
  <c r="N26" i="24"/>
  <c r="R26" i="24"/>
  <c r="V26" i="24"/>
  <c r="O18" i="24"/>
  <c r="S18" i="24"/>
  <c r="R18" i="24"/>
  <c r="P18" i="24"/>
  <c r="T18" i="24"/>
  <c r="N18" i="24"/>
  <c r="M18" i="24"/>
  <c r="Q18" i="24"/>
  <c r="U18" i="24"/>
  <c r="V18" i="24"/>
  <c r="M21" i="24"/>
  <c r="Q21" i="24"/>
  <c r="U21" i="24"/>
  <c r="P21" i="24"/>
  <c r="N21" i="24"/>
  <c r="R21" i="24"/>
  <c r="V21" i="24"/>
  <c r="T21" i="24"/>
  <c r="O21" i="24"/>
  <c r="S21" i="24"/>
  <c r="M17" i="24"/>
  <c r="Q17" i="24"/>
  <c r="U17" i="24"/>
  <c r="P17" i="24"/>
  <c r="N17" i="24"/>
  <c r="R17" i="24"/>
  <c r="V17" i="24"/>
  <c r="O17" i="24"/>
  <c r="S17" i="24"/>
  <c r="T17" i="24"/>
  <c r="O22" i="24"/>
  <c r="S22" i="24"/>
  <c r="R22" i="24"/>
  <c r="P22" i="24"/>
  <c r="T22" i="24"/>
  <c r="V22" i="24"/>
  <c r="M22" i="24"/>
  <c r="Q22" i="24"/>
  <c r="U22" i="24"/>
  <c r="N22" i="24"/>
  <c r="O20" i="24"/>
  <c r="S20" i="24"/>
  <c r="N20" i="24"/>
  <c r="P20" i="24"/>
  <c r="T20" i="24"/>
  <c r="R20" i="24"/>
  <c r="M20" i="24"/>
  <c r="Q20" i="24"/>
  <c r="U20" i="24"/>
  <c r="V20" i="24"/>
  <c r="O16" i="24"/>
  <c r="S16" i="24"/>
  <c r="N16" i="24"/>
  <c r="P16" i="24"/>
  <c r="T16" i="24"/>
  <c r="V16" i="24"/>
  <c r="M16" i="24"/>
  <c r="Q16" i="24"/>
  <c r="U16" i="24"/>
  <c r="R16" i="24"/>
  <c r="M23" i="24"/>
  <c r="Q23" i="24"/>
  <c r="U23" i="24"/>
  <c r="T23" i="24"/>
  <c r="N23" i="24"/>
  <c r="R23" i="24"/>
  <c r="V23" i="24"/>
  <c r="O23" i="24"/>
  <c r="S23" i="24"/>
  <c r="P23" i="24"/>
  <c r="M19" i="24"/>
  <c r="Q19" i="24"/>
  <c r="U19" i="24"/>
  <c r="P19" i="24"/>
  <c r="N19" i="24"/>
  <c r="R19" i="24"/>
  <c r="V19" i="24"/>
  <c r="T19" i="24"/>
  <c r="O19" i="24"/>
  <c r="S19" i="24"/>
  <c r="M15" i="24"/>
  <c r="Q15" i="24"/>
  <c r="U15" i="24"/>
  <c r="N15" i="24"/>
  <c r="R15" i="24"/>
  <c r="V15" i="24"/>
  <c r="P15" i="24"/>
  <c r="O15" i="24"/>
  <c r="S15" i="24"/>
  <c r="T15" i="24"/>
  <c r="M53" i="24"/>
  <c r="Q53" i="24"/>
  <c r="U53" i="24"/>
  <c r="S53" i="24"/>
  <c r="P53" i="24"/>
  <c r="N53" i="24"/>
  <c r="R53" i="24"/>
  <c r="V53" i="24"/>
  <c r="O53" i="24"/>
  <c r="T53" i="24"/>
  <c r="M43" i="24"/>
  <c r="Q43" i="24"/>
  <c r="U43" i="24"/>
  <c r="O43" i="24"/>
  <c r="P43" i="24"/>
  <c r="N43" i="24"/>
  <c r="R43" i="24"/>
  <c r="V43" i="24"/>
  <c r="S43" i="24"/>
  <c r="T43" i="24"/>
  <c r="O54" i="24"/>
  <c r="S54" i="24"/>
  <c r="Q54" i="24"/>
  <c r="N54" i="24"/>
  <c r="V54" i="24"/>
  <c r="P54" i="24"/>
  <c r="T54" i="24"/>
  <c r="M54" i="24"/>
  <c r="U54" i="24"/>
  <c r="R54" i="24"/>
  <c r="O42" i="24"/>
  <c r="S42" i="24"/>
  <c r="Q42" i="24"/>
  <c r="N42" i="24"/>
  <c r="P42" i="24"/>
  <c r="T42" i="24"/>
  <c r="M42" i="24"/>
  <c r="U42" i="24"/>
  <c r="R42" i="24"/>
  <c r="V42" i="24"/>
  <c r="R6" i="24"/>
  <c r="R5" i="24"/>
  <c r="R7" i="24"/>
  <c r="R9" i="24"/>
  <c r="R8" i="24"/>
  <c r="R10" i="24"/>
  <c r="N8" i="24"/>
  <c r="N10" i="24"/>
  <c r="N5" i="24"/>
  <c r="N7" i="24"/>
  <c r="N9" i="24"/>
  <c r="N6" i="24"/>
  <c r="O6" i="24"/>
  <c r="O8" i="24"/>
  <c r="O10" i="24"/>
  <c r="O7" i="24"/>
  <c r="O9" i="24"/>
  <c r="O5" i="24"/>
  <c r="S6" i="24"/>
  <c r="S8" i="24"/>
  <c r="S10" i="24"/>
  <c r="S5" i="24"/>
  <c r="S7" i="24"/>
  <c r="S9" i="24"/>
  <c r="P7" i="24"/>
  <c r="P9" i="24"/>
  <c r="P6" i="24"/>
  <c r="P8" i="24"/>
  <c r="P10" i="24"/>
  <c r="P5" i="24"/>
  <c r="B39" i="11"/>
  <c r="M5" i="24"/>
  <c r="M7" i="24"/>
  <c r="M9" i="24"/>
  <c r="M4" i="24"/>
  <c r="M8" i="24"/>
  <c r="M10" i="24"/>
  <c r="M6" i="24"/>
  <c r="T5" i="24"/>
  <c r="T6" i="24"/>
  <c r="T8" i="24"/>
  <c r="T10" i="24"/>
  <c r="T7" i="24"/>
  <c r="T9" i="24"/>
  <c r="V10" i="24"/>
  <c r="V5" i="24"/>
  <c r="V7" i="24"/>
  <c r="V9" i="24"/>
  <c r="V6" i="24"/>
  <c r="V8" i="24"/>
  <c r="U5" i="24"/>
  <c r="U7" i="24"/>
  <c r="U9" i="24"/>
  <c r="U8" i="24"/>
  <c r="U10" i="24"/>
  <c r="U6" i="24"/>
  <c r="Q5" i="24"/>
  <c r="Q7" i="24"/>
  <c r="Q9" i="24"/>
  <c r="Q6" i="24"/>
  <c r="Q8" i="24"/>
  <c r="Q10" i="24"/>
  <c r="U4" i="24"/>
  <c r="I39" i="11"/>
  <c r="H39" i="11"/>
  <c r="G39" i="11"/>
  <c r="G38" i="11" s="1"/>
  <c r="I9" i="14" s="1"/>
  <c r="H79" i="8"/>
  <c r="H104" i="8" s="1"/>
  <c r="T4" i="24"/>
  <c r="R4" i="24"/>
  <c r="K440" i="24"/>
  <c r="K442" i="24" s="1"/>
  <c r="S4" i="24"/>
  <c r="J440" i="24"/>
  <c r="D45" i="11"/>
  <c r="D86" i="11" s="1"/>
  <c r="D38" i="13"/>
  <c r="E45" i="11"/>
  <c r="E86" i="11" s="1"/>
  <c r="C3" i="25"/>
  <c r="E228" i="6"/>
  <c r="B103" i="8" s="1"/>
  <c r="T8" i="2"/>
  <c r="E32" i="6"/>
  <c r="H32" i="6" s="1"/>
  <c r="D111" i="6"/>
  <c r="E33" i="6"/>
  <c r="E233" i="6"/>
  <c r="E24" i="6"/>
  <c r="H24" i="6" s="1"/>
  <c r="E36" i="6"/>
  <c r="H36" i="6" s="1"/>
  <c r="E22" i="6"/>
  <c r="D104" i="6"/>
  <c r="F79" i="8"/>
  <c r="E79" i="8"/>
  <c r="D79" i="8"/>
  <c r="C79" i="8"/>
  <c r="N45" i="2"/>
  <c r="N44" i="2"/>
  <c r="N47" i="2"/>
  <c r="N50" i="2"/>
  <c r="O17" i="2"/>
  <c r="N18" i="2"/>
  <c r="N55" i="2"/>
  <c r="N46" i="2"/>
  <c r="N15" i="2"/>
  <c r="O18" i="2"/>
  <c r="N54" i="2"/>
  <c r="N48" i="2"/>
  <c r="N16" i="2"/>
  <c r="O15" i="2"/>
  <c r="O16" i="2"/>
  <c r="N17" i="2"/>
  <c r="E34" i="6"/>
  <c r="E25" i="6"/>
  <c r="N8" i="2"/>
  <c r="Q54" i="2"/>
  <c r="R45" i="2"/>
  <c r="Q46" i="2"/>
  <c r="R55" i="2"/>
  <c r="R46" i="2"/>
  <c r="S17" i="2"/>
  <c r="R18" i="2"/>
  <c r="R54" i="2"/>
  <c r="Q45" i="2"/>
  <c r="Q48" i="2"/>
  <c r="R15" i="2"/>
  <c r="S18" i="2"/>
  <c r="R44" i="2"/>
  <c r="S15" i="2"/>
  <c r="R16" i="2"/>
  <c r="Q44" i="2"/>
  <c r="Q55" i="2"/>
  <c r="Q47" i="2"/>
  <c r="R48" i="2"/>
  <c r="S16" i="2"/>
  <c r="R17" i="2"/>
  <c r="R47" i="2"/>
  <c r="E26" i="6"/>
  <c r="E23" i="6"/>
  <c r="E27" i="6"/>
  <c r="P55" i="2"/>
  <c r="O44" i="2"/>
  <c r="P47" i="2"/>
  <c r="O48" i="2"/>
  <c r="P54" i="2"/>
  <c r="P45" i="2"/>
  <c r="P48" i="2"/>
  <c r="Q15" i="2"/>
  <c r="P16" i="2"/>
  <c r="P44" i="2"/>
  <c r="O47" i="2"/>
  <c r="Q16" i="2"/>
  <c r="P17" i="2"/>
  <c r="O55" i="2"/>
  <c r="Q17" i="2"/>
  <c r="P18" i="2"/>
  <c r="P46" i="2"/>
  <c r="O54" i="2"/>
  <c r="O46" i="2"/>
  <c r="Q18" i="2"/>
  <c r="O45" i="2"/>
  <c r="P15" i="2"/>
  <c r="T55" i="2"/>
  <c r="T43" i="2"/>
  <c r="S44" i="2"/>
  <c r="T47" i="2"/>
  <c r="S48" i="2"/>
  <c r="T44" i="2"/>
  <c r="S47" i="2"/>
  <c r="T16" i="2"/>
  <c r="S55" i="2"/>
  <c r="S46" i="2"/>
  <c r="T50" i="2"/>
  <c r="T17" i="2"/>
  <c r="T45" i="2"/>
  <c r="T46" i="2"/>
  <c r="T49" i="2"/>
  <c r="T15" i="2"/>
  <c r="S54" i="2"/>
  <c r="T42" i="2"/>
  <c r="T48" i="2"/>
  <c r="T18" i="2"/>
  <c r="T54" i="2"/>
  <c r="S45" i="2"/>
  <c r="D123" i="6"/>
  <c r="D26" i="6"/>
  <c r="D140" i="6" s="1"/>
  <c r="E28" i="6"/>
  <c r="H28" i="6" s="1"/>
  <c r="J2" i="4"/>
  <c r="I3" i="25"/>
  <c r="C45" i="11"/>
  <c r="C86" i="11" s="1"/>
  <c r="Q4" i="24"/>
  <c r="F39" i="11"/>
  <c r="F40" i="13" s="1"/>
  <c r="F39" i="13" s="1"/>
  <c r="V4" i="24"/>
  <c r="H2" i="4"/>
  <c r="I45" i="11"/>
  <c r="I86" i="11" s="1"/>
  <c r="K86" i="11"/>
  <c r="O4" i="24"/>
  <c r="J86" i="11"/>
  <c r="T10" i="2"/>
  <c r="P4" i="24"/>
  <c r="D39" i="11"/>
  <c r="E39" i="11"/>
  <c r="C50" i="6"/>
  <c r="C39" i="11"/>
  <c r="C185" i="6"/>
  <c r="G3" i="25"/>
  <c r="F45" i="11"/>
  <c r="F86" i="11" s="1"/>
  <c r="C145" i="6"/>
  <c r="C204" i="6" s="1"/>
  <c r="N4" i="24"/>
  <c r="H11" i="8"/>
  <c r="E11" i="8"/>
  <c r="D11" i="8"/>
  <c r="G11" i="8"/>
  <c r="C43" i="2"/>
  <c r="E43" i="2" s="1"/>
  <c r="F43" i="2" s="1"/>
  <c r="G43" i="2" s="1"/>
  <c r="C13" i="2"/>
  <c r="E13" i="2" s="1"/>
  <c r="F13" i="2" s="1"/>
  <c r="G13" i="2" s="1"/>
  <c r="H8" i="2"/>
  <c r="I8" i="2" s="1"/>
  <c r="C19" i="2"/>
  <c r="E19" i="2" s="1"/>
  <c r="F19" i="2" s="1"/>
  <c r="G19" i="2" s="1"/>
  <c r="C32" i="2"/>
  <c r="E32" i="2" s="1"/>
  <c r="F32" i="2" s="1"/>
  <c r="C34" i="2"/>
  <c r="E34" i="2" s="1"/>
  <c r="F34" i="2" s="1"/>
  <c r="C20" i="2"/>
  <c r="E20" i="2" s="1"/>
  <c r="F20" i="2" s="1"/>
  <c r="G20" i="2" s="1"/>
  <c r="C36" i="2"/>
  <c r="E36" i="2" s="1"/>
  <c r="C49" i="2"/>
  <c r="E49" i="2" s="1"/>
  <c r="F49" i="2" s="1"/>
  <c r="G49" i="2" s="1"/>
  <c r="C42" i="2"/>
  <c r="E42" i="2" s="1"/>
  <c r="F42" i="2" s="1"/>
  <c r="G42" i="2" s="1"/>
  <c r="H10" i="2"/>
  <c r="H50" i="2"/>
  <c r="C9" i="2"/>
  <c r="E9" i="2" s="1"/>
  <c r="F9" i="2" s="1"/>
  <c r="G9" i="2" s="1"/>
  <c r="B53" i="2"/>
  <c r="E30" i="2"/>
  <c r="F30" i="2" s="1"/>
  <c r="G100" i="8"/>
  <c r="G102" i="8"/>
  <c r="G104" i="8"/>
  <c r="G103" i="8"/>
  <c r="G101" i="8"/>
  <c r="I101" i="8"/>
  <c r="I103" i="8"/>
  <c r="I102" i="8"/>
  <c r="I100" i="8"/>
  <c r="I104" i="8"/>
  <c r="D34" i="6"/>
  <c r="D53" i="6" s="1"/>
  <c r="D168" i="6" s="1"/>
  <c r="D110" i="6"/>
  <c r="D69" i="6"/>
  <c r="D185" i="6" s="1"/>
  <c r="E35" i="6"/>
  <c r="D64" i="6"/>
  <c r="D180" i="6" s="1"/>
  <c r="D100" i="6"/>
  <c r="D131" i="6"/>
  <c r="D177" i="6"/>
  <c r="D24" i="6"/>
  <c r="D43" i="6" s="1"/>
  <c r="D158" i="6" s="1"/>
  <c r="D208" i="6"/>
  <c r="D130" i="6"/>
  <c r="A31" i="11"/>
  <c r="D28" i="6"/>
  <c r="D201" i="6"/>
  <c r="A29" i="11" s="1"/>
  <c r="D197" i="6"/>
  <c r="A25" i="11" s="1"/>
  <c r="A26" i="13" s="1"/>
  <c r="E18" i="6"/>
  <c r="E29" i="6"/>
  <c r="F3" i="6"/>
  <c r="D122" i="6"/>
  <c r="E30" i="6"/>
  <c r="D102" i="6"/>
  <c r="D199" i="6"/>
  <c r="A27" i="11" s="1"/>
  <c r="A28" i="13" s="1"/>
  <c r="D129" i="6"/>
  <c r="D72" i="6"/>
  <c r="D188" i="6" s="1"/>
  <c r="D62" i="6"/>
  <c r="D178" i="6" s="1"/>
  <c r="D73" i="6"/>
  <c r="D189" i="6" s="1"/>
  <c r="D103" i="6"/>
  <c r="D27" i="6"/>
  <c r="D84" i="6" s="1"/>
  <c r="A30" i="11"/>
  <c r="A31" i="13" s="1"/>
  <c r="D65" i="6"/>
  <c r="D181" i="6" s="1"/>
  <c r="D195" i="6"/>
  <c r="A23" i="11" s="1"/>
  <c r="D117" i="6"/>
  <c r="D22" i="6"/>
  <c r="D98" i="6"/>
  <c r="D60" i="6"/>
  <c r="D175" i="6" s="1"/>
  <c r="D124" i="6"/>
  <c r="D29" i="6"/>
  <c r="D202" i="6"/>
  <c r="A10" i="11" s="1"/>
  <c r="A10" i="13" s="1"/>
  <c r="D67" i="6"/>
  <c r="D183" i="6" s="1"/>
  <c r="A69" i="11"/>
  <c r="A103" i="11" s="1"/>
  <c r="A29" i="13"/>
  <c r="D23" i="6"/>
  <c r="D196" i="6"/>
  <c r="A24" i="11" s="1"/>
  <c r="D99" i="6"/>
  <c r="D61" i="6"/>
  <c r="D176" i="6" s="1"/>
  <c r="D44" i="6"/>
  <c r="D159" i="6" s="1"/>
  <c r="D82" i="6"/>
  <c r="D139" i="6"/>
  <c r="D92" i="6"/>
  <c r="D149" i="6"/>
  <c r="D54" i="6"/>
  <c r="D169" i="6" s="1"/>
  <c r="D107" i="6"/>
  <c r="D204" i="6"/>
  <c r="A12" i="11" s="1"/>
  <c r="A12" i="13" s="1"/>
  <c r="D31" i="6"/>
  <c r="D209" i="6"/>
  <c r="D36" i="6"/>
  <c r="D74" i="6"/>
  <c r="D190" i="6" s="1"/>
  <c r="A32" i="11"/>
  <c r="D68" i="6"/>
  <c r="D184" i="6" s="1"/>
  <c r="D30" i="6"/>
  <c r="D203" i="6"/>
  <c r="A11" i="11" s="1"/>
  <c r="A11" i="13" s="1"/>
  <c r="D125" i="6"/>
  <c r="D198" i="6"/>
  <c r="A26" i="11" s="1"/>
  <c r="D101" i="6"/>
  <c r="D63" i="6"/>
  <c r="D179" i="6" s="1"/>
  <c r="D120" i="6"/>
  <c r="E31" i="6"/>
  <c r="D127" i="6"/>
  <c r="D70" i="6"/>
  <c r="D186" i="6" s="1"/>
  <c r="D32" i="6"/>
  <c r="D108" i="6"/>
  <c r="D205" i="6"/>
  <c r="A13" i="11" s="1"/>
  <c r="A13" i="13" s="1"/>
  <c r="G93" i="8"/>
  <c r="B51" i="8"/>
  <c r="B80" i="8" s="1"/>
  <c r="C51" i="8"/>
  <c r="C80" i="8" s="1"/>
  <c r="A56" i="11"/>
  <c r="G15" i="8"/>
  <c r="G16" i="8"/>
  <c r="E16" i="8"/>
  <c r="E15" i="8"/>
  <c r="C17" i="8"/>
  <c r="C88" i="6"/>
  <c r="C165" i="6"/>
  <c r="C126" i="6"/>
  <c r="B17" i="8"/>
  <c r="K8" i="6" l="1"/>
  <c r="E200" i="6" s="1"/>
  <c r="B28" i="11" s="1"/>
  <c r="P14" i="2"/>
  <c r="K7" i="6"/>
  <c r="H51" i="8"/>
  <c r="H80" i="8" s="1"/>
  <c r="K5" i="6"/>
  <c r="E197" i="6" s="1"/>
  <c r="B25" i="11" s="1"/>
  <c r="K17" i="6"/>
  <c r="D18" i="5" s="1"/>
  <c r="K3" i="6"/>
  <c r="R14" i="2"/>
  <c r="K6" i="6"/>
  <c r="O14" i="2"/>
  <c r="K9" i="6"/>
  <c r="K4" i="6"/>
  <c r="Q14" i="2"/>
  <c r="T14" i="2"/>
  <c r="N14" i="2"/>
  <c r="K15" i="6"/>
  <c r="D16" i="5" s="1"/>
  <c r="F31" i="8"/>
  <c r="A12" i="5"/>
  <c r="K11" i="6"/>
  <c r="H29" i="6"/>
  <c r="H23" i="6"/>
  <c r="H34" i="6"/>
  <c r="H22" i="6"/>
  <c r="H33" i="6"/>
  <c r="H30" i="6"/>
  <c r="H35" i="6"/>
  <c r="H26" i="6"/>
  <c r="H31" i="6"/>
  <c r="H27" i="6"/>
  <c r="H25" i="6"/>
  <c r="D51" i="8"/>
  <c r="D80" i="8" s="1"/>
  <c r="B92" i="6"/>
  <c r="B54" i="6"/>
  <c r="B73" i="6"/>
  <c r="B111" i="6"/>
  <c r="E11" i="2"/>
  <c r="F11" i="2" s="1"/>
  <c r="G11" i="2" s="1"/>
  <c r="N11" i="2" s="1"/>
  <c r="B130" i="6"/>
  <c r="H33" i="2"/>
  <c r="N33" i="2"/>
  <c r="T33" i="2" s="1"/>
  <c r="J28" i="2"/>
  <c r="H31" i="2"/>
  <c r="O31" i="2" s="1"/>
  <c r="N31" i="2"/>
  <c r="T31" i="2" s="1"/>
  <c r="K27" i="2"/>
  <c r="Q27" i="2"/>
  <c r="K29" i="2"/>
  <c r="Q29" i="2"/>
  <c r="B47" i="6"/>
  <c r="B45" i="6"/>
  <c r="B63" i="6"/>
  <c r="B42" i="6"/>
  <c r="B41" i="6"/>
  <c r="B55" i="6"/>
  <c r="B53" i="6"/>
  <c r="B65" i="6"/>
  <c r="D91" i="6"/>
  <c r="J30" i="6"/>
  <c r="I30" i="6"/>
  <c r="I29" i="6"/>
  <c r="J29" i="6"/>
  <c r="J27" i="6"/>
  <c r="I27" i="6"/>
  <c r="J36" i="6"/>
  <c r="I36" i="6"/>
  <c r="I31" i="6"/>
  <c r="J31" i="6"/>
  <c r="J35" i="6"/>
  <c r="I35" i="6"/>
  <c r="I25" i="6"/>
  <c r="J25" i="6"/>
  <c r="I32" i="6"/>
  <c r="J32" i="6"/>
  <c r="J28" i="6"/>
  <c r="I28" i="6"/>
  <c r="J34" i="6"/>
  <c r="I34" i="6"/>
  <c r="J26" i="6"/>
  <c r="I26" i="6"/>
  <c r="I22" i="6"/>
  <c r="J22" i="6"/>
  <c r="I33" i="6"/>
  <c r="J33" i="6"/>
  <c r="J24" i="6"/>
  <c r="I24" i="6"/>
  <c r="J23" i="6"/>
  <c r="I23" i="6"/>
  <c r="G67" i="8"/>
  <c r="G61" i="8"/>
  <c r="G90" i="8" s="1"/>
  <c r="G55" i="8"/>
  <c r="G62" i="8"/>
  <c r="G91" i="8" s="1"/>
  <c r="G58" i="8"/>
  <c r="G87" i="8" s="1"/>
  <c r="G56" i="8"/>
  <c r="G85" i="8" s="1"/>
  <c r="G54" i="8"/>
  <c r="G65" i="8"/>
  <c r="G94" i="8" s="1"/>
  <c r="G59" i="8"/>
  <c r="G57" i="8"/>
  <c r="G86" i="8" s="1"/>
  <c r="G63" i="8"/>
  <c r="G92" i="8" s="1"/>
  <c r="G53" i="8"/>
  <c r="G82" i="8" s="1"/>
  <c r="H65" i="8"/>
  <c r="H94" i="8" s="1"/>
  <c r="H59" i="8"/>
  <c r="H88" i="8" s="1"/>
  <c r="H57" i="8"/>
  <c r="H86" i="8" s="1"/>
  <c r="H55" i="8"/>
  <c r="H84" i="8" s="1"/>
  <c r="H53" i="8"/>
  <c r="H67" i="8"/>
  <c r="H96" i="8" s="1"/>
  <c r="H61" i="8"/>
  <c r="H90" i="8" s="1"/>
  <c r="H63" i="8"/>
  <c r="H92" i="8" s="1"/>
  <c r="H62" i="8"/>
  <c r="H91" i="8" s="1"/>
  <c r="H58" i="8"/>
  <c r="H87" i="8" s="1"/>
  <c r="H56" i="8"/>
  <c r="H85" i="8" s="1"/>
  <c r="H54" i="8"/>
  <c r="D65" i="8"/>
  <c r="D94" i="8" s="1"/>
  <c r="D59" i="8"/>
  <c r="D88" i="8" s="1"/>
  <c r="D57" i="8"/>
  <c r="D86" i="8" s="1"/>
  <c r="D55" i="8"/>
  <c r="D53" i="8"/>
  <c r="D67" i="8"/>
  <c r="D96" i="8" s="1"/>
  <c r="D61" i="8"/>
  <c r="D62" i="8"/>
  <c r="D91" i="8" s="1"/>
  <c r="D58" i="8"/>
  <c r="D87" i="8" s="1"/>
  <c r="D56" i="8"/>
  <c r="D85" i="8" s="1"/>
  <c r="D54" i="8"/>
  <c r="D83" i="8" s="1"/>
  <c r="D63" i="8"/>
  <c r="D92" i="8" s="1"/>
  <c r="B65" i="8"/>
  <c r="A34" i="5" s="1"/>
  <c r="D34" i="5" s="1"/>
  <c r="B56" i="8"/>
  <c r="A24" i="5" s="1"/>
  <c r="D24" i="5" s="1"/>
  <c r="B67" i="8"/>
  <c r="B96" i="8" s="1"/>
  <c r="B55" i="8"/>
  <c r="B53" i="8"/>
  <c r="B82" i="8" s="1"/>
  <c r="B63" i="8"/>
  <c r="B92" i="8" s="1"/>
  <c r="B57" i="8"/>
  <c r="B86" i="8" s="1"/>
  <c r="B59" i="8"/>
  <c r="B88" i="8" s="1"/>
  <c r="B62" i="8"/>
  <c r="B91" i="8" s="1"/>
  <c r="B54" i="8"/>
  <c r="B58" i="8"/>
  <c r="B87" i="8" s="1"/>
  <c r="B61" i="8"/>
  <c r="B90" i="8" s="1"/>
  <c r="E63" i="8"/>
  <c r="E92" i="8" s="1"/>
  <c r="E62" i="8"/>
  <c r="E91" i="8" s="1"/>
  <c r="E65" i="8"/>
  <c r="E94" i="8" s="1"/>
  <c r="E59" i="8"/>
  <c r="E57" i="8"/>
  <c r="E86" i="8" s="1"/>
  <c r="E55" i="8"/>
  <c r="E53" i="8"/>
  <c r="E67" i="8"/>
  <c r="E61" i="8"/>
  <c r="E90" i="8" s="1"/>
  <c r="E58" i="8"/>
  <c r="E87" i="8" s="1"/>
  <c r="E56" i="8"/>
  <c r="E85" i="8" s="1"/>
  <c r="E54" i="8"/>
  <c r="E83" i="8" s="1"/>
  <c r="G31" i="8"/>
  <c r="C96" i="8"/>
  <c r="C88" i="8"/>
  <c r="I31" i="8"/>
  <c r="E51" i="8"/>
  <c r="E80" i="8" s="1"/>
  <c r="C49" i="6"/>
  <c r="D95" i="8"/>
  <c r="I86" i="8"/>
  <c r="I94" i="8"/>
  <c r="F94" i="8"/>
  <c r="C68" i="6"/>
  <c r="E95" i="8"/>
  <c r="C144" i="6"/>
  <c r="C203" i="6" s="1"/>
  <c r="I87" i="8"/>
  <c r="C87" i="6"/>
  <c r="C106" i="6"/>
  <c r="G95" i="8"/>
  <c r="N12" i="21"/>
  <c r="P12" i="21" s="1"/>
  <c r="P13" i="21"/>
  <c r="P14" i="21" s="1"/>
  <c r="C15" i="30"/>
  <c r="G15" i="30"/>
  <c r="I112" i="30"/>
  <c r="C63" i="30"/>
  <c r="C81" i="30"/>
  <c r="D178" i="1"/>
  <c r="I178" i="1"/>
  <c r="C117" i="30"/>
  <c r="E253" i="30"/>
  <c r="C139" i="30"/>
  <c r="F433" i="30"/>
  <c r="H433" i="30"/>
  <c r="D15" i="30"/>
  <c r="D63" i="30"/>
  <c r="E139" i="30"/>
  <c r="D390" i="30"/>
  <c r="G81" i="30"/>
  <c r="J63" i="30"/>
  <c r="G410" i="30"/>
  <c r="F81" i="30"/>
  <c r="J117" i="30"/>
  <c r="H117" i="30"/>
  <c r="F139" i="30"/>
  <c r="F257" i="30"/>
  <c r="F240" i="30"/>
  <c r="F328" i="30"/>
  <c r="J410" i="30"/>
  <c r="G235" i="30"/>
  <c r="G42" i="30"/>
  <c r="J42" i="30"/>
  <c r="I81" i="30"/>
  <c r="D117" i="30"/>
  <c r="J139" i="30"/>
  <c r="G257" i="30"/>
  <c r="F63" i="30"/>
  <c r="C197" i="30"/>
  <c r="F244" i="30"/>
  <c r="H328" i="30"/>
  <c r="D9" i="30"/>
  <c r="H42" i="30"/>
  <c r="F42" i="30"/>
  <c r="D81" i="30"/>
  <c r="E81" i="30"/>
  <c r="F117" i="30"/>
  <c r="E160" i="30"/>
  <c r="H371" i="30"/>
  <c r="H257" i="30"/>
  <c r="H139" i="30"/>
  <c r="D139" i="30"/>
  <c r="G197" i="30"/>
  <c r="D310" i="30"/>
  <c r="D208" i="30"/>
  <c r="H63" i="30"/>
  <c r="I63" i="30"/>
  <c r="E55" i="30"/>
  <c r="E86" i="30"/>
  <c r="F127" i="30"/>
  <c r="H127" i="30"/>
  <c r="I244" i="30"/>
  <c r="D244" i="30"/>
  <c r="C244" i="30"/>
  <c r="C328" i="30"/>
  <c r="I328" i="30"/>
  <c r="D328" i="30"/>
  <c r="F390" i="30"/>
  <c r="I390" i="30"/>
  <c r="J96" i="30"/>
  <c r="J112" i="30"/>
  <c r="F96" i="30"/>
  <c r="E107" i="30"/>
  <c r="G96" i="30"/>
  <c r="G107" i="30"/>
  <c r="H96" i="30"/>
  <c r="H107" i="30"/>
  <c r="C112" i="30"/>
  <c r="G4" i="30"/>
  <c r="C9" i="30"/>
  <c r="F9" i="30"/>
  <c r="D42" i="30"/>
  <c r="E15" i="30"/>
  <c r="H35" i="30"/>
  <c r="G35" i="30"/>
  <c r="H81" i="30"/>
  <c r="J81" i="30"/>
  <c r="E117" i="30"/>
  <c r="G117" i="30"/>
  <c r="I12" i="30"/>
  <c r="I257" i="30"/>
  <c r="E353" i="30"/>
  <c r="E257" i="30"/>
  <c r="H253" i="30"/>
  <c r="H160" i="30"/>
  <c r="H197" i="30"/>
  <c r="G139" i="30"/>
  <c r="I139" i="30"/>
  <c r="G12" i="30"/>
  <c r="G371" i="30"/>
  <c r="G208" i="30"/>
  <c r="D371" i="30"/>
  <c r="D257" i="30"/>
  <c r="D160" i="30"/>
  <c r="J12" i="30"/>
  <c r="J310" i="30"/>
  <c r="J257" i="30"/>
  <c r="J160" i="30"/>
  <c r="F253" i="30"/>
  <c r="F310" i="30"/>
  <c r="F197" i="30"/>
  <c r="F160" i="30"/>
  <c r="G63" i="30"/>
  <c r="E63" i="30"/>
  <c r="C353" i="30"/>
  <c r="C257" i="30"/>
  <c r="C160" i="30"/>
  <c r="H55" i="30"/>
  <c r="C86" i="30"/>
  <c r="I86" i="30"/>
  <c r="D86" i="30"/>
  <c r="F86" i="30"/>
  <c r="G127" i="30"/>
  <c r="I127" i="30"/>
  <c r="D127" i="30"/>
  <c r="H240" i="30"/>
  <c r="H235" i="30"/>
  <c r="E244" i="30"/>
  <c r="J244" i="30"/>
  <c r="D240" i="30"/>
  <c r="C240" i="30"/>
  <c r="J328" i="30"/>
  <c r="E328" i="30"/>
  <c r="J107" i="30"/>
  <c r="I107" i="30"/>
  <c r="C107" i="30"/>
  <c r="D4" i="30"/>
  <c r="F4" i="30"/>
  <c r="I4" i="30"/>
  <c r="G9" i="30"/>
  <c r="C4" i="30"/>
  <c r="E42" i="30"/>
  <c r="I15" i="30"/>
  <c r="H15" i="30"/>
  <c r="G24" i="30"/>
  <c r="I160" i="30"/>
  <c r="E197" i="30"/>
  <c r="H12" i="30"/>
  <c r="H283" i="30"/>
  <c r="G49" i="30"/>
  <c r="G310" i="30"/>
  <c r="D12" i="30"/>
  <c r="J353" i="30"/>
  <c r="J208" i="30"/>
  <c r="J218" i="30"/>
  <c r="F49" i="30"/>
  <c r="F353" i="30"/>
  <c r="J55" i="30"/>
  <c r="F55" i="30"/>
  <c r="H66" i="30"/>
  <c r="F66" i="30"/>
  <c r="H71" i="30"/>
  <c r="D71" i="30"/>
  <c r="E134" i="30"/>
  <c r="J146" i="30"/>
  <c r="G146" i="30"/>
  <c r="I240" i="30"/>
  <c r="G240" i="30"/>
  <c r="J235" i="30"/>
  <c r="F262" i="30"/>
  <c r="G262" i="30"/>
  <c r="F338" i="30"/>
  <c r="C338" i="30"/>
  <c r="G433" i="30"/>
  <c r="E436" i="30"/>
  <c r="E433" i="30"/>
  <c r="I410" i="30"/>
  <c r="C375" i="30"/>
  <c r="C433" i="30"/>
  <c r="G225" i="30"/>
  <c r="H225" i="30"/>
  <c r="F35" i="30"/>
  <c r="C24" i="30"/>
  <c r="H24" i="30"/>
  <c r="I24" i="30"/>
  <c r="E49" i="30"/>
  <c r="E283" i="30"/>
  <c r="E310" i="30"/>
  <c r="H310" i="30"/>
  <c r="D49" i="30"/>
  <c r="D283" i="30"/>
  <c r="C218" i="30"/>
  <c r="E66" i="30"/>
  <c r="J66" i="30"/>
  <c r="I66" i="30"/>
  <c r="E71" i="30"/>
  <c r="G71" i="30"/>
  <c r="F71" i="30"/>
  <c r="C134" i="30"/>
  <c r="F146" i="30"/>
  <c r="H146" i="30"/>
  <c r="C146" i="30"/>
  <c r="E235" i="30"/>
  <c r="I262" i="30"/>
  <c r="H262" i="30"/>
  <c r="C262" i="30"/>
  <c r="I338" i="30"/>
  <c r="G430" i="30"/>
  <c r="E410" i="30"/>
  <c r="D375" i="30"/>
  <c r="D436" i="30"/>
  <c r="D430" i="30"/>
  <c r="D410" i="30"/>
  <c r="D398" i="30"/>
  <c r="D406" i="30"/>
  <c r="D433" i="30"/>
  <c r="J390" i="30"/>
  <c r="J433" i="30"/>
  <c r="F410" i="30"/>
  <c r="I375" i="30"/>
  <c r="I433" i="30"/>
  <c r="I430" i="30"/>
  <c r="I398" i="30"/>
  <c r="I406" i="30"/>
  <c r="H375" i="30"/>
  <c r="H398" i="30"/>
  <c r="H406" i="30"/>
  <c r="H410" i="30"/>
  <c r="I225" i="30"/>
  <c r="E225" i="30"/>
  <c r="F107" i="30"/>
  <c r="F112" i="30"/>
  <c r="I96" i="30"/>
  <c r="E112" i="30"/>
  <c r="E96" i="30"/>
  <c r="E4" i="30"/>
  <c r="H4" i="30"/>
  <c r="E9" i="30"/>
  <c r="C42" i="30"/>
  <c r="F15" i="30"/>
  <c r="J35" i="30"/>
  <c r="D35" i="30"/>
  <c r="C35" i="30"/>
  <c r="J24" i="30"/>
  <c r="D24" i="30"/>
  <c r="E24" i="30"/>
  <c r="I218" i="30"/>
  <c r="I353" i="30"/>
  <c r="I310" i="30"/>
  <c r="I208" i="30"/>
  <c r="E12" i="30"/>
  <c r="E371" i="30"/>
  <c r="H353" i="30"/>
  <c r="H218" i="30"/>
  <c r="G353" i="30"/>
  <c r="G218" i="30"/>
  <c r="G160" i="30"/>
  <c r="D253" i="30"/>
  <c r="J49" i="30"/>
  <c r="J283" i="30"/>
  <c r="J371" i="30"/>
  <c r="F12" i="30"/>
  <c r="F218" i="30"/>
  <c r="F283" i="30"/>
  <c r="C49" i="30"/>
  <c r="C310" i="30"/>
  <c r="C371" i="30"/>
  <c r="C283" i="30"/>
  <c r="C253" i="30"/>
  <c r="G55" i="30"/>
  <c r="C55" i="30"/>
  <c r="C66" i="30"/>
  <c r="G66" i="30"/>
  <c r="C71" i="30"/>
  <c r="H86" i="30"/>
  <c r="G86" i="30"/>
  <c r="G134" i="30"/>
  <c r="H134" i="30"/>
  <c r="J134" i="30"/>
  <c r="C127" i="30"/>
  <c r="E127" i="30"/>
  <c r="I146" i="30"/>
  <c r="D146" i="30"/>
  <c r="I235" i="30"/>
  <c r="F235" i="30"/>
  <c r="C235" i="30"/>
  <c r="E262" i="30"/>
  <c r="D262" i="30"/>
  <c r="G338" i="30"/>
  <c r="E338" i="30"/>
  <c r="H338" i="30"/>
  <c r="G390" i="30"/>
  <c r="G375" i="30"/>
  <c r="G436" i="30"/>
  <c r="G406" i="30"/>
  <c r="G398" i="30"/>
  <c r="E390" i="30"/>
  <c r="J436" i="30"/>
  <c r="J375" i="30"/>
  <c r="J398" i="30"/>
  <c r="J406" i="30"/>
  <c r="F436" i="30"/>
  <c r="F430" i="30"/>
  <c r="I436" i="30"/>
  <c r="H430" i="30"/>
  <c r="C398" i="30"/>
  <c r="C406" i="30"/>
  <c r="C410" i="30"/>
  <c r="F225" i="30"/>
  <c r="J225" i="30"/>
  <c r="C225" i="30"/>
  <c r="D225" i="30"/>
  <c r="D107" i="30"/>
  <c r="D112" i="30"/>
  <c r="J4" i="30"/>
  <c r="I38" i="11"/>
  <c r="K9" i="14" s="1"/>
  <c r="B13" i="23"/>
  <c r="C13" i="23" s="1"/>
  <c r="J9" i="30"/>
  <c r="I9" i="30"/>
  <c r="H9" i="30"/>
  <c r="I42" i="30"/>
  <c r="J15" i="30"/>
  <c r="I35" i="30"/>
  <c r="E35" i="30"/>
  <c r="F24" i="30"/>
  <c r="I117" i="30"/>
  <c r="I49" i="30"/>
  <c r="I283" i="30"/>
  <c r="I371" i="30"/>
  <c r="I253" i="30"/>
  <c r="I197" i="30"/>
  <c r="E218" i="30"/>
  <c r="E208" i="30"/>
  <c r="H49" i="30"/>
  <c r="H208" i="30"/>
  <c r="G283" i="30"/>
  <c r="G253" i="30"/>
  <c r="D353" i="30"/>
  <c r="D218" i="30"/>
  <c r="D197" i="30"/>
  <c r="J253" i="30"/>
  <c r="J197" i="30"/>
  <c r="F371" i="30"/>
  <c r="F208" i="30"/>
  <c r="C12" i="30"/>
  <c r="C208" i="30"/>
  <c r="I55" i="30"/>
  <c r="D55" i="30"/>
  <c r="D66" i="30"/>
  <c r="I71" i="30"/>
  <c r="J71" i="30"/>
  <c r="J86" i="30"/>
  <c r="I134" i="30"/>
  <c r="D134" i="30"/>
  <c r="F134" i="30"/>
  <c r="J127" i="30"/>
  <c r="E146" i="30"/>
  <c r="E240" i="30"/>
  <c r="H244" i="30"/>
  <c r="G244" i="30"/>
  <c r="D235" i="30"/>
  <c r="J240" i="30"/>
  <c r="J262" i="30"/>
  <c r="G328" i="30"/>
  <c r="J338" i="30"/>
  <c r="D338" i="30"/>
  <c r="E375" i="30"/>
  <c r="E430" i="30"/>
  <c r="E398" i="30"/>
  <c r="E406" i="30"/>
  <c r="J430" i="30"/>
  <c r="F375" i="30"/>
  <c r="F398" i="30"/>
  <c r="F406" i="30"/>
  <c r="H390" i="30"/>
  <c r="H436" i="30"/>
  <c r="C390" i="30"/>
  <c r="C436" i="30"/>
  <c r="C430" i="30"/>
  <c r="D96" i="30"/>
  <c r="G112" i="30"/>
  <c r="H112" i="30"/>
  <c r="C96" i="30"/>
  <c r="N39" i="2"/>
  <c r="T39" i="2" s="1"/>
  <c r="H39" i="2"/>
  <c r="O39" i="2" s="1"/>
  <c r="B40" i="2"/>
  <c r="C40" i="2" s="1"/>
  <c r="E40" i="2" s="1"/>
  <c r="F40" i="2" s="1"/>
  <c r="G40" i="2" s="1"/>
  <c r="H40" i="2" s="1"/>
  <c r="B24" i="2"/>
  <c r="C24" i="2" s="1"/>
  <c r="T40" i="2"/>
  <c r="E101" i="8"/>
  <c r="C25" i="2"/>
  <c r="E25" i="2" s="1"/>
  <c r="F25" i="2" s="1"/>
  <c r="C26" i="2"/>
  <c r="E26" i="2" s="1"/>
  <c r="F26" i="2" s="1"/>
  <c r="F28" i="6"/>
  <c r="F27" i="6"/>
  <c r="F26" i="6"/>
  <c r="F34" i="6"/>
  <c r="F36" i="6"/>
  <c r="E52" i="6"/>
  <c r="F33" i="6"/>
  <c r="D12" i="5"/>
  <c r="C183" i="6"/>
  <c r="C163" i="6"/>
  <c r="C143" i="6"/>
  <c r="C202" i="6" s="1"/>
  <c r="I18" i="8"/>
  <c r="C146" i="6" s="1"/>
  <c r="C205" i="6" s="1"/>
  <c r="C124" i="6"/>
  <c r="H20" i="8"/>
  <c r="H86" i="1" s="1"/>
  <c r="G18" i="8"/>
  <c r="C108" i="6" s="1"/>
  <c r="F18" i="8"/>
  <c r="C89" i="6" s="1"/>
  <c r="C86" i="6"/>
  <c r="E18" i="8"/>
  <c r="C70" i="6" s="1"/>
  <c r="C48" i="6"/>
  <c r="D18" i="8"/>
  <c r="C51" i="6" s="1"/>
  <c r="E51" i="6"/>
  <c r="H51" i="6" s="1"/>
  <c r="F32" i="6"/>
  <c r="F35" i="6"/>
  <c r="F25" i="6"/>
  <c r="T12" i="2"/>
  <c r="T13" i="2"/>
  <c r="T20" i="2"/>
  <c r="T9" i="2"/>
  <c r="T19" i="2"/>
  <c r="F23" i="6"/>
  <c r="G34" i="2"/>
  <c r="G32" i="2"/>
  <c r="N32" i="2" s="1"/>
  <c r="T32" i="2" s="1"/>
  <c r="G30" i="2"/>
  <c r="N30" i="2" s="1"/>
  <c r="T30" i="2" s="1"/>
  <c r="E5" i="4"/>
  <c r="E37" i="11" s="1"/>
  <c r="E41" i="6"/>
  <c r="F22" i="6"/>
  <c r="E43" i="6"/>
  <c r="H43" i="6" s="1"/>
  <c r="F24" i="6"/>
  <c r="F31" i="6"/>
  <c r="F29" i="6"/>
  <c r="A14" i="5"/>
  <c r="F30" i="6"/>
  <c r="F13" i="27"/>
  <c r="C26" i="8"/>
  <c r="G4" i="12"/>
  <c r="D6" i="11" s="1"/>
  <c r="E5" i="25"/>
  <c r="D3" i="27"/>
  <c r="B3" i="27"/>
  <c r="B8" i="27" s="1"/>
  <c r="H3" i="12"/>
  <c r="E36" i="11" s="1"/>
  <c r="F5" i="25"/>
  <c r="E3" i="27"/>
  <c r="E8" i="27" s="1"/>
  <c r="L4" i="12"/>
  <c r="I6" i="11" s="1"/>
  <c r="C13" i="27"/>
  <c r="H5" i="25"/>
  <c r="G3" i="27"/>
  <c r="K3" i="12"/>
  <c r="H36" i="11" s="1"/>
  <c r="H3" i="27"/>
  <c r="I5" i="25"/>
  <c r="C9" i="27"/>
  <c r="C18" i="11" s="1"/>
  <c r="C18" i="13" s="1"/>
  <c r="H103" i="8"/>
  <c r="H102" i="8"/>
  <c r="H101" i="8"/>
  <c r="H100" i="8"/>
  <c r="E102" i="8"/>
  <c r="B101" i="8"/>
  <c r="B104" i="8"/>
  <c r="I40" i="13"/>
  <c r="I39" i="13" s="1"/>
  <c r="G40" i="13"/>
  <c r="G39" i="13" s="1"/>
  <c r="H38" i="11"/>
  <c r="J9" i="14" s="1"/>
  <c r="H40" i="13"/>
  <c r="H39" i="13" s="1"/>
  <c r="I4" i="12"/>
  <c r="F6" i="11" s="1"/>
  <c r="I3" i="12"/>
  <c r="F36" i="11" s="1"/>
  <c r="E103" i="8"/>
  <c r="C24" i="8"/>
  <c r="B102" i="8"/>
  <c r="B100" i="8"/>
  <c r="B93" i="8"/>
  <c r="B95" i="8"/>
  <c r="C93" i="8"/>
  <c r="F3" i="12"/>
  <c r="C36" i="11" s="1"/>
  <c r="F4" i="12"/>
  <c r="C6" i="11" s="1"/>
  <c r="C32" i="8"/>
  <c r="D32" i="8" s="1"/>
  <c r="E32" i="8" s="1"/>
  <c r="E33" i="8" s="1"/>
  <c r="E15" i="11" s="1"/>
  <c r="C103" i="8"/>
  <c r="D104" i="8"/>
  <c r="C104" i="8"/>
  <c r="C102" i="8"/>
  <c r="E104" i="8"/>
  <c r="F93" i="8"/>
  <c r="F86" i="8"/>
  <c r="D103" i="8"/>
  <c r="F100" i="8"/>
  <c r="F84" i="8"/>
  <c r="E44" i="6"/>
  <c r="D102" i="8"/>
  <c r="F90" i="8"/>
  <c r="F88" i="8"/>
  <c r="F103" i="8"/>
  <c r="D100" i="8"/>
  <c r="F91" i="8"/>
  <c r="F85" i="8"/>
  <c r="F96" i="8"/>
  <c r="E47" i="6"/>
  <c r="H47" i="6" s="1"/>
  <c r="F104" i="8"/>
  <c r="F101" i="8"/>
  <c r="F95" i="8"/>
  <c r="F87" i="8"/>
  <c r="D101" i="8"/>
  <c r="F92" i="8"/>
  <c r="D93" i="8"/>
  <c r="E55" i="6"/>
  <c r="H55" i="6" s="1"/>
  <c r="F102" i="8"/>
  <c r="E100" i="8"/>
  <c r="E93" i="8"/>
  <c r="C25" i="8"/>
  <c r="C28" i="8" s="1"/>
  <c r="G18" i="6"/>
  <c r="E46" i="6"/>
  <c r="D83" i="6"/>
  <c r="E53" i="6"/>
  <c r="D45" i="6"/>
  <c r="D160" i="6" s="1"/>
  <c r="E45" i="6"/>
  <c r="C100" i="8"/>
  <c r="E42" i="6"/>
  <c r="C101" i="8"/>
  <c r="A66" i="11"/>
  <c r="B33" i="8"/>
  <c r="B15" i="11" s="1"/>
  <c r="F38" i="11"/>
  <c r="H9" i="14" s="1"/>
  <c r="R440" i="24"/>
  <c r="T440" i="24"/>
  <c r="S440" i="24"/>
  <c r="Q440" i="24"/>
  <c r="U440" i="24"/>
  <c r="O440" i="24"/>
  <c r="D90" i="8"/>
  <c r="N10" i="2"/>
  <c r="D38" i="11"/>
  <c r="F9" i="14" s="1"/>
  <c r="D40" i="13"/>
  <c r="D39" i="13" s="1"/>
  <c r="P440" i="24"/>
  <c r="N440" i="24"/>
  <c r="E38" i="11"/>
  <c r="G9" i="14" s="1"/>
  <c r="E40" i="13"/>
  <c r="E39" i="13" s="1"/>
  <c r="V440" i="24"/>
  <c r="M440" i="24"/>
  <c r="C440" i="30" s="1"/>
  <c r="B38" i="11"/>
  <c r="D9" i="14" s="1"/>
  <c r="B40" i="13"/>
  <c r="B39" i="13" s="1"/>
  <c r="D27" i="15"/>
  <c r="E25" i="15" s="1"/>
  <c r="E28" i="15" s="1"/>
  <c r="C38" i="11"/>
  <c r="E9" i="14" s="1"/>
  <c r="C40" i="13"/>
  <c r="C39" i="13" s="1"/>
  <c r="O8" i="2"/>
  <c r="N13" i="2"/>
  <c r="H13" i="2"/>
  <c r="O13" i="2" s="1"/>
  <c r="H19" i="2"/>
  <c r="N19" i="2"/>
  <c r="H43" i="2"/>
  <c r="N43" i="2"/>
  <c r="H38" i="2"/>
  <c r="N38" i="2"/>
  <c r="T38" i="2" s="1"/>
  <c r="N42" i="2"/>
  <c r="H42" i="2"/>
  <c r="H12" i="2"/>
  <c r="N12" i="2"/>
  <c r="H20" i="2"/>
  <c r="N20" i="2"/>
  <c r="F36" i="2"/>
  <c r="T36" i="2" s="1"/>
  <c r="B9" i="3"/>
  <c r="B18" i="15"/>
  <c r="N9" i="2"/>
  <c r="H9" i="2"/>
  <c r="C22" i="2"/>
  <c r="E22" i="2" s="1"/>
  <c r="I31" i="2"/>
  <c r="P31" i="2" s="1"/>
  <c r="C53" i="2"/>
  <c r="E53" i="2" s="1"/>
  <c r="P8" i="2"/>
  <c r="J8" i="2"/>
  <c r="O50" i="2"/>
  <c r="I50" i="2"/>
  <c r="O10" i="2"/>
  <c r="I10" i="2"/>
  <c r="H49" i="2"/>
  <c r="N49" i="2"/>
  <c r="A71" i="11"/>
  <c r="A105" i="11" s="1"/>
  <c r="D81" i="6"/>
  <c r="D148" i="6"/>
  <c r="D138" i="6"/>
  <c r="D46" i="6"/>
  <c r="D161" i="6" s="1"/>
  <c r="D157" i="6"/>
  <c r="A68" i="11"/>
  <c r="A102" i="11" s="1"/>
  <c r="E54" i="6"/>
  <c r="D141" i="6"/>
  <c r="A70" i="11"/>
  <c r="A104" i="11" s="1"/>
  <c r="A30" i="13"/>
  <c r="E48" i="6"/>
  <c r="D47" i="6"/>
  <c r="D162" i="6" s="1"/>
  <c r="D85" i="6"/>
  <c r="D142" i="6"/>
  <c r="A72" i="11"/>
  <c r="A106" i="11" s="1"/>
  <c r="A32" i="13"/>
  <c r="E49" i="6"/>
  <c r="J18" i="6"/>
  <c r="A52" i="11"/>
  <c r="I18" i="6"/>
  <c r="A64" i="11"/>
  <c r="A98" i="11" s="1"/>
  <c r="A24" i="13"/>
  <c r="D144" i="6"/>
  <c r="D49" i="6"/>
  <c r="D164" i="6" s="1"/>
  <c r="D87" i="6"/>
  <c r="A73" i="11"/>
  <c r="A107" i="11" s="1"/>
  <c r="A33" i="13"/>
  <c r="F18" i="6"/>
  <c r="D145" i="6"/>
  <c r="D50" i="6"/>
  <c r="D165" i="6" s="1"/>
  <c r="D88" i="6"/>
  <c r="A65" i="11"/>
  <c r="A99" i="11" s="1"/>
  <c r="A25" i="13"/>
  <c r="A51" i="11"/>
  <c r="A54" i="11"/>
  <c r="A90" i="11" s="1"/>
  <c r="E50" i="6"/>
  <c r="D146" i="6"/>
  <c r="D89" i="6"/>
  <c r="D51" i="6"/>
  <c r="D166" i="6" s="1"/>
  <c r="A27" i="13"/>
  <c r="A67" i="11"/>
  <c r="A101" i="11" s="1"/>
  <c r="A53" i="11"/>
  <c r="A89" i="11" s="1"/>
  <c r="D137" i="6"/>
  <c r="D42" i="6"/>
  <c r="D156" i="6" s="1"/>
  <c r="D80" i="6"/>
  <c r="D143" i="6"/>
  <c r="D86" i="6"/>
  <c r="D48" i="6"/>
  <c r="D163" i="6" s="1"/>
  <c r="D79" i="6"/>
  <c r="D136" i="6"/>
  <c r="D41" i="6"/>
  <c r="D155" i="6" s="1"/>
  <c r="E37" i="6"/>
  <c r="D55" i="6"/>
  <c r="D170" i="6" s="1"/>
  <c r="D93" i="6"/>
  <c r="D150" i="6"/>
  <c r="F82" i="8"/>
  <c r="F83" i="8"/>
  <c r="I82" i="8"/>
  <c r="H93" i="8"/>
  <c r="I83" i="8"/>
  <c r="C90" i="8"/>
  <c r="C92" i="8"/>
  <c r="C91" i="8"/>
  <c r="C85" i="8"/>
  <c r="C67" i="6"/>
  <c r="C105" i="6"/>
  <c r="E17" i="8"/>
  <c r="G17" i="8"/>
  <c r="C31" i="6"/>
  <c r="C12" i="6"/>
  <c r="K12" i="6" s="1"/>
  <c r="K23" i="6" l="1"/>
  <c r="K26" i="6"/>
  <c r="K28" i="6"/>
  <c r="F201" i="6" s="1"/>
  <c r="C29" i="11" s="1"/>
  <c r="C30" i="13" s="1"/>
  <c r="K27" i="6"/>
  <c r="F200" i="6" s="1"/>
  <c r="C28" i="11" s="1"/>
  <c r="C29" i="13" s="1"/>
  <c r="K33" i="6"/>
  <c r="F206" i="6" s="1"/>
  <c r="C14" i="11" s="1"/>
  <c r="C14" i="13" s="1"/>
  <c r="K25" i="6"/>
  <c r="K31" i="6"/>
  <c r="F204" i="6" s="1"/>
  <c r="C12" i="11" s="1"/>
  <c r="C12" i="13" s="1"/>
  <c r="K24" i="6"/>
  <c r="F197" i="6" s="1"/>
  <c r="C25" i="11" s="1"/>
  <c r="C26" i="13" s="1"/>
  <c r="K34" i="6"/>
  <c r="F207" i="6" s="1"/>
  <c r="C30" i="11" s="1"/>
  <c r="C31" i="13" s="1"/>
  <c r="K35" i="6"/>
  <c r="K36" i="6"/>
  <c r="F209" i="6" s="1"/>
  <c r="C32" i="11" s="1"/>
  <c r="C33" i="13" s="1"/>
  <c r="K22" i="6"/>
  <c r="H49" i="6"/>
  <c r="H45" i="6"/>
  <c r="H46" i="6"/>
  <c r="H50" i="6"/>
  <c r="H37" i="6"/>
  <c r="H48" i="6"/>
  <c r="H54" i="6"/>
  <c r="H42" i="6"/>
  <c r="H53" i="6"/>
  <c r="H41" i="6"/>
  <c r="H44" i="6"/>
  <c r="H52" i="6"/>
  <c r="H11" i="2"/>
  <c r="I11" i="2" s="1"/>
  <c r="T11" i="2"/>
  <c r="K28" i="2"/>
  <c r="H34" i="2"/>
  <c r="O34" i="2" s="1"/>
  <c r="N34" i="2"/>
  <c r="L27" i="2"/>
  <c r="S27" i="2" s="1"/>
  <c r="R27" i="2"/>
  <c r="L29" i="2"/>
  <c r="S29" i="2" s="1"/>
  <c r="R29" i="2"/>
  <c r="I33" i="2"/>
  <c r="O33" i="2"/>
  <c r="B84" i="6"/>
  <c r="B74" i="6"/>
  <c r="B61" i="6"/>
  <c r="B64" i="6"/>
  <c r="B72" i="6"/>
  <c r="B60" i="6"/>
  <c r="B82" i="6"/>
  <c r="B66" i="6"/>
  <c r="J49" i="6"/>
  <c r="I49" i="6"/>
  <c r="I50" i="6"/>
  <c r="J50" i="6"/>
  <c r="J53" i="6"/>
  <c r="I53" i="6"/>
  <c r="I55" i="6"/>
  <c r="J55" i="6"/>
  <c r="I47" i="6"/>
  <c r="J47" i="6"/>
  <c r="I42" i="6"/>
  <c r="J42" i="6"/>
  <c r="I48" i="6"/>
  <c r="J48" i="6"/>
  <c r="I54" i="6"/>
  <c r="J54" i="6"/>
  <c r="I44" i="6"/>
  <c r="J44" i="6"/>
  <c r="I43" i="6"/>
  <c r="J43" i="6"/>
  <c r="E60" i="6"/>
  <c r="E79" i="6" s="1"/>
  <c r="J41" i="6"/>
  <c r="I41" i="6"/>
  <c r="J45" i="6"/>
  <c r="I45" i="6"/>
  <c r="I46" i="6"/>
  <c r="J46" i="6"/>
  <c r="I51" i="6"/>
  <c r="J51" i="6"/>
  <c r="J52" i="6"/>
  <c r="I52" i="6"/>
  <c r="H69" i="8"/>
  <c r="H70" i="8"/>
  <c r="I39" i="2"/>
  <c r="P39" i="2" s="1"/>
  <c r="T52" i="2"/>
  <c r="G96" i="8"/>
  <c r="G88" i="8"/>
  <c r="E88" i="8"/>
  <c r="E96" i="8"/>
  <c r="P15" i="21"/>
  <c r="P16" i="21" s="1"/>
  <c r="N52" i="2"/>
  <c r="C6" i="13"/>
  <c r="C35" i="11"/>
  <c r="E8" i="14" s="1"/>
  <c r="B29" i="13"/>
  <c r="B26" i="13"/>
  <c r="C22" i="11"/>
  <c r="C23" i="13" s="1"/>
  <c r="D440" i="30"/>
  <c r="I22" i="11"/>
  <c r="I23" i="13" s="1"/>
  <c r="J440" i="30"/>
  <c r="E22" i="11"/>
  <c r="E23" i="13" s="1"/>
  <c r="F440" i="30"/>
  <c r="F22" i="11"/>
  <c r="F23" i="13" s="1"/>
  <c r="G440" i="30"/>
  <c r="D22" i="11"/>
  <c r="D23" i="13" s="1"/>
  <c r="E440" i="30"/>
  <c r="H22" i="11"/>
  <c r="H23" i="13" s="1"/>
  <c r="I440" i="30"/>
  <c r="G22" i="11"/>
  <c r="G23" i="13" s="1"/>
  <c r="H440" i="30"/>
  <c r="H30" i="2"/>
  <c r="C27" i="8"/>
  <c r="C7" i="11" s="1"/>
  <c r="N40" i="2"/>
  <c r="E24" i="2"/>
  <c r="F24" i="2" s="1"/>
  <c r="E195" i="6"/>
  <c r="B23" i="11" s="1"/>
  <c r="H14" i="27"/>
  <c r="G26" i="2"/>
  <c r="G25" i="2"/>
  <c r="F208" i="6"/>
  <c r="C31" i="11" s="1"/>
  <c r="C32" i="13" s="1"/>
  <c r="E205" i="6"/>
  <c r="B13" i="11" s="1"/>
  <c r="D14" i="5"/>
  <c r="E72" i="6"/>
  <c r="H72" i="6" s="1"/>
  <c r="F53" i="6"/>
  <c r="F55" i="6"/>
  <c r="E66" i="6"/>
  <c r="H66" i="6" s="1"/>
  <c r="F47" i="6"/>
  <c r="F45" i="6"/>
  <c r="E71" i="6"/>
  <c r="F52" i="6"/>
  <c r="F46" i="6"/>
  <c r="I20" i="8"/>
  <c r="I86" i="1" s="1"/>
  <c r="G20" i="8"/>
  <c r="G86" i="1" s="1"/>
  <c r="F20" i="8"/>
  <c r="F86" i="1" s="1"/>
  <c r="E20" i="8"/>
  <c r="E86" i="1" s="1"/>
  <c r="D20" i="8"/>
  <c r="D86" i="1" s="1"/>
  <c r="E70" i="6"/>
  <c r="H70" i="6" s="1"/>
  <c r="F51" i="6"/>
  <c r="F54" i="6"/>
  <c r="F44" i="6"/>
  <c r="H32" i="2"/>
  <c r="B35" i="13"/>
  <c r="B34" i="13" s="1"/>
  <c r="D33" i="8"/>
  <c r="D15" i="11" s="1"/>
  <c r="F42" i="6"/>
  <c r="F5" i="4"/>
  <c r="F37" i="11" s="1"/>
  <c r="G3" i="4"/>
  <c r="G17" i="14"/>
  <c r="F6" i="20"/>
  <c r="E38" i="13"/>
  <c r="F41" i="6"/>
  <c r="B22" i="11"/>
  <c r="B9" i="27"/>
  <c r="B93" i="11" s="1"/>
  <c r="E62" i="6"/>
  <c r="H62" i="6" s="1"/>
  <c r="F43" i="6"/>
  <c r="F50" i="6"/>
  <c r="F48" i="6"/>
  <c r="F49" i="6"/>
  <c r="H4" i="12"/>
  <c r="E6" i="11" s="1"/>
  <c r="D9" i="27"/>
  <c r="D18" i="11" s="1"/>
  <c r="D8" i="27"/>
  <c r="D92" i="11" s="1"/>
  <c r="C93" i="11"/>
  <c r="F8" i="27"/>
  <c r="G9" i="27"/>
  <c r="F9" i="27"/>
  <c r="F18" i="11" s="1"/>
  <c r="F18" i="13" s="1"/>
  <c r="B13" i="27"/>
  <c r="B15" i="13"/>
  <c r="G3" i="12"/>
  <c r="D36" i="11" s="1"/>
  <c r="E15" i="13"/>
  <c r="D26" i="8"/>
  <c r="D29" i="8" s="1"/>
  <c r="D34" i="11" s="1"/>
  <c r="D33" i="11" s="1"/>
  <c r="F7" i="14" s="1"/>
  <c r="C29" i="8"/>
  <c r="C34" i="11" s="1"/>
  <c r="A31" i="5"/>
  <c r="D31" i="5" s="1"/>
  <c r="H13" i="27"/>
  <c r="J4" i="12"/>
  <c r="G6" i="11" s="1"/>
  <c r="J3" i="12"/>
  <c r="G36" i="11" s="1"/>
  <c r="E13" i="27"/>
  <c r="E9" i="27"/>
  <c r="A30" i="5"/>
  <c r="D30" i="5" s="1"/>
  <c r="D13" i="27"/>
  <c r="C17" i="11"/>
  <c r="C17" i="13" s="1"/>
  <c r="C92" i="11"/>
  <c r="A32" i="5"/>
  <c r="D32" i="5" s="1"/>
  <c r="K4" i="12"/>
  <c r="H6" i="11" s="1"/>
  <c r="G13" i="27"/>
  <c r="E4" i="12"/>
  <c r="B6" i="11" s="1"/>
  <c r="B6" i="13" s="1"/>
  <c r="D24" i="8"/>
  <c r="E63" i="6"/>
  <c r="D15" i="5"/>
  <c r="E206" i="6"/>
  <c r="B14" i="11" s="1"/>
  <c r="C33" i="8"/>
  <c r="C15" i="11" s="1"/>
  <c r="C37" i="13"/>
  <c r="C36" i="13" s="1"/>
  <c r="F32" i="8"/>
  <c r="F33" i="8" s="1"/>
  <c r="F15" i="11" s="1"/>
  <c r="D6" i="5"/>
  <c r="E65" i="6"/>
  <c r="E209" i="6"/>
  <c r="B32" i="11" s="1"/>
  <c r="D9" i="5"/>
  <c r="E74" i="6"/>
  <c r="H74" i="6" s="1"/>
  <c r="E207" i="6"/>
  <c r="B30" i="11" s="1"/>
  <c r="G56" i="6"/>
  <c r="D25" i="8"/>
  <c r="D28" i="8" s="1"/>
  <c r="D8" i="11" s="1"/>
  <c r="G37" i="6"/>
  <c r="E203" i="6"/>
  <c r="B11" i="11" s="1"/>
  <c r="E64" i="6"/>
  <c r="H64" i="6" s="1"/>
  <c r="D6" i="13"/>
  <c r="E61" i="6"/>
  <c r="A36" i="5"/>
  <c r="D36" i="5" s="1"/>
  <c r="A27" i="5"/>
  <c r="D27" i="5" s="1"/>
  <c r="D82" i="8"/>
  <c r="A26" i="5"/>
  <c r="D26" i="5" s="1"/>
  <c r="H82" i="8"/>
  <c r="H83" i="8"/>
  <c r="B84" i="8"/>
  <c r="A21" i="5"/>
  <c r="D21" i="5" s="1"/>
  <c r="A25" i="5"/>
  <c r="D25" i="5" s="1"/>
  <c r="G84" i="8"/>
  <c r="B94" i="8"/>
  <c r="D84" i="8"/>
  <c r="E84" i="8"/>
  <c r="G83" i="8"/>
  <c r="A22" i="5"/>
  <c r="D22" i="5" s="1"/>
  <c r="B85" i="8"/>
  <c r="E82" i="8"/>
  <c r="B17" i="11"/>
  <c r="B92" i="11"/>
  <c r="I13" i="2"/>
  <c r="P13" i="2" s="1"/>
  <c r="I43" i="2"/>
  <c r="O43" i="2"/>
  <c r="I19" i="2"/>
  <c r="O19" i="2"/>
  <c r="F22" i="2"/>
  <c r="T22" i="2" s="1"/>
  <c r="F53" i="2"/>
  <c r="T53" i="2" s="1"/>
  <c r="E51" i="2"/>
  <c r="I20" i="2"/>
  <c r="O20" i="2"/>
  <c r="P50" i="2"/>
  <c r="J50" i="2"/>
  <c r="J31" i="2"/>
  <c r="Q31" i="2" s="1"/>
  <c r="G36" i="2"/>
  <c r="O9" i="2"/>
  <c r="I9" i="2"/>
  <c r="I12" i="2"/>
  <c r="O12" i="2"/>
  <c r="O38" i="2"/>
  <c r="I38" i="2"/>
  <c r="I49" i="2"/>
  <c r="O49" i="2"/>
  <c r="J10" i="2"/>
  <c r="P10" i="2"/>
  <c r="Q8" i="2"/>
  <c r="K8" i="2"/>
  <c r="I42" i="2"/>
  <c r="O42" i="2"/>
  <c r="I40" i="2"/>
  <c r="O40" i="2"/>
  <c r="E73" i="6"/>
  <c r="E67" i="6"/>
  <c r="D10" i="5"/>
  <c r="E201" i="6"/>
  <c r="B29" i="11" s="1"/>
  <c r="I37" i="6"/>
  <c r="E68" i="6"/>
  <c r="H68" i="6" s="1"/>
  <c r="F37" i="6"/>
  <c r="E69" i="6"/>
  <c r="E56" i="6"/>
  <c r="D17" i="5"/>
  <c r="E208" i="6"/>
  <c r="B31" i="11" s="1"/>
  <c r="I93" i="8"/>
  <c r="C83" i="8"/>
  <c r="C84" i="8"/>
  <c r="C82" i="8"/>
  <c r="C8" i="11" s="1"/>
  <c r="H95" i="8"/>
  <c r="O52" i="2"/>
  <c r="C107" i="6"/>
  <c r="C69" i="6"/>
  <c r="A13" i="5"/>
  <c r="J39" i="2" l="1"/>
  <c r="O11" i="2"/>
  <c r="D7" i="14"/>
  <c r="F60" i="6"/>
  <c r="K46" i="6"/>
  <c r="G200" i="6" s="1"/>
  <c r="D28" i="11" s="1"/>
  <c r="D29" i="13" s="1"/>
  <c r="K53" i="6"/>
  <c r="G207" i="6" s="1"/>
  <c r="D30" i="11" s="1"/>
  <c r="D31" i="13" s="1"/>
  <c r="K49" i="6"/>
  <c r="G203" i="6" s="1"/>
  <c r="D11" i="11" s="1"/>
  <c r="D11" i="13" s="1"/>
  <c r="K45" i="6"/>
  <c r="K44" i="6"/>
  <c r="K48" i="6"/>
  <c r="G202" i="6" s="1"/>
  <c r="D10" i="11" s="1"/>
  <c r="D10" i="13" s="1"/>
  <c r="K47" i="6"/>
  <c r="G201" i="6" s="1"/>
  <c r="D29" i="11" s="1"/>
  <c r="D30" i="13" s="1"/>
  <c r="K51" i="6"/>
  <c r="G205" i="6" s="1"/>
  <c r="D13" i="11" s="1"/>
  <c r="D13" i="13" s="1"/>
  <c r="K52" i="6"/>
  <c r="G206" i="6" s="1"/>
  <c r="D14" i="11" s="1"/>
  <c r="D14" i="13" s="1"/>
  <c r="K41" i="6"/>
  <c r="G195" i="6" s="1"/>
  <c r="D23" i="11" s="1"/>
  <c r="D24" i="13" s="1"/>
  <c r="K43" i="6"/>
  <c r="G197" i="6" s="1"/>
  <c r="D25" i="11" s="1"/>
  <c r="D26" i="13" s="1"/>
  <c r="K54" i="6"/>
  <c r="G208" i="6" s="1"/>
  <c r="D31" i="11" s="1"/>
  <c r="D32" i="13" s="1"/>
  <c r="K42" i="6"/>
  <c r="K55" i="6"/>
  <c r="G209" i="6" s="1"/>
  <c r="D32" i="11" s="1"/>
  <c r="D33" i="13" s="1"/>
  <c r="K50" i="6"/>
  <c r="H69" i="6"/>
  <c r="H61" i="6"/>
  <c r="H65" i="6"/>
  <c r="H71" i="6"/>
  <c r="H60" i="6"/>
  <c r="H67" i="6"/>
  <c r="H73" i="6"/>
  <c r="H79" i="6"/>
  <c r="H63" i="6"/>
  <c r="H56" i="6"/>
  <c r="G68" i="1"/>
  <c r="I30" i="2"/>
  <c r="P30" i="2" s="1"/>
  <c r="O30" i="2"/>
  <c r="I32" i="2"/>
  <c r="O32" i="2"/>
  <c r="I34" i="2"/>
  <c r="P34" i="2" s="1"/>
  <c r="J33" i="2"/>
  <c r="P33" i="2"/>
  <c r="L28" i="2"/>
  <c r="B85" i="6"/>
  <c r="B79" i="6"/>
  <c r="B83" i="6"/>
  <c r="B93" i="6"/>
  <c r="B101" i="6"/>
  <c r="B91" i="6"/>
  <c r="B80" i="6"/>
  <c r="B103" i="6"/>
  <c r="I79" i="6"/>
  <c r="J79" i="6"/>
  <c r="J74" i="6"/>
  <c r="I74" i="6"/>
  <c r="E85" i="6"/>
  <c r="F85" i="6" s="1"/>
  <c r="J66" i="6"/>
  <c r="I66" i="6"/>
  <c r="I68" i="6"/>
  <c r="J68" i="6"/>
  <c r="I67" i="6"/>
  <c r="J67" i="6"/>
  <c r="J64" i="6"/>
  <c r="I64" i="6"/>
  <c r="J62" i="6"/>
  <c r="I62" i="6"/>
  <c r="J70" i="6"/>
  <c r="I70" i="6"/>
  <c r="I71" i="6"/>
  <c r="J71" i="6"/>
  <c r="I73" i="6"/>
  <c r="J73" i="6"/>
  <c r="I61" i="6"/>
  <c r="J61" i="6"/>
  <c r="E82" i="6"/>
  <c r="I63" i="6"/>
  <c r="J63" i="6"/>
  <c r="I69" i="6"/>
  <c r="J69" i="6"/>
  <c r="I65" i="6"/>
  <c r="J65" i="6"/>
  <c r="E91" i="6"/>
  <c r="H91" i="6" s="1"/>
  <c r="J72" i="6"/>
  <c r="I72" i="6"/>
  <c r="I60" i="6"/>
  <c r="J60" i="6"/>
  <c r="F69" i="8"/>
  <c r="F70" i="8"/>
  <c r="G70" i="8"/>
  <c r="G69" i="8"/>
  <c r="E69" i="8"/>
  <c r="E70" i="8"/>
  <c r="D69" i="8"/>
  <c r="D70" i="8"/>
  <c r="I69" i="8"/>
  <c r="I70" i="8"/>
  <c r="P17" i="21"/>
  <c r="P18" i="21"/>
  <c r="C178" i="1"/>
  <c r="E178" i="1"/>
  <c r="F178" i="1"/>
  <c r="H178" i="1"/>
  <c r="R52" i="2"/>
  <c r="B23" i="13"/>
  <c r="J22" i="11"/>
  <c r="J6" i="11"/>
  <c r="J36" i="11"/>
  <c r="B24" i="13"/>
  <c r="B30" i="13"/>
  <c r="B32" i="13"/>
  <c r="B31" i="13"/>
  <c r="C15" i="13"/>
  <c r="B33" i="13"/>
  <c r="B14" i="13"/>
  <c r="C7" i="13"/>
  <c r="B11" i="13"/>
  <c r="B13" i="13"/>
  <c r="E24" i="8"/>
  <c r="E27" i="8" s="1"/>
  <c r="E7" i="11" s="1"/>
  <c r="D27" i="8"/>
  <c r="D7" i="11" s="1"/>
  <c r="D7" i="13" s="1"/>
  <c r="G14" i="27"/>
  <c r="H99" i="8"/>
  <c r="F99" i="8"/>
  <c r="G24" i="2"/>
  <c r="H24" i="2" s="1"/>
  <c r="I24" i="2" s="1"/>
  <c r="J24" i="2" s="1"/>
  <c r="K24" i="2" s="1"/>
  <c r="D4" i="5"/>
  <c r="F195" i="6"/>
  <c r="C23" i="11" s="1"/>
  <c r="C24" i="13" s="1"/>
  <c r="D14" i="27"/>
  <c r="I14" i="27"/>
  <c r="F14" i="27"/>
  <c r="H25" i="2"/>
  <c r="N25" i="2"/>
  <c r="H26" i="2"/>
  <c r="N26" i="2"/>
  <c r="E93" i="6"/>
  <c r="F74" i="6"/>
  <c r="F64" i="6"/>
  <c r="E84" i="6"/>
  <c r="H84" i="6" s="1"/>
  <c r="F65" i="6"/>
  <c r="E90" i="6"/>
  <c r="F71" i="6"/>
  <c r="F66" i="6"/>
  <c r="F72" i="6"/>
  <c r="T51" i="2"/>
  <c r="F70" i="6"/>
  <c r="E89" i="6"/>
  <c r="F73" i="6"/>
  <c r="F63" i="6"/>
  <c r="B18" i="11"/>
  <c r="F61" i="6"/>
  <c r="G5" i="4"/>
  <c r="G37" i="11" s="1"/>
  <c r="H3" i="4"/>
  <c r="F38" i="13"/>
  <c r="G6" i="20"/>
  <c r="H17" i="14"/>
  <c r="F79" i="6"/>
  <c r="F62" i="6"/>
  <c r="E81" i="6"/>
  <c r="F69" i="6"/>
  <c r="F67" i="6"/>
  <c r="F68" i="6"/>
  <c r="D93" i="11"/>
  <c r="D17" i="11"/>
  <c r="D17" i="13" s="1"/>
  <c r="E26" i="8"/>
  <c r="F26" i="8" s="1"/>
  <c r="F29" i="8" s="1"/>
  <c r="F34" i="11" s="1"/>
  <c r="G8" i="27"/>
  <c r="G17" i="11" s="1"/>
  <c r="G17" i="13" s="1"/>
  <c r="F17" i="11"/>
  <c r="F17" i="13" s="1"/>
  <c r="F92" i="11"/>
  <c r="F93" i="11"/>
  <c r="C8" i="13"/>
  <c r="B16" i="13"/>
  <c r="B17" i="13"/>
  <c r="D37" i="5"/>
  <c r="B10" i="15" s="1"/>
  <c r="C8" i="15" s="1"/>
  <c r="D18" i="13"/>
  <c r="D35" i="13"/>
  <c r="D34" i="13" s="1"/>
  <c r="D8" i="13"/>
  <c r="D15" i="13"/>
  <c r="F15" i="13"/>
  <c r="C35" i="13"/>
  <c r="C34" i="13" s="1"/>
  <c r="C33" i="11"/>
  <c r="E7" i="14" s="1"/>
  <c r="B37" i="13"/>
  <c r="B36" i="13" s="1"/>
  <c r="B35" i="11"/>
  <c r="G93" i="11"/>
  <c r="G18" i="11"/>
  <c r="G18" i="13" s="1"/>
  <c r="E17" i="11"/>
  <c r="E92" i="11"/>
  <c r="E93" i="11"/>
  <c r="E18" i="11"/>
  <c r="D37" i="13"/>
  <c r="D36" i="13" s="1"/>
  <c r="D35" i="11"/>
  <c r="F8" i="14" s="1"/>
  <c r="G75" i="6"/>
  <c r="G32" i="8"/>
  <c r="G33" i="8" s="1"/>
  <c r="G15" i="11" s="1"/>
  <c r="G15" i="13" s="1"/>
  <c r="E98" i="6"/>
  <c r="E80" i="6"/>
  <c r="H80" i="6" s="1"/>
  <c r="E83" i="6"/>
  <c r="H83" i="6" s="1"/>
  <c r="E25" i="8"/>
  <c r="E28" i="8" s="1"/>
  <c r="E8" i="11" s="1"/>
  <c r="E92" i="6"/>
  <c r="H92" i="6" s="1"/>
  <c r="E6" i="13"/>
  <c r="A23" i="5"/>
  <c r="D23" i="5" s="1"/>
  <c r="D28" i="5" s="1"/>
  <c r="B83" i="8"/>
  <c r="E14" i="27"/>
  <c r="E35" i="11"/>
  <c r="G8" i="14" s="1"/>
  <c r="E37" i="13"/>
  <c r="E36" i="13" s="1"/>
  <c r="J13" i="2"/>
  <c r="Q13" i="2" s="1"/>
  <c r="J19" i="2"/>
  <c r="P19" i="2"/>
  <c r="Q39" i="2"/>
  <c r="K39" i="2"/>
  <c r="P43" i="2"/>
  <c r="J43" i="2"/>
  <c r="B19" i="15"/>
  <c r="C18" i="15" s="1"/>
  <c r="P40" i="2"/>
  <c r="J40" i="2"/>
  <c r="N36" i="2"/>
  <c r="H36" i="2"/>
  <c r="G53" i="2"/>
  <c r="F51" i="2"/>
  <c r="R8" i="2"/>
  <c r="L8" i="2"/>
  <c r="S8" i="2" s="1"/>
  <c r="K10" i="2"/>
  <c r="Q10" i="2"/>
  <c r="J38" i="2"/>
  <c r="P38" i="2"/>
  <c r="J9" i="2"/>
  <c r="P9" i="2"/>
  <c r="P11" i="2"/>
  <c r="J11" i="2"/>
  <c r="J20" i="2"/>
  <c r="P20" i="2"/>
  <c r="P49" i="2"/>
  <c r="J49" i="2"/>
  <c r="K50" i="2"/>
  <c r="Q50" i="2"/>
  <c r="G22" i="2"/>
  <c r="P42" i="2"/>
  <c r="J42" i="2"/>
  <c r="J12" i="2"/>
  <c r="P12" i="2"/>
  <c r="K31" i="2"/>
  <c r="R31" i="2" s="1"/>
  <c r="E75" i="6"/>
  <c r="F56" i="6"/>
  <c r="E86" i="6"/>
  <c r="I56" i="6"/>
  <c r="E87" i="6"/>
  <c r="H87" i="6" s="1"/>
  <c r="E88" i="6"/>
  <c r="H88" i="6" s="1"/>
  <c r="C16" i="13"/>
  <c r="I95" i="8"/>
  <c r="D13" i="5"/>
  <c r="E204" i="6"/>
  <c r="B12" i="11" s="1"/>
  <c r="D8" i="14" l="1"/>
  <c r="E104" i="6"/>
  <c r="H104" i="6" s="1"/>
  <c r="J34" i="2"/>
  <c r="Q34" i="2" s="1"/>
  <c r="K60" i="6"/>
  <c r="H195" i="6" s="1"/>
  <c r="E23" i="11" s="1"/>
  <c r="E24" i="13" s="1"/>
  <c r="K61" i="6"/>
  <c r="K71" i="6"/>
  <c r="H206" i="6" s="1"/>
  <c r="E14" i="11" s="1"/>
  <c r="E14" i="13" s="1"/>
  <c r="K67" i="6"/>
  <c r="H202" i="6" s="1"/>
  <c r="E10" i="11" s="1"/>
  <c r="E10" i="13" s="1"/>
  <c r="K72" i="6"/>
  <c r="H207" i="6" s="1"/>
  <c r="E30" i="11" s="1"/>
  <c r="K65" i="6"/>
  <c r="H200" i="6" s="1"/>
  <c r="E28" i="11" s="1"/>
  <c r="E29" i="13" s="1"/>
  <c r="K63" i="6"/>
  <c r="K70" i="6"/>
  <c r="H205" i="6" s="1"/>
  <c r="E13" i="11" s="1"/>
  <c r="E13" i="13" s="1"/>
  <c r="K64" i="6"/>
  <c r="K79" i="6"/>
  <c r="I195" i="6" s="1"/>
  <c r="F23" i="11" s="1"/>
  <c r="F24" i="13" s="1"/>
  <c r="K73" i="6"/>
  <c r="H208" i="6" s="1"/>
  <c r="E31" i="11" s="1"/>
  <c r="E32" i="13" s="1"/>
  <c r="K68" i="6"/>
  <c r="H203" i="6" s="1"/>
  <c r="E11" i="11" s="1"/>
  <c r="E11" i="13" s="1"/>
  <c r="K74" i="6"/>
  <c r="H209" i="6" s="1"/>
  <c r="E32" i="11" s="1"/>
  <c r="E33" i="13" s="1"/>
  <c r="K69" i="6"/>
  <c r="H204" i="6" s="1"/>
  <c r="K62" i="6"/>
  <c r="K66" i="6"/>
  <c r="H201" i="6" s="1"/>
  <c r="E29" i="11" s="1"/>
  <c r="H98" i="6"/>
  <c r="H93" i="6"/>
  <c r="H85" i="6"/>
  <c r="H89" i="6"/>
  <c r="H90" i="6"/>
  <c r="F82" i="6"/>
  <c r="H82" i="6"/>
  <c r="H86" i="6"/>
  <c r="H81" i="6"/>
  <c r="H75" i="6"/>
  <c r="G127" i="1"/>
  <c r="J30" i="2"/>
  <c r="Q30" i="2" s="1"/>
  <c r="E110" i="6"/>
  <c r="I110" i="6" s="1"/>
  <c r="H68" i="1"/>
  <c r="H127" i="1"/>
  <c r="H168" i="1"/>
  <c r="H164" i="1"/>
  <c r="S28" i="2" s="1"/>
  <c r="E68" i="1"/>
  <c r="E127" i="1"/>
  <c r="I164" i="1"/>
  <c r="T28" i="2" s="1"/>
  <c r="I168" i="1"/>
  <c r="E168" i="1"/>
  <c r="E164" i="1"/>
  <c r="P28" i="2" s="1"/>
  <c r="I68" i="1"/>
  <c r="I127" i="1"/>
  <c r="G168" i="1"/>
  <c r="G164" i="1"/>
  <c r="R28" i="2" s="1"/>
  <c r="H146" i="1"/>
  <c r="H144" i="1" s="1"/>
  <c r="I146" i="1"/>
  <c r="I144" i="1" s="1"/>
  <c r="F164" i="1"/>
  <c r="Q28" i="2" s="1"/>
  <c r="F168" i="1"/>
  <c r="E146" i="1"/>
  <c r="E144" i="1" s="1"/>
  <c r="F68" i="1"/>
  <c r="F127" i="1"/>
  <c r="G146" i="1"/>
  <c r="G144" i="1" s="1"/>
  <c r="F146" i="1"/>
  <c r="F144" i="1" s="1"/>
  <c r="G69" i="1"/>
  <c r="G128" i="1"/>
  <c r="J32" i="2"/>
  <c r="P32" i="2"/>
  <c r="K33" i="2"/>
  <c r="Q33" i="2"/>
  <c r="B141" i="6"/>
  <c r="B122" i="6"/>
  <c r="B110" i="6"/>
  <c r="B112" i="6"/>
  <c r="B98" i="6"/>
  <c r="B99" i="6"/>
  <c r="B139" i="6"/>
  <c r="B120" i="6"/>
  <c r="B102" i="6"/>
  <c r="B104" i="6"/>
  <c r="F91" i="6"/>
  <c r="E123" i="6"/>
  <c r="H123" i="6" s="1"/>
  <c r="I104" i="6"/>
  <c r="J104" i="6"/>
  <c r="I98" i="6"/>
  <c r="J98" i="6"/>
  <c r="J87" i="6"/>
  <c r="I87" i="6"/>
  <c r="I86" i="6"/>
  <c r="J86" i="6"/>
  <c r="J88" i="6"/>
  <c r="I88" i="6"/>
  <c r="I83" i="6"/>
  <c r="J83" i="6"/>
  <c r="I81" i="6"/>
  <c r="J81" i="6"/>
  <c r="E112" i="6"/>
  <c r="H112" i="6" s="1"/>
  <c r="I93" i="6"/>
  <c r="J93" i="6"/>
  <c r="I82" i="6"/>
  <c r="J82" i="6"/>
  <c r="J80" i="6"/>
  <c r="I80" i="6"/>
  <c r="I90" i="6"/>
  <c r="J90" i="6"/>
  <c r="J91" i="6"/>
  <c r="I91" i="6"/>
  <c r="J92" i="6"/>
  <c r="I92" i="6"/>
  <c r="I89" i="6"/>
  <c r="J89" i="6"/>
  <c r="E103" i="6"/>
  <c r="J84" i="6"/>
  <c r="I84" i="6"/>
  <c r="I85" i="6"/>
  <c r="J85" i="6"/>
  <c r="E101" i="6"/>
  <c r="Q52" i="2"/>
  <c r="S52" i="2"/>
  <c r="P52" i="2"/>
  <c r="G178" i="1"/>
  <c r="B18" i="13"/>
  <c r="B12" i="13"/>
  <c r="F24" i="8"/>
  <c r="F27" i="8" s="1"/>
  <c r="F7" i="11" s="1"/>
  <c r="O24" i="2"/>
  <c r="N24" i="2"/>
  <c r="F198" i="6"/>
  <c r="C26" i="11" s="1"/>
  <c r="C27" i="13" s="1"/>
  <c r="E199" i="6"/>
  <c r="B27" i="11" s="1"/>
  <c r="D8" i="5"/>
  <c r="F199" i="6"/>
  <c r="C27" i="11" s="1"/>
  <c r="C28" i="13" s="1"/>
  <c r="D5" i="5"/>
  <c r="E196" i="6"/>
  <c r="B24" i="11" s="1"/>
  <c r="E198" i="6"/>
  <c r="B26" i="11" s="1"/>
  <c r="D7" i="5"/>
  <c r="F196" i="6"/>
  <c r="C24" i="11" s="1"/>
  <c r="C25" i="13" s="1"/>
  <c r="I25" i="2"/>
  <c r="O25" i="2"/>
  <c r="I26" i="2"/>
  <c r="P26" i="2" s="1"/>
  <c r="O26" i="2"/>
  <c r="F83" i="6"/>
  <c r="E109" i="6"/>
  <c r="F90" i="6"/>
  <c r="F84" i="6"/>
  <c r="F104" i="6"/>
  <c r="F93" i="6"/>
  <c r="F89" i="6"/>
  <c r="E108" i="6"/>
  <c r="H108" i="6" s="1"/>
  <c r="F92" i="6"/>
  <c r="E99" i="6"/>
  <c r="F80" i="6"/>
  <c r="H5" i="4"/>
  <c r="H37" i="11" s="1"/>
  <c r="I3" i="4"/>
  <c r="H6" i="20"/>
  <c r="G38" i="13"/>
  <c r="I17" i="14"/>
  <c r="F98" i="6"/>
  <c r="F81" i="6"/>
  <c r="E100" i="6"/>
  <c r="H100" i="6" s="1"/>
  <c r="H197" i="6"/>
  <c r="E25" i="11" s="1"/>
  <c r="E26" i="13" s="1"/>
  <c r="F88" i="6"/>
  <c r="F86" i="6"/>
  <c r="F87" i="6"/>
  <c r="E29" i="8"/>
  <c r="E34" i="11" s="1"/>
  <c r="G92" i="11"/>
  <c r="H8" i="27"/>
  <c r="H9" i="27"/>
  <c r="D16" i="13"/>
  <c r="E17" i="13"/>
  <c r="E18" i="13"/>
  <c r="E7" i="13"/>
  <c r="E8" i="13"/>
  <c r="G26" i="8"/>
  <c r="G29" i="8" s="1"/>
  <c r="G34" i="11" s="1"/>
  <c r="E117" i="6"/>
  <c r="H117" i="6" s="1"/>
  <c r="H32" i="8"/>
  <c r="H33" i="8" s="1"/>
  <c r="H15" i="11" s="1"/>
  <c r="H15" i="13" s="1"/>
  <c r="G94" i="6"/>
  <c r="E102" i="6"/>
  <c r="E111" i="6"/>
  <c r="F25" i="8"/>
  <c r="F28" i="8" s="1"/>
  <c r="F8" i="11" s="1"/>
  <c r="F6" i="13"/>
  <c r="F35" i="13"/>
  <c r="F34" i="13" s="1"/>
  <c r="F33" i="11"/>
  <c r="H7" i="14" s="1"/>
  <c r="F37" i="13"/>
  <c r="F36" i="13" s="1"/>
  <c r="F35" i="11"/>
  <c r="H8" i="14" s="1"/>
  <c r="K13" i="2"/>
  <c r="R13" i="2" s="1"/>
  <c r="Q43" i="2"/>
  <c r="K43" i="2"/>
  <c r="R39" i="2"/>
  <c r="L39" i="2"/>
  <c r="S39" i="2" s="1"/>
  <c r="Q19" i="2"/>
  <c r="K19" i="2"/>
  <c r="L31" i="2"/>
  <c r="S31" i="2" s="1"/>
  <c r="Q42" i="2"/>
  <c r="K42" i="2"/>
  <c r="L24" i="2"/>
  <c r="K12" i="2"/>
  <c r="Q12" i="2"/>
  <c r="Q20" i="2"/>
  <c r="K20" i="2"/>
  <c r="L10" i="2"/>
  <c r="S10" i="2" s="1"/>
  <c r="R10" i="2"/>
  <c r="O36" i="2"/>
  <c r="I36" i="2"/>
  <c r="K40" i="2"/>
  <c r="Q40" i="2"/>
  <c r="R50" i="2"/>
  <c r="L50" i="2"/>
  <c r="S50" i="2" s="1"/>
  <c r="Q49" i="2"/>
  <c r="K49" i="2"/>
  <c r="Q11" i="2"/>
  <c r="K11" i="2"/>
  <c r="K34" i="2"/>
  <c r="R34" i="2" s="1"/>
  <c r="H53" i="2"/>
  <c r="N53" i="2"/>
  <c r="N51" i="2" s="1"/>
  <c r="G51" i="2"/>
  <c r="K9" i="2"/>
  <c r="Q9" i="2"/>
  <c r="H22" i="2"/>
  <c r="N22" i="2"/>
  <c r="K38" i="2"/>
  <c r="Q38" i="2"/>
  <c r="F75" i="6"/>
  <c r="E94" i="6"/>
  <c r="I75" i="6"/>
  <c r="E105" i="6"/>
  <c r="E106" i="6"/>
  <c r="E107" i="6"/>
  <c r="G204" i="6"/>
  <c r="K30" i="2" l="1"/>
  <c r="R30" i="2" s="1"/>
  <c r="E129" i="6"/>
  <c r="H129" i="6" s="1"/>
  <c r="F110" i="6"/>
  <c r="J110" i="6"/>
  <c r="K92" i="6"/>
  <c r="I208" i="6" s="1"/>
  <c r="F31" i="11" s="1"/>
  <c r="K83" i="6"/>
  <c r="K86" i="6"/>
  <c r="I202" i="6" s="1"/>
  <c r="F10" i="11" s="1"/>
  <c r="F10" i="13" s="1"/>
  <c r="K98" i="6"/>
  <c r="J195" i="6" s="1"/>
  <c r="G23" i="11" s="1"/>
  <c r="K91" i="6"/>
  <c r="K85" i="6"/>
  <c r="I201" i="6" s="1"/>
  <c r="F29" i="11" s="1"/>
  <c r="F30" i="13" s="1"/>
  <c r="K90" i="6"/>
  <c r="I206" i="6" s="1"/>
  <c r="F14" i="11" s="1"/>
  <c r="F14" i="13" s="1"/>
  <c r="K82" i="6"/>
  <c r="K88" i="6"/>
  <c r="I204" i="6" s="1"/>
  <c r="F12" i="11" s="1"/>
  <c r="F12" i="13" s="1"/>
  <c r="K87" i="6"/>
  <c r="I203" i="6" s="1"/>
  <c r="F11" i="11" s="1"/>
  <c r="F11" i="13" s="1"/>
  <c r="K84" i="6"/>
  <c r="I200" i="6" s="1"/>
  <c r="F28" i="11" s="1"/>
  <c r="F29" i="13" s="1"/>
  <c r="K89" i="6"/>
  <c r="I205" i="6" s="1"/>
  <c r="F13" i="11" s="1"/>
  <c r="F13" i="13" s="1"/>
  <c r="K80" i="6"/>
  <c r="K81" i="6"/>
  <c r="K104" i="6"/>
  <c r="J201" i="6" s="1"/>
  <c r="G29" i="11" s="1"/>
  <c r="G30" i="13" s="1"/>
  <c r="K93" i="6"/>
  <c r="I209" i="6" s="1"/>
  <c r="F32" i="11" s="1"/>
  <c r="F33" i="13" s="1"/>
  <c r="H94" i="6"/>
  <c r="H106" i="6"/>
  <c r="H105" i="6"/>
  <c r="H107" i="6"/>
  <c r="H111" i="6"/>
  <c r="H110" i="6"/>
  <c r="K110" i="6" s="1"/>
  <c r="J207" i="6" s="1"/>
  <c r="G30" i="11" s="1"/>
  <c r="G31" i="13" s="1"/>
  <c r="H102" i="6"/>
  <c r="H101" i="6"/>
  <c r="H99" i="6"/>
  <c r="H109" i="6"/>
  <c r="H103" i="6"/>
  <c r="E122" i="6"/>
  <c r="I122" i="6" s="1"/>
  <c r="E131" i="6"/>
  <c r="H131" i="6" s="1"/>
  <c r="G70" i="1"/>
  <c r="G130" i="1" s="1"/>
  <c r="G129" i="1"/>
  <c r="E69" i="1"/>
  <c r="E128" i="1"/>
  <c r="T37" i="2"/>
  <c r="I69" i="1"/>
  <c r="I128" i="1"/>
  <c r="F69" i="1"/>
  <c r="F128" i="1"/>
  <c r="H69" i="1"/>
  <c r="H128" i="1"/>
  <c r="F103" i="6"/>
  <c r="F112" i="6"/>
  <c r="L33" i="2"/>
  <c r="S33" i="2" s="1"/>
  <c r="R33" i="2"/>
  <c r="Q32" i="2"/>
  <c r="K32" i="2"/>
  <c r="B142" i="6"/>
  <c r="B123" i="6"/>
  <c r="B136" i="6"/>
  <c r="B117" i="6"/>
  <c r="B148" i="6"/>
  <c r="B168" i="6" s="1"/>
  <c r="B129" i="6"/>
  <c r="B140" i="6"/>
  <c r="B121" i="6"/>
  <c r="B137" i="6"/>
  <c r="B118" i="6"/>
  <c r="B150" i="6"/>
  <c r="B131" i="6"/>
  <c r="I207" i="6"/>
  <c r="F30" i="11" s="1"/>
  <c r="F31" i="13" s="1"/>
  <c r="F123" i="6"/>
  <c r="I123" i="6"/>
  <c r="J123" i="6"/>
  <c r="I129" i="6"/>
  <c r="J129" i="6"/>
  <c r="E136" i="6"/>
  <c r="F136" i="6" s="1"/>
  <c r="I117" i="6"/>
  <c r="J117" i="6"/>
  <c r="E118" i="6"/>
  <c r="J99" i="6"/>
  <c r="I99" i="6"/>
  <c r="J107" i="6"/>
  <c r="I107" i="6"/>
  <c r="J101" i="6"/>
  <c r="I101" i="6"/>
  <c r="E142" i="6"/>
  <c r="I106" i="6"/>
  <c r="J106" i="6"/>
  <c r="J111" i="6"/>
  <c r="I111" i="6"/>
  <c r="I100" i="6"/>
  <c r="J100" i="6"/>
  <c r="F101" i="6"/>
  <c r="J109" i="6"/>
  <c r="I109" i="6"/>
  <c r="J103" i="6"/>
  <c r="I103" i="6"/>
  <c r="I112" i="6"/>
  <c r="J112" i="6"/>
  <c r="I108" i="6"/>
  <c r="J108" i="6"/>
  <c r="G24" i="8"/>
  <c r="G27" i="8" s="1"/>
  <c r="G7" i="11" s="1"/>
  <c r="G7" i="13" s="1"/>
  <c r="E120" i="6"/>
  <c r="E139" i="6" s="1"/>
  <c r="I105" i="6"/>
  <c r="J105" i="6"/>
  <c r="I102" i="6"/>
  <c r="J102" i="6"/>
  <c r="E30" i="13"/>
  <c r="B27" i="13"/>
  <c r="E35" i="13"/>
  <c r="E34" i="13" s="1"/>
  <c r="E31" i="13"/>
  <c r="B28" i="13"/>
  <c r="G162" i="1"/>
  <c r="H162" i="1"/>
  <c r="F162" i="1"/>
  <c r="E162" i="1"/>
  <c r="C22" i="13"/>
  <c r="B25" i="13"/>
  <c r="B21" i="11"/>
  <c r="C21" i="11"/>
  <c r="E6" i="14" s="1"/>
  <c r="G199" i="6"/>
  <c r="D27" i="11" s="1"/>
  <c r="D28" i="13" s="1"/>
  <c r="G198" i="6"/>
  <c r="D26" i="11" s="1"/>
  <c r="D27" i="13" s="1"/>
  <c r="J26" i="2"/>
  <c r="Q26" i="2" s="1"/>
  <c r="J25" i="2"/>
  <c r="E128" i="6"/>
  <c r="F109" i="6"/>
  <c r="F129" i="6"/>
  <c r="F102" i="6"/>
  <c r="F108" i="6"/>
  <c r="E127" i="6"/>
  <c r="H127" i="6" s="1"/>
  <c r="E130" i="6"/>
  <c r="F111" i="6"/>
  <c r="I197" i="6"/>
  <c r="F25" i="11" s="1"/>
  <c r="F26" i="13" s="1"/>
  <c r="F99" i="6"/>
  <c r="I5" i="4"/>
  <c r="I37" i="11" s="1"/>
  <c r="J3" i="4"/>
  <c r="J17" i="14"/>
  <c r="I6" i="20"/>
  <c r="H38" i="13"/>
  <c r="F117" i="6"/>
  <c r="F100" i="6"/>
  <c r="E119" i="6"/>
  <c r="H119" i="6" s="1"/>
  <c r="F107" i="6"/>
  <c r="F105" i="6"/>
  <c r="H26" i="8"/>
  <c r="H29" i="8" s="1"/>
  <c r="H34" i="11" s="1"/>
  <c r="B169" i="6"/>
  <c r="F106" i="6"/>
  <c r="E33" i="11"/>
  <c r="G7" i="14" s="1"/>
  <c r="H18" i="11"/>
  <c r="H93" i="11"/>
  <c r="I8" i="27"/>
  <c r="I9" i="27"/>
  <c r="H92" i="11"/>
  <c r="H17" i="11"/>
  <c r="F7" i="13"/>
  <c r="F8" i="13"/>
  <c r="I32" i="8"/>
  <c r="I33" i="8" s="1"/>
  <c r="I15" i="11" s="1"/>
  <c r="I15" i="13" s="1"/>
  <c r="E121" i="6"/>
  <c r="H121" i="6" s="1"/>
  <c r="G132" i="6"/>
  <c r="G113" i="6"/>
  <c r="G25" i="8"/>
  <c r="G28" i="8" s="1"/>
  <c r="G8" i="11" s="1"/>
  <c r="G8" i="13" s="1"/>
  <c r="G35" i="13"/>
  <c r="G34" i="13" s="1"/>
  <c r="G33" i="11"/>
  <c r="I7" i="14" s="1"/>
  <c r="G6" i="13"/>
  <c r="G37" i="13"/>
  <c r="G36" i="13" s="1"/>
  <c r="G35" i="11"/>
  <c r="I8" i="14" s="1"/>
  <c r="L13" i="2"/>
  <c r="S13" i="2" s="1"/>
  <c r="L43" i="2"/>
  <c r="S43" i="2" s="1"/>
  <c r="R43" i="2"/>
  <c r="R19" i="2"/>
  <c r="L19" i="2"/>
  <c r="S19" i="2" s="1"/>
  <c r="R11" i="2"/>
  <c r="L11" i="2"/>
  <c r="S11" i="2" s="1"/>
  <c r="R20" i="2"/>
  <c r="L20" i="2"/>
  <c r="S20" i="2" s="1"/>
  <c r="L30" i="2"/>
  <c r="S30" i="2" s="1"/>
  <c r="I22" i="2"/>
  <c r="O22" i="2"/>
  <c r="L34" i="2"/>
  <c r="S34" i="2" s="1"/>
  <c r="L40" i="2"/>
  <c r="S40" i="2" s="1"/>
  <c r="R40" i="2"/>
  <c r="R49" i="2"/>
  <c r="L49" i="2"/>
  <c r="S49" i="2" s="1"/>
  <c r="O53" i="2"/>
  <c r="O51" i="2" s="1"/>
  <c r="I53" i="2"/>
  <c r="H51" i="2"/>
  <c r="L38" i="2"/>
  <c r="S38" i="2" s="1"/>
  <c r="R38" i="2"/>
  <c r="R9" i="2"/>
  <c r="L9" i="2"/>
  <c r="S9" i="2" s="1"/>
  <c r="J36" i="2"/>
  <c r="P36" i="2"/>
  <c r="L12" i="2"/>
  <c r="S12" i="2" s="1"/>
  <c r="R12" i="2"/>
  <c r="L42" i="2"/>
  <c r="S42" i="2" s="1"/>
  <c r="R42" i="2"/>
  <c r="F94" i="6"/>
  <c r="E124" i="6"/>
  <c r="I94" i="6"/>
  <c r="E125" i="6"/>
  <c r="H125" i="6" s="1"/>
  <c r="E150" i="6"/>
  <c r="E148" i="6"/>
  <c r="E126" i="6"/>
  <c r="E113" i="6"/>
  <c r="D12" i="11"/>
  <c r="E12" i="11"/>
  <c r="E12" i="13" s="1"/>
  <c r="E141" i="6" l="1"/>
  <c r="H141" i="6" s="1"/>
  <c r="F122" i="6"/>
  <c r="J122" i="6"/>
  <c r="J131" i="6"/>
  <c r="K123" i="6"/>
  <c r="K201" i="6" s="1"/>
  <c r="H29" i="11" s="1"/>
  <c r="H30" i="13" s="1"/>
  <c r="I131" i="6"/>
  <c r="F131" i="6"/>
  <c r="K102" i="6"/>
  <c r="K105" i="6"/>
  <c r="J202" i="6" s="1"/>
  <c r="G10" i="11" s="1"/>
  <c r="G10" i="13" s="1"/>
  <c r="K129" i="6"/>
  <c r="K207" i="6" s="1"/>
  <c r="H30" i="11" s="1"/>
  <c r="H31" i="13" s="1"/>
  <c r="K108" i="6"/>
  <c r="J205" i="6" s="1"/>
  <c r="G13" i="11" s="1"/>
  <c r="G13" i="13" s="1"/>
  <c r="K109" i="6"/>
  <c r="J206" i="6" s="1"/>
  <c r="G14" i="11" s="1"/>
  <c r="G14" i="13" s="1"/>
  <c r="K100" i="6"/>
  <c r="J197" i="6" s="1"/>
  <c r="G25" i="11" s="1"/>
  <c r="K106" i="6"/>
  <c r="J203" i="6" s="1"/>
  <c r="G11" i="11" s="1"/>
  <c r="G11" i="13" s="1"/>
  <c r="K107" i="6"/>
  <c r="J204" i="6" s="1"/>
  <c r="G12" i="11" s="1"/>
  <c r="G12" i="13" s="1"/>
  <c r="K112" i="6"/>
  <c r="J209" i="6" s="1"/>
  <c r="G32" i="11" s="1"/>
  <c r="G33" i="13" s="1"/>
  <c r="K111" i="6"/>
  <c r="J208" i="6" s="1"/>
  <c r="G31" i="11" s="1"/>
  <c r="G32" i="13" s="1"/>
  <c r="K103" i="6"/>
  <c r="J200" i="6" s="1"/>
  <c r="G28" i="11" s="1"/>
  <c r="G29" i="13" s="1"/>
  <c r="K101" i="6"/>
  <c r="K99" i="6"/>
  <c r="K117" i="6"/>
  <c r="K195" i="6" s="1"/>
  <c r="H23" i="11" s="1"/>
  <c r="H24" i="13" s="1"/>
  <c r="H113" i="6"/>
  <c r="F120" i="6"/>
  <c r="H120" i="6"/>
  <c r="E137" i="6"/>
  <c r="H137" i="6" s="1"/>
  <c r="H118" i="6"/>
  <c r="H126" i="6"/>
  <c r="H130" i="6"/>
  <c r="H142" i="6"/>
  <c r="H122" i="6"/>
  <c r="K122" i="6" s="1"/>
  <c r="K200" i="6" s="1"/>
  <c r="H28" i="11" s="1"/>
  <c r="H139" i="6"/>
  <c r="H148" i="6"/>
  <c r="H150" i="6"/>
  <c r="H124" i="6"/>
  <c r="H128" i="6"/>
  <c r="E155" i="6"/>
  <c r="H136" i="6"/>
  <c r="G126" i="1"/>
  <c r="G183" i="1" s="1"/>
  <c r="I15" i="14" s="1"/>
  <c r="F70" i="1"/>
  <c r="F130" i="1" s="1"/>
  <c r="F129" i="1"/>
  <c r="I70" i="1"/>
  <c r="I130" i="1" s="1"/>
  <c r="I129" i="1"/>
  <c r="B170" i="6"/>
  <c r="B190" i="6" s="1"/>
  <c r="E70" i="1"/>
  <c r="E130" i="1" s="1"/>
  <c r="E129" i="1"/>
  <c r="H70" i="1"/>
  <c r="H130" i="1" s="1"/>
  <c r="H129" i="1"/>
  <c r="F118" i="6"/>
  <c r="R32" i="2"/>
  <c r="L32" i="2"/>
  <c r="S32" i="2" s="1"/>
  <c r="I150" i="6"/>
  <c r="J150" i="6"/>
  <c r="I142" i="6"/>
  <c r="J142" i="6"/>
  <c r="I136" i="6"/>
  <c r="J136" i="6"/>
  <c r="I137" i="6"/>
  <c r="I139" i="6"/>
  <c r="J139" i="6"/>
  <c r="I148" i="6"/>
  <c r="J148" i="6"/>
  <c r="J141" i="6"/>
  <c r="I141" i="6"/>
  <c r="E162" i="6"/>
  <c r="J162" i="6" s="1"/>
  <c r="I119" i="6"/>
  <c r="J119" i="6"/>
  <c r="F142" i="6"/>
  <c r="I124" i="6"/>
  <c r="J124" i="6"/>
  <c r="H24" i="8"/>
  <c r="H27" i="8" s="1"/>
  <c r="H7" i="11" s="1"/>
  <c r="H7" i="13" s="1"/>
  <c r="I121" i="6"/>
  <c r="J121" i="6"/>
  <c r="I128" i="6"/>
  <c r="J128" i="6"/>
  <c r="J126" i="6"/>
  <c r="I126" i="6"/>
  <c r="I127" i="6"/>
  <c r="J127" i="6"/>
  <c r="I125" i="6"/>
  <c r="J125" i="6"/>
  <c r="E149" i="6"/>
  <c r="H149" i="6" s="1"/>
  <c r="J130" i="6"/>
  <c r="I130" i="6"/>
  <c r="I120" i="6"/>
  <c r="J120" i="6"/>
  <c r="J118" i="6"/>
  <c r="I118" i="6"/>
  <c r="T41" i="2"/>
  <c r="T35" i="2" s="1"/>
  <c r="H18" i="13"/>
  <c r="H17" i="13"/>
  <c r="I162" i="1"/>
  <c r="F32" i="13"/>
  <c r="G24" i="13"/>
  <c r="D6" i="14"/>
  <c r="D12" i="13"/>
  <c r="B22" i="13"/>
  <c r="J15" i="11"/>
  <c r="I26" i="8"/>
  <c r="I29" i="8" s="1"/>
  <c r="I34" i="11" s="1"/>
  <c r="J34" i="11" s="1"/>
  <c r="H198" i="6"/>
  <c r="E26" i="11" s="1"/>
  <c r="E27" i="13" s="1"/>
  <c r="H199" i="6"/>
  <c r="E27" i="11" s="1"/>
  <c r="E28" i="13" s="1"/>
  <c r="G196" i="6"/>
  <c r="K56" i="6"/>
  <c r="K25" i="2"/>
  <c r="K26" i="2"/>
  <c r="R26" i="2" s="1"/>
  <c r="F121" i="6"/>
  <c r="F150" i="6"/>
  <c r="E147" i="6"/>
  <c r="F128" i="6"/>
  <c r="F141" i="6"/>
  <c r="F148" i="6"/>
  <c r="E146" i="6"/>
  <c r="F127" i="6"/>
  <c r="F130" i="6"/>
  <c r="F139" i="6"/>
  <c r="J5" i="4"/>
  <c r="J37" i="11" s="1"/>
  <c r="K3" i="4"/>
  <c r="K5" i="4" s="1"/>
  <c r="K17" i="14"/>
  <c r="J6" i="20"/>
  <c r="I38" i="13"/>
  <c r="F155" i="6"/>
  <c r="J155" i="6"/>
  <c r="I155" i="6"/>
  <c r="F119" i="6"/>
  <c r="E138" i="6"/>
  <c r="F126" i="6"/>
  <c r="F124" i="6"/>
  <c r="B155" i="6"/>
  <c r="B188" i="6"/>
  <c r="B161" i="6"/>
  <c r="B162" i="6"/>
  <c r="B189" i="6"/>
  <c r="F125" i="6"/>
  <c r="I92" i="11"/>
  <c r="I17" i="11"/>
  <c r="I17" i="13" s="1"/>
  <c r="I93" i="11"/>
  <c r="I18" i="11"/>
  <c r="I18" i="13" s="1"/>
  <c r="F16" i="13"/>
  <c r="E16" i="13"/>
  <c r="E140" i="6"/>
  <c r="G151" i="6"/>
  <c r="H25" i="8"/>
  <c r="H28" i="8" s="1"/>
  <c r="H8" i="11" s="1"/>
  <c r="H8" i="13" s="1"/>
  <c r="H33" i="11"/>
  <c r="J7" i="14" s="1"/>
  <c r="H35" i="13"/>
  <c r="H34" i="13" s="1"/>
  <c r="H6" i="13"/>
  <c r="H37" i="13"/>
  <c r="H36" i="13" s="1"/>
  <c r="H35" i="11"/>
  <c r="J8" i="14" s="1"/>
  <c r="P53" i="2"/>
  <c r="P51" i="2" s="1"/>
  <c r="J53" i="2"/>
  <c r="I51" i="2"/>
  <c r="Q36" i="2"/>
  <c r="K36" i="2"/>
  <c r="J22" i="2"/>
  <c r="P22" i="2"/>
  <c r="I113" i="6"/>
  <c r="E161" i="6"/>
  <c r="F113" i="6"/>
  <c r="E143" i="6"/>
  <c r="E175" i="6"/>
  <c r="E132" i="6"/>
  <c r="E144" i="6"/>
  <c r="E170" i="6"/>
  <c r="E168" i="6"/>
  <c r="E159" i="6"/>
  <c r="E145" i="6"/>
  <c r="H145" i="6" s="1"/>
  <c r="E157" i="6"/>
  <c r="G16" i="13"/>
  <c r="E156" i="6" l="1"/>
  <c r="K131" i="6"/>
  <c r="K209" i="6" s="1"/>
  <c r="H32" i="11" s="1"/>
  <c r="H33" i="13" s="1"/>
  <c r="F137" i="6"/>
  <c r="F162" i="6"/>
  <c r="E182" i="6"/>
  <c r="J137" i="6"/>
  <c r="K136" i="6"/>
  <c r="L195" i="6" s="1"/>
  <c r="I23" i="11" s="1"/>
  <c r="I24" i="13" s="1"/>
  <c r="K120" i="6"/>
  <c r="K139" i="6"/>
  <c r="K150" i="6"/>
  <c r="L209" i="6" s="1"/>
  <c r="I32" i="11" s="1"/>
  <c r="I33" i="13" s="1"/>
  <c r="K127" i="6"/>
  <c r="K205" i="6" s="1"/>
  <c r="H13" i="11" s="1"/>
  <c r="H13" i="13" s="1"/>
  <c r="K128" i="6"/>
  <c r="K206" i="6" s="1"/>
  <c r="H14" i="11" s="1"/>
  <c r="H14" i="13" s="1"/>
  <c r="K119" i="6"/>
  <c r="K197" i="6" s="1"/>
  <c r="H25" i="11" s="1"/>
  <c r="H26" i="13" s="1"/>
  <c r="K126" i="6"/>
  <c r="K124" i="6"/>
  <c r="K202" i="6" s="1"/>
  <c r="H10" i="11" s="1"/>
  <c r="H10" i="13" s="1"/>
  <c r="K148" i="6"/>
  <c r="L207" i="6" s="1"/>
  <c r="I30" i="11" s="1"/>
  <c r="K142" i="6"/>
  <c r="L201" i="6" s="1"/>
  <c r="I29" i="11" s="1"/>
  <c r="I30" i="13" s="1"/>
  <c r="K118" i="6"/>
  <c r="K130" i="6"/>
  <c r="K208" i="6" s="1"/>
  <c r="H31" i="11" s="1"/>
  <c r="H32" i="13" s="1"/>
  <c r="K125" i="6"/>
  <c r="K203" i="6" s="1"/>
  <c r="H11" i="11" s="1"/>
  <c r="H11" i="13" s="1"/>
  <c r="K121" i="6"/>
  <c r="K141" i="6"/>
  <c r="L200" i="6" s="1"/>
  <c r="I28" i="11" s="1"/>
  <c r="I29" i="13" s="1"/>
  <c r="H143" i="6"/>
  <c r="H146" i="6"/>
  <c r="H132" i="6"/>
  <c r="H147" i="6"/>
  <c r="H140" i="6"/>
  <c r="H138" i="6"/>
  <c r="K137" i="6"/>
  <c r="H144" i="6"/>
  <c r="E126" i="1"/>
  <c r="E183" i="1" s="1"/>
  <c r="G15" i="14" s="1"/>
  <c r="F149" i="6"/>
  <c r="I126" i="1"/>
  <c r="I183" i="1" s="1"/>
  <c r="K15" i="14" s="1"/>
  <c r="H126" i="1"/>
  <c r="H183" i="1" s="1"/>
  <c r="J15" i="14" s="1"/>
  <c r="F126" i="1"/>
  <c r="F183" i="1" s="1"/>
  <c r="H15" i="14" s="1"/>
  <c r="I24" i="8"/>
  <c r="I27" i="8" s="1"/>
  <c r="I7" i="11" s="1"/>
  <c r="J7" i="11" s="1"/>
  <c r="E35" i="31" s="1"/>
  <c r="E10" i="31" s="1"/>
  <c r="E20" i="31" s="1"/>
  <c r="E169" i="6"/>
  <c r="I169" i="6" s="1"/>
  <c r="I162" i="6"/>
  <c r="J145" i="6"/>
  <c r="I145" i="6"/>
  <c r="I140" i="6"/>
  <c r="J140" i="6"/>
  <c r="J149" i="6"/>
  <c r="I149" i="6"/>
  <c r="I146" i="6"/>
  <c r="J146" i="6"/>
  <c r="I143" i="6"/>
  <c r="J143" i="6"/>
  <c r="I138" i="6"/>
  <c r="J138" i="6"/>
  <c r="I147" i="6"/>
  <c r="J147" i="6"/>
  <c r="I144" i="6"/>
  <c r="J144" i="6"/>
  <c r="J17" i="11"/>
  <c r="C38" i="31" s="1"/>
  <c r="C13" i="31" s="1"/>
  <c r="C20" i="31" s="1"/>
  <c r="J18" i="11"/>
  <c r="D38" i="31" s="1"/>
  <c r="D13" i="31" s="1"/>
  <c r="H29" i="13"/>
  <c r="G26" i="13"/>
  <c r="H196" i="6"/>
  <c r="K75" i="6"/>
  <c r="D24" i="11"/>
  <c r="G210" i="6"/>
  <c r="I199" i="6"/>
  <c r="F27" i="11" s="1"/>
  <c r="I198" i="6"/>
  <c r="F26" i="11" s="1"/>
  <c r="F27" i="13" s="1"/>
  <c r="L25" i="2"/>
  <c r="L26" i="2"/>
  <c r="S26" i="2" s="1"/>
  <c r="T26" i="2" s="1"/>
  <c r="F168" i="6"/>
  <c r="J168" i="6"/>
  <c r="I168" i="6"/>
  <c r="E167" i="6"/>
  <c r="F147" i="6"/>
  <c r="F161" i="6"/>
  <c r="J161" i="6"/>
  <c r="I161" i="6"/>
  <c r="E160" i="6"/>
  <c r="E180" i="6" s="1"/>
  <c r="F140" i="6"/>
  <c r="J170" i="6"/>
  <c r="I170" i="6"/>
  <c r="F170" i="6"/>
  <c r="K204" i="6"/>
  <c r="H12" i="11" s="1"/>
  <c r="H12" i="13" s="1"/>
  <c r="F146" i="6"/>
  <c r="E166" i="6"/>
  <c r="F159" i="6"/>
  <c r="J159" i="6"/>
  <c r="I159" i="6"/>
  <c r="I156" i="6"/>
  <c r="J156" i="6"/>
  <c r="F156" i="6"/>
  <c r="F182" i="6"/>
  <c r="J182" i="6"/>
  <c r="I182" i="6"/>
  <c r="K6" i="20"/>
  <c r="L6" i="20"/>
  <c r="F175" i="6"/>
  <c r="J175" i="6"/>
  <c r="I175" i="6"/>
  <c r="F138" i="6"/>
  <c r="E158" i="6"/>
  <c r="J157" i="6"/>
  <c r="I157" i="6"/>
  <c r="F157" i="6"/>
  <c r="F145" i="6"/>
  <c r="F143" i="6"/>
  <c r="B182" i="6"/>
  <c r="K162" i="6"/>
  <c r="B181" i="6"/>
  <c r="B209" i="6"/>
  <c r="B208" i="6"/>
  <c r="B207" i="6"/>
  <c r="B175" i="6"/>
  <c r="K155" i="6"/>
  <c r="F144" i="6"/>
  <c r="J93" i="11"/>
  <c r="J92" i="11"/>
  <c r="I25" i="8"/>
  <c r="G171" i="6"/>
  <c r="F132" i="6"/>
  <c r="I6" i="13"/>
  <c r="I33" i="11"/>
  <c r="K7" i="14" s="1"/>
  <c r="I35" i="13"/>
  <c r="I34" i="13" s="1"/>
  <c r="I35" i="11"/>
  <c r="K8" i="14" s="1"/>
  <c r="I37" i="13"/>
  <c r="I36" i="13" s="1"/>
  <c r="L36" i="2"/>
  <c r="R36" i="2"/>
  <c r="K53" i="2"/>
  <c r="Q53" i="2"/>
  <c r="Q51" i="2" s="1"/>
  <c r="J51" i="2"/>
  <c r="K22" i="2"/>
  <c r="Q22" i="2"/>
  <c r="E163" i="6"/>
  <c r="E181" i="6"/>
  <c r="E190" i="6"/>
  <c r="I132" i="6"/>
  <c r="E164" i="6"/>
  <c r="E177" i="6"/>
  <c r="E165" i="6"/>
  <c r="E151" i="6"/>
  <c r="E176" i="6"/>
  <c r="E188" i="6"/>
  <c r="E179" i="6"/>
  <c r="K149" i="6" l="1"/>
  <c r="K145" i="6"/>
  <c r="H151" i="6"/>
  <c r="K144" i="6"/>
  <c r="L203" i="6" s="1"/>
  <c r="K138" i="6"/>
  <c r="L197" i="6" s="1"/>
  <c r="I25" i="11" s="1"/>
  <c r="K146" i="6"/>
  <c r="L205" i="6" s="1"/>
  <c r="I13" i="11" s="1"/>
  <c r="I13" i="13" s="1"/>
  <c r="K140" i="6"/>
  <c r="K147" i="6"/>
  <c r="L206" i="6" s="1"/>
  <c r="I14" i="11" s="1"/>
  <c r="K143" i="6"/>
  <c r="L202" i="6" s="1"/>
  <c r="I10" i="11" s="1"/>
  <c r="I10" i="13" s="1"/>
  <c r="J23" i="11"/>
  <c r="J169" i="6"/>
  <c r="E189" i="6"/>
  <c r="F189" i="6" s="1"/>
  <c r="F169" i="6"/>
  <c r="L208" i="6"/>
  <c r="I31" i="11" s="1"/>
  <c r="I32" i="13" s="1"/>
  <c r="J29" i="11"/>
  <c r="F28" i="13"/>
  <c r="I31" i="13"/>
  <c r="J30" i="11"/>
  <c r="J28" i="11"/>
  <c r="J32" i="11"/>
  <c r="I7" i="13"/>
  <c r="J199" i="6"/>
  <c r="G27" i="11" s="1"/>
  <c r="G28" i="13" s="1"/>
  <c r="D25" i="13"/>
  <c r="D22" i="13" s="1"/>
  <c r="D21" i="11"/>
  <c r="I196" i="6"/>
  <c r="K94" i="6"/>
  <c r="J198" i="6"/>
  <c r="G26" i="11" s="1"/>
  <c r="G27" i="13" s="1"/>
  <c r="E24" i="11"/>
  <c r="H210" i="6"/>
  <c r="K170" i="6"/>
  <c r="K161" i="6"/>
  <c r="K169" i="6"/>
  <c r="K168" i="6"/>
  <c r="F160" i="6"/>
  <c r="I160" i="6"/>
  <c r="J160" i="6"/>
  <c r="E187" i="6"/>
  <c r="F167" i="6"/>
  <c r="I167" i="6"/>
  <c r="J167" i="6"/>
  <c r="I166" i="6"/>
  <c r="F166" i="6"/>
  <c r="J166" i="6"/>
  <c r="E186" i="6"/>
  <c r="L204" i="6"/>
  <c r="I12" i="11" s="1"/>
  <c r="I12" i="13" s="1"/>
  <c r="F180" i="6"/>
  <c r="J180" i="6"/>
  <c r="I180" i="6"/>
  <c r="F190" i="6"/>
  <c r="J190" i="6"/>
  <c r="I190" i="6"/>
  <c r="F188" i="6"/>
  <c r="J188" i="6"/>
  <c r="I188" i="6"/>
  <c r="F179" i="6"/>
  <c r="J179" i="6"/>
  <c r="I179" i="6"/>
  <c r="I176" i="6"/>
  <c r="F176" i="6"/>
  <c r="J176" i="6"/>
  <c r="F181" i="6"/>
  <c r="J181" i="6"/>
  <c r="I181" i="6"/>
  <c r="J158" i="6"/>
  <c r="F158" i="6"/>
  <c r="I158" i="6"/>
  <c r="E178" i="6"/>
  <c r="F177" i="6"/>
  <c r="I177" i="6"/>
  <c r="J177" i="6"/>
  <c r="K157" i="6"/>
  <c r="J165" i="6"/>
  <c r="I165" i="6"/>
  <c r="F165" i="6"/>
  <c r="F163" i="6"/>
  <c r="J163" i="6"/>
  <c r="I163" i="6"/>
  <c r="B201" i="6"/>
  <c r="K182" i="6"/>
  <c r="B195" i="6"/>
  <c r="K175" i="6"/>
  <c r="B200" i="6"/>
  <c r="J164" i="6"/>
  <c r="I164" i="6"/>
  <c r="F164" i="6"/>
  <c r="K93" i="11"/>
  <c r="K92" i="11"/>
  <c r="I28" i="8"/>
  <c r="I8" i="11" s="1"/>
  <c r="J33" i="11"/>
  <c r="J35" i="11"/>
  <c r="R53" i="2"/>
  <c r="R51" i="2" s="1"/>
  <c r="L53" i="2"/>
  <c r="K51" i="2"/>
  <c r="L22" i="2"/>
  <c r="R22" i="2"/>
  <c r="S36" i="2"/>
  <c r="F151" i="6"/>
  <c r="E171" i="6"/>
  <c r="E183" i="6"/>
  <c r="I151" i="6"/>
  <c r="E184" i="6"/>
  <c r="E185" i="6"/>
  <c r="H16" i="13"/>
  <c r="I189" i="6" l="1"/>
  <c r="J189" i="6"/>
  <c r="J31" i="11"/>
  <c r="I16" i="13"/>
  <c r="J12" i="11"/>
  <c r="I14" i="13"/>
  <c r="J14" i="11"/>
  <c r="F6" i="14"/>
  <c r="I8" i="13"/>
  <c r="J8" i="11"/>
  <c r="D35" i="31" s="1"/>
  <c r="D10" i="31" s="1"/>
  <c r="D20" i="31" s="1"/>
  <c r="I26" i="13"/>
  <c r="J25" i="11"/>
  <c r="I11" i="11"/>
  <c r="E25" i="13"/>
  <c r="E22" i="13" s="1"/>
  <c r="E21" i="11"/>
  <c r="G6" i="14" s="1"/>
  <c r="K198" i="6"/>
  <c r="H26" i="11" s="1"/>
  <c r="H27" i="13" s="1"/>
  <c r="J196" i="6"/>
  <c r="K113" i="6"/>
  <c r="F24" i="11"/>
  <c r="I210" i="6"/>
  <c r="K199" i="6"/>
  <c r="H27" i="11" s="1"/>
  <c r="H28" i="13" s="1"/>
  <c r="K167" i="6"/>
  <c r="K181" i="6"/>
  <c r="F187" i="6"/>
  <c r="J187" i="6"/>
  <c r="I187" i="6"/>
  <c r="K165" i="6"/>
  <c r="I186" i="6"/>
  <c r="F186" i="6"/>
  <c r="J186" i="6"/>
  <c r="K189" i="6"/>
  <c r="K188" i="6"/>
  <c r="K190" i="6"/>
  <c r="K163" i="6"/>
  <c r="F178" i="6"/>
  <c r="I178" i="6"/>
  <c r="J178" i="6"/>
  <c r="K158" i="6"/>
  <c r="K177" i="6"/>
  <c r="F185" i="6"/>
  <c r="J185" i="6"/>
  <c r="I185" i="6"/>
  <c r="F183" i="6"/>
  <c r="J183" i="6"/>
  <c r="I183" i="6"/>
  <c r="J184" i="6"/>
  <c r="I184" i="6"/>
  <c r="F184" i="6"/>
  <c r="G191" i="6"/>
  <c r="K91" i="11"/>
  <c r="S22" i="2"/>
  <c r="L51" i="2"/>
  <c r="S53" i="2"/>
  <c r="S51" i="2" s="1"/>
  <c r="F171" i="6"/>
  <c r="E191" i="6"/>
  <c r="I171" i="6"/>
  <c r="J91" i="11"/>
  <c r="J16" i="11" l="1"/>
  <c r="D45" i="31"/>
  <c r="E45" i="31"/>
  <c r="I11" i="13"/>
  <c r="B10" i="23"/>
  <c r="K196" i="6"/>
  <c r="K132" i="6"/>
  <c r="B160" i="6"/>
  <c r="L199" i="6"/>
  <c r="I27" i="11" s="1"/>
  <c r="B156" i="6"/>
  <c r="B159" i="6"/>
  <c r="L198" i="6"/>
  <c r="I26" i="11" s="1"/>
  <c r="F21" i="11"/>
  <c r="H6" i="14" s="1"/>
  <c r="F25" i="13"/>
  <c r="F22" i="13" s="1"/>
  <c r="G24" i="11"/>
  <c r="J210" i="6"/>
  <c r="K187" i="6"/>
  <c r="K185" i="6"/>
  <c r="K183" i="6"/>
  <c r="K178" i="6"/>
  <c r="F191" i="6"/>
  <c r="I191" i="6"/>
  <c r="I27" i="13" l="1"/>
  <c r="J26" i="11"/>
  <c r="I28" i="13"/>
  <c r="J27" i="11"/>
  <c r="G25" i="13"/>
  <c r="G22" i="13" s="1"/>
  <c r="G21" i="11"/>
  <c r="B179" i="6"/>
  <c r="K159" i="6"/>
  <c r="B180" i="6"/>
  <c r="K160" i="6"/>
  <c r="L196" i="6"/>
  <c r="K151" i="6"/>
  <c r="B176" i="6"/>
  <c r="K156" i="6"/>
  <c r="K210" i="6"/>
  <c r="H24" i="11"/>
  <c r="C10" i="23"/>
  <c r="I6" i="14" l="1"/>
  <c r="I24" i="11"/>
  <c r="J24" i="11" s="1"/>
  <c r="L210" i="6"/>
  <c r="B198" i="6"/>
  <c r="K179" i="6"/>
  <c r="H21" i="11"/>
  <c r="J6" i="14" s="1"/>
  <c r="H25" i="13"/>
  <c r="H22" i="13" s="1"/>
  <c r="B196" i="6"/>
  <c r="K176" i="6"/>
  <c r="B199" i="6"/>
  <c r="K180" i="6"/>
  <c r="I21" i="11" l="1"/>
  <c r="J21" i="11" s="1"/>
  <c r="I25" i="13"/>
  <c r="I22" i="13" s="1"/>
  <c r="B34" i="31" l="1"/>
  <c r="K6" i="14"/>
  <c r="B11" i="23"/>
  <c r="F34" i="31" l="1"/>
  <c r="B9" i="31"/>
  <c r="C10" i="6"/>
  <c r="K10" i="6" s="1"/>
  <c r="F9" i="31" l="1"/>
  <c r="B20" i="8"/>
  <c r="B6" i="1" s="1"/>
  <c r="B42" i="1" l="1"/>
  <c r="E42" i="1" s="1"/>
  <c r="B37" i="2" s="1"/>
  <c r="C37" i="2" s="1"/>
  <c r="E37" i="2" s="1"/>
  <c r="F37" i="2" s="1"/>
  <c r="G37" i="2" s="1"/>
  <c r="H37" i="2" s="1"/>
  <c r="I37" i="2" s="1"/>
  <c r="B70" i="8"/>
  <c r="B69" i="8"/>
  <c r="B24" i="1"/>
  <c r="E24" i="1" s="1"/>
  <c r="C11" i="23"/>
  <c r="B14" i="27"/>
  <c r="A11" i="5"/>
  <c r="E5" i="1" l="1"/>
  <c r="B164" i="1"/>
  <c r="B7" i="1"/>
  <c r="E7" i="1" s="1"/>
  <c r="E6" i="1"/>
  <c r="B8" i="1"/>
  <c r="J37" i="2"/>
  <c r="P37" i="2"/>
  <c r="B23" i="2"/>
  <c r="C23" i="2" s="1"/>
  <c r="E23" i="2" s="1"/>
  <c r="B146" i="1"/>
  <c r="B144" i="1" s="1"/>
  <c r="E22" i="1"/>
  <c r="B127" i="1"/>
  <c r="E46" i="1"/>
  <c r="D11" i="5"/>
  <c r="D19" i="5" s="1"/>
  <c r="K18" i="6"/>
  <c r="E202" i="6"/>
  <c r="D39" i="5"/>
  <c r="K37" i="2" l="1"/>
  <c r="Q37" i="2"/>
  <c r="E8" i="1"/>
  <c r="B130" i="1" s="1"/>
  <c r="B7" i="3"/>
  <c r="D16" i="15"/>
  <c r="L16" i="15"/>
  <c r="F16" i="15"/>
  <c r="H16" i="15"/>
  <c r="B16" i="15"/>
  <c r="F23" i="2"/>
  <c r="E21" i="2"/>
  <c r="B17" i="15" s="1"/>
  <c r="B5" i="2"/>
  <c r="C5" i="2" s="1"/>
  <c r="E5" i="2" s="1"/>
  <c r="F5" i="2" s="1"/>
  <c r="B6" i="2"/>
  <c r="C6" i="2" s="1"/>
  <c r="E6" i="2" s="1"/>
  <c r="F6" i="2" s="1"/>
  <c r="B4" i="2"/>
  <c r="C4" i="2" s="1"/>
  <c r="E4" i="2" s="1"/>
  <c r="B168" i="1"/>
  <c r="B162" i="1" s="1"/>
  <c r="B41" i="2"/>
  <c r="C41" i="2" s="1"/>
  <c r="E41" i="2" s="1"/>
  <c r="E40" i="1"/>
  <c r="B8" i="3" s="1"/>
  <c r="B14" i="15" s="1"/>
  <c r="A40" i="5"/>
  <c r="D40" i="5" s="1"/>
  <c r="B98" i="8"/>
  <c r="E210" i="6"/>
  <c r="B10" i="11"/>
  <c r="R37" i="2" l="1"/>
  <c r="L37" i="2"/>
  <c r="S37" i="2" s="1"/>
  <c r="C16" i="15"/>
  <c r="B7" i="2"/>
  <c r="C7" i="2" s="1"/>
  <c r="E7" i="2" s="1"/>
  <c r="F7" i="2" s="1"/>
  <c r="T7" i="2" s="1"/>
  <c r="T23" i="2"/>
  <c r="T21" i="2" s="1"/>
  <c r="G23" i="2"/>
  <c r="F21" i="2"/>
  <c r="B128" i="1"/>
  <c r="B129" i="1"/>
  <c r="G6" i="2"/>
  <c r="H6" i="2" s="1"/>
  <c r="T6" i="2"/>
  <c r="G5" i="2"/>
  <c r="H5" i="2" s="1"/>
  <c r="T5" i="2"/>
  <c r="E4" i="1"/>
  <c r="D12" i="15" s="1"/>
  <c r="F41" i="2"/>
  <c r="E35" i="2"/>
  <c r="B15" i="15" s="1"/>
  <c r="C14" i="15" s="1"/>
  <c r="F4" i="2"/>
  <c r="A41" i="5"/>
  <c r="D41" i="5" s="1"/>
  <c r="D47" i="5" s="1"/>
  <c r="D48" i="5" s="1"/>
  <c r="B11" i="3" s="1"/>
  <c r="B12" i="3" s="1"/>
  <c r="B99" i="8"/>
  <c r="B105" i="8" s="1"/>
  <c r="B19" i="11" s="1"/>
  <c r="B10" i="13"/>
  <c r="B56" i="2" l="1"/>
  <c r="C56" i="2"/>
  <c r="E3" i="2"/>
  <c r="B13" i="15" s="1"/>
  <c r="G7" i="2"/>
  <c r="H7" i="2" s="1"/>
  <c r="H23" i="2"/>
  <c r="G21" i="2"/>
  <c r="D17" i="15" s="1"/>
  <c r="E16" i="15" s="1"/>
  <c r="B126" i="1"/>
  <c r="B183" i="1" s="1"/>
  <c r="D15" i="14" s="1"/>
  <c r="H12" i="15"/>
  <c r="B6" i="3"/>
  <c r="C5" i="3" s="1"/>
  <c r="E61" i="1"/>
  <c r="B12" i="15"/>
  <c r="L12" i="15"/>
  <c r="F12" i="15"/>
  <c r="G41" i="2"/>
  <c r="F35" i="2"/>
  <c r="I5" i="2"/>
  <c r="I6" i="2"/>
  <c r="T4" i="2"/>
  <c r="T3" i="2" s="1"/>
  <c r="T56" i="2" s="1"/>
  <c r="I20" i="11" s="1"/>
  <c r="G4" i="2"/>
  <c r="F3" i="2"/>
  <c r="D9" i="15"/>
  <c r="E8" i="15" s="1"/>
  <c r="B30" i="15"/>
  <c r="C29" i="15" s="1"/>
  <c r="C32" i="15" s="1"/>
  <c r="B19" i="13"/>
  <c r="G3" i="2" l="1"/>
  <c r="E56" i="2"/>
  <c r="C5" i="20" s="1"/>
  <c r="C10" i="3"/>
  <c r="C13" i="3" s="1"/>
  <c r="B4" i="9" s="1"/>
  <c r="D1" i="19" s="1"/>
  <c r="E8" i="19" s="1"/>
  <c r="I23" i="2"/>
  <c r="H21" i="2"/>
  <c r="B12" i="23"/>
  <c r="L5" i="20"/>
  <c r="B5" i="11"/>
  <c r="B40" i="11" s="1"/>
  <c r="C4" i="25" s="1"/>
  <c r="C6" i="25" s="1"/>
  <c r="F56" i="2"/>
  <c r="H41" i="2"/>
  <c r="G35" i="2"/>
  <c r="D15" i="15" s="1"/>
  <c r="E14" i="15" s="1"/>
  <c r="K16" i="14"/>
  <c r="J6" i="2"/>
  <c r="P6" i="2"/>
  <c r="D16" i="14"/>
  <c r="B20" i="13"/>
  <c r="B5" i="13" s="1"/>
  <c r="D13" i="15"/>
  <c r="E12" i="15" s="1"/>
  <c r="C12" i="15"/>
  <c r="C11" i="15" s="1"/>
  <c r="C20" i="15" s="1"/>
  <c r="J5" i="2"/>
  <c r="P5" i="2"/>
  <c r="I7" i="2"/>
  <c r="H4" i="2"/>
  <c r="D5" i="14" l="1"/>
  <c r="B3" i="9"/>
  <c r="B5" i="9" s="1"/>
  <c r="C15" i="14"/>
  <c r="C20" i="14" s="1"/>
  <c r="C4" i="17" s="1"/>
  <c r="P23" i="2"/>
  <c r="P21" i="2" s="1"/>
  <c r="J23" i="2"/>
  <c r="I21" i="2"/>
  <c r="F17" i="15" s="1"/>
  <c r="G16" i="15" s="1"/>
  <c r="C45" i="31"/>
  <c r="B8" i="19"/>
  <c r="C8" i="19" s="1"/>
  <c r="F8" i="19" s="1"/>
  <c r="B50" i="11"/>
  <c r="I41" i="2"/>
  <c r="H35" i="2"/>
  <c r="E11" i="15"/>
  <c r="E20" i="15" s="1"/>
  <c r="G56" i="2"/>
  <c r="Q5" i="2"/>
  <c r="K5" i="2"/>
  <c r="H3" i="2"/>
  <c r="I4" i="2"/>
  <c r="C12" i="23"/>
  <c r="B15" i="23"/>
  <c r="B23" i="23" s="1"/>
  <c r="C23" i="23" s="1"/>
  <c r="P7" i="2"/>
  <c r="J7" i="2"/>
  <c r="Q6" i="2"/>
  <c r="K6" i="2"/>
  <c r="E12" i="19"/>
  <c r="E15" i="19"/>
  <c r="E28" i="19"/>
  <c r="E9" i="19"/>
  <c r="E24" i="19"/>
  <c r="E11" i="19"/>
  <c r="E17" i="19"/>
  <c r="E22" i="19"/>
  <c r="E13" i="19"/>
  <c r="E25" i="19"/>
  <c r="E19" i="19"/>
  <c r="E23" i="19"/>
  <c r="E16" i="19"/>
  <c r="E29" i="19"/>
  <c r="E18" i="19"/>
  <c r="E31" i="19"/>
  <c r="E10" i="19"/>
  <c r="E14" i="19"/>
  <c r="E20" i="19"/>
  <c r="E27" i="19"/>
  <c r="E26" i="19"/>
  <c r="E21" i="19"/>
  <c r="E30" i="19"/>
  <c r="C12" i="16" l="1"/>
  <c r="B7" i="20" s="1"/>
  <c r="B8" i="20" s="1"/>
  <c r="B61" i="11"/>
  <c r="B95" i="11" s="1"/>
  <c r="Q23" i="2"/>
  <c r="Q21" i="2" s="1"/>
  <c r="K23" i="2"/>
  <c r="J21" i="2"/>
  <c r="B62" i="11"/>
  <c r="B100" i="11"/>
  <c r="B68" i="11"/>
  <c r="B102" i="11" s="1"/>
  <c r="B66" i="11"/>
  <c r="B56" i="11"/>
  <c r="B74" i="11"/>
  <c r="B47" i="11"/>
  <c r="B88" i="11" s="1"/>
  <c r="B51" i="11"/>
  <c r="B67" i="11"/>
  <c r="B101" i="11" s="1"/>
  <c r="B80" i="11"/>
  <c r="B114" i="11" s="1"/>
  <c r="B113" i="11" s="1"/>
  <c r="B55" i="11"/>
  <c r="B53" i="11"/>
  <c r="B89" i="11" s="1"/>
  <c r="B73" i="11"/>
  <c r="B107" i="11" s="1"/>
  <c r="B69" i="11"/>
  <c r="B103" i="11" s="1"/>
  <c r="B76" i="11"/>
  <c r="B75" i="11"/>
  <c r="B109" i="11" s="1"/>
  <c r="B108" i="11" s="1"/>
  <c r="B46" i="11"/>
  <c r="B59" i="11"/>
  <c r="B54" i="11"/>
  <c r="B90" i="11" s="1"/>
  <c r="B64" i="11"/>
  <c r="B98" i="11" s="1"/>
  <c r="B79" i="11"/>
  <c r="B65" i="11"/>
  <c r="B99" i="11" s="1"/>
  <c r="B77" i="11"/>
  <c r="B111" i="11" s="1"/>
  <c r="B71" i="11"/>
  <c r="B105" i="11" s="1"/>
  <c r="B78" i="11"/>
  <c r="B112" i="11" s="1"/>
  <c r="B60" i="11"/>
  <c r="B94" i="11" s="1"/>
  <c r="B57" i="11"/>
  <c r="B48" i="11"/>
  <c r="B70" i="11"/>
  <c r="B104" i="11" s="1"/>
  <c r="B72" i="11"/>
  <c r="B106" i="11" s="1"/>
  <c r="B49" i="11"/>
  <c r="B63" i="11"/>
  <c r="B97" i="11" s="1"/>
  <c r="B58" i="11"/>
  <c r="B52" i="11"/>
  <c r="H56" i="2"/>
  <c r="J41" i="2"/>
  <c r="P41" i="2"/>
  <c r="P35" i="2" s="1"/>
  <c r="I35" i="2"/>
  <c r="F15" i="15" s="1"/>
  <c r="G14" i="15" s="1"/>
  <c r="I3" i="2"/>
  <c r="J4" i="2"/>
  <c r="P4" i="2"/>
  <c r="P3" i="2" s="1"/>
  <c r="Q7" i="2"/>
  <c r="K7" i="2"/>
  <c r="C15" i="23"/>
  <c r="L5" i="2"/>
  <c r="S5" i="2" s="1"/>
  <c r="R5" i="2"/>
  <c r="L6" i="2"/>
  <c r="S6" i="2" s="1"/>
  <c r="R6" i="2"/>
  <c r="D8" i="19"/>
  <c r="L23" i="2" l="1"/>
  <c r="R23" i="2"/>
  <c r="R21" i="2" s="1"/>
  <c r="K21" i="2"/>
  <c r="H17" i="15" s="1"/>
  <c r="I16" i="15" s="1"/>
  <c r="B81" i="11"/>
  <c r="B110" i="11"/>
  <c r="B96" i="11"/>
  <c r="P56" i="2"/>
  <c r="E20" i="11" s="1"/>
  <c r="K41" i="2"/>
  <c r="Q41" i="2"/>
  <c r="Q35" i="2" s="1"/>
  <c r="J35" i="2"/>
  <c r="Q4" i="2"/>
  <c r="Q3" i="2" s="1"/>
  <c r="K4" i="2"/>
  <c r="J3" i="2"/>
  <c r="L7" i="2"/>
  <c r="S7" i="2" s="1"/>
  <c r="R7" i="2"/>
  <c r="F13" i="15"/>
  <c r="G12" i="15" s="1"/>
  <c r="G11" i="15" s="1"/>
  <c r="I56" i="2"/>
  <c r="B9" i="19"/>
  <c r="S23" i="2" l="1"/>
  <c r="S21" i="2" s="1"/>
  <c r="L21" i="2"/>
  <c r="L17" i="15" s="1"/>
  <c r="M16" i="15" s="1"/>
  <c r="F5" i="20"/>
  <c r="H5" i="20"/>
  <c r="G20" i="13"/>
  <c r="G16" i="14"/>
  <c r="Q56" i="2"/>
  <c r="F20" i="11" s="1"/>
  <c r="J56" i="2"/>
  <c r="L41" i="2"/>
  <c r="R41" i="2"/>
  <c r="R35" i="2" s="1"/>
  <c r="K35" i="2"/>
  <c r="K3" i="2"/>
  <c r="L4" i="2"/>
  <c r="R4" i="2"/>
  <c r="R3" i="2" s="1"/>
  <c r="C9" i="19"/>
  <c r="I5" i="20" l="1"/>
  <c r="G5" i="20"/>
  <c r="H20" i="13"/>
  <c r="H16" i="14"/>
  <c r="S41" i="2"/>
  <c r="S35" i="2" s="1"/>
  <c r="L35" i="2"/>
  <c r="R56" i="2"/>
  <c r="G20" i="11" s="1"/>
  <c r="H13" i="15"/>
  <c r="I12" i="15" s="1"/>
  <c r="I11" i="15" s="1"/>
  <c r="K56" i="2"/>
  <c r="L3" i="2"/>
  <c r="S4" i="2"/>
  <c r="S3" i="2" s="1"/>
  <c r="D9" i="19"/>
  <c r="F9" i="19"/>
  <c r="I20" i="13" l="1"/>
  <c r="J5" i="20"/>
  <c r="S56" i="2"/>
  <c r="H20" i="11" s="1"/>
  <c r="I16" i="14"/>
  <c r="L13" i="15"/>
  <c r="M12" i="15" s="1"/>
  <c r="M11" i="15" s="1"/>
  <c r="L56" i="2"/>
  <c r="B10" i="19"/>
  <c r="J16" i="14" l="1"/>
  <c r="K5" i="20"/>
  <c r="C10" i="19"/>
  <c r="D10" i="19" l="1"/>
  <c r="F10" i="19"/>
  <c r="B11" i="19" l="1"/>
  <c r="C11" i="19" l="1"/>
  <c r="D11" i="19" l="1"/>
  <c r="F11" i="19"/>
  <c r="B12" i="19" l="1"/>
  <c r="C12" i="19" l="1"/>
  <c r="D12" i="19" l="1"/>
  <c r="F12" i="19"/>
  <c r="B13" i="19" l="1"/>
  <c r="C13" i="19" l="1"/>
  <c r="D13" i="19" l="1"/>
  <c r="B14" i="19" s="1"/>
  <c r="F13" i="19"/>
  <c r="C14" i="19" l="1"/>
  <c r="D14" i="19" s="1"/>
  <c r="B15" i="19" s="1"/>
  <c r="C15" i="19" l="1"/>
  <c r="D15" i="19" s="1"/>
  <c r="B16" i="19" s="1"/>
  <c r="F14" i="19"/>
  <c r="F15" i="19" l="1"/>
  <c r="C16" i="19"/>
  <c r="D16" i="19" s="1"/>
  <c r="B17" i="19" s="1"/>
  <c r="C17" i="19" l="1"/>
  <c r="D17" i="19" s="1"/>
  <c r="B18" i="19" s="1"/>
  <c r="F16" i="19"/>
  <c r="F17" i="19" l="1"/>
  <c r="C18" i="19"/>
  <c r="D18" i="19" s="1"/>
  <c r="B19" i="19" s="1"/>
  <c r="C19" i="19" l="1"/>
  <c r="D19" i="19" s="1"/>
  <c r="B26" i="15" s="1"/>
  <c r="C25" i="15" s="1"/>
  <c r="C28" i="15" s="1"/>
  <c r="C33" i="15" s="1"/>
  <c r="B36" i="15" s="1"/>
  <c r="F18" i="19"/>
  <c r="F19" i="19" l="1"/>
  <c r="B20" i="19"/>
  <c r="C20" i="19" l="1"/>
  <c r="D20" i="19" s="1"/>
  <c r="B21" i="19" s="1"/>
  <c r="F20" i="19" l="1"/>
  <c r="C21" i="19"/>
  <c r="D21" i="19" s="1"/>
  <c r="B22" i="19" s="1"/>
  <c r="C22" i="19" l="1"/>
  <c r="D22" i="19" s="1"/>
  <c r="B23" i="19" s="1"/>
  <c r="F21" i="19"/>
  <c r="F22" i="19" l="1"/>
  <c r="C23" i="19"/>
  <c r="D23" i="19" s="1"/>
  <c r="B24" i="19" s="1"/>
  <c r="C24" i="19" l="1"/>
  <c r="D24" i="19" s="1"/>
  <c r="B25" i="19" s="1"/>
  <c r="F23" i="19"/>
  <c r="F24" i="19" l="1"/>
  <c r="C25" i="19"/>
  <c r="D25" i="19" s="1"/>
  <c r="B26" i="19" s="1"/>
  <c r="C26" i="19" l="1"/>
  <c r="D26" i="19" s="1"/>
  <c r="B27" i="19" s="1"/>
  <c r="F25" i="19"/>
  <c r="F26" i="19" l="1"/>
  <c r="C27" i="19"/>
  <c r="D27" i="19" s="1"/>
  <c r="B28" i="19" s="1"/>
  <c r="F27" i="19" l="1"/>
  <c r="C28" i="19"/>
  <c r="D28" i="19" s="1"/>
  <c r="B29" i="19" s="1"/>
  <c r="C29" i="19" l="1"/>
  <c r="D29" i="19" s="1"/>
  <c r="B30" i="19" s="1"/>
  <c r="F28" i="19"/>
  <c r="F29" i="19" l="1"/>
  <c r="C30" i="19"/>
  <c r="D30" i="19" s="1"/>
  <c r="B31" i="19" s="1"/>
  <c r="C31" i="19" s="1"/>
  <c r="D31" i="19" s="1"/>
  <c r="F30" i="19" l="1"/>
  <c r="F31" i="19" s="1"/>
  <c r="C16" i="8" l="1"/>
  <c r="C18" i="8"/>
  <c r="C32" i="6" s="1"/>
  <c r="C15" i="8"/>
  <c r="K32" i="6" l="1"/>
  <c r="F205" i="6" s="1"/>
  <c r="C13" i="11" s="1"/>
  <c r="C94" i="8"/>
  <c r="C86" i="8"/>
  <c r="C30" i="6"/>
  <c r="C95" i="8"/>
  <c r="C87" i="8"/>
  <c r="C29" i="6"/>
  <c r="K29" i="6" s="1"/>
  <c r="C20" i="8"/>
  <c r="C86" i="1" l="1"/>
  <c r="C146" i="1" s="1"/>
  <c r="J13" i="11"/>
  <c r="C13" i="13"/>
  <c r="K30" i="6"/>
  <c r="K37" i="6" s="1"/>
  <c r="D146" i="1"/>
  <c r="C70" i="8"/>
  <c r="C69" i="8"/>
  <c r="C164" i="1"/>
  <c r="N28" i="2" s="1"/>
  <c r="D99" i="8"/>
  <c r="C14" i="27"/>
  <c r="F202" i="6"/>
  <c r="F203" i="6" l="1"/>
  <c r="F210" i="6" s="1"/>
  <c r="D68" i="1"/>
  <c r="D127" i="1"/>
  <c r="D168" i="1"/>
  <c r="D164" i="1"/>
  <c r="O28" i="2" s="1"/>
  <c r="C68" i="1"/>
  <c r="C127" i="1"/>
  <c r="D144" i="1"/>
  <c r="O23" i="2"/>
  <c r="C144" i="1"/>
  <c r="N23" i="2"/>
  <c r="C10" i="11"/>
  <c r="J10" i="11" s="1"/>
  <c r="C11" i="11" l="1"/>
  <c r="E236" i="6"/>
  <c r="E238" i="6" s="1"/>
  <c r="C5" i="28" s="1"/>
  <c r="C69" i="1"/>
  <c r="C128" i="1"/>
  <c r="N5" i="2" s="1"/>
  <c r="D69" i="1"/>
  <c r="D128" i="1"/>
  <c r="O5" i="2" s="1"/>
  <c r="C168" i="1"/>
  <c r="O4" i="2"/>
  <c r="O37" i="2"/>
  <c r="N4" i="2"/>
  <c r="N37" i="2"/>
  <c r="C98" i="8"/>
  <c r="C99" i="8"/>
  <c r="C10" i="13"/>
  <c r="D98" i="8"/>
  <c r="J11" i="11" l="1"/>
  <c r="L10" i="11" s="1"/>
  <c r="B35" i="31" s="1"/>
  <c r="F35" i="31" s="1"/>
  <c r="C11" i="13"/>
  <c r="D70" i="1"/>
  <c r="D130" i="1" s="1"/>
  <c r="O7" i="2" s="1"/>
  <c r="D129" i="1"/>
  <c r="O6" i="2" s="1"/>
  <c r="C70" i="1"/>
  <c r="C130" i="1" s="1"/>
  <c r="N7" i="2" s="1"/>
  <c r="C129" i="1"/>
  <c r="N6" i="2" s="1"/>
  <c r="N41" i="2"/>
  <c r="N35" i="2" s="1"/>
  <c r="O41" i="2"/>
  <c r="O35" i="2" s="1"/>
  <c r="D162" i="1"/>
  <c r="C162" i="1"/>
  <c r="C105" i="8"/>
  <c r="F9" i="15" s="1"/>
  <c r="G8" i="15" s="1"/>
  <c r="G20" i="15" s="1"/>
  <c r="D105" i="8"/>
  <c r="H9" i="15" s="1"/>
  <c r="I8" i="15" s="1"/>
  <c r="I20" i="15" s="1"/>
  <c r="B10" i="31" l="1"/>
  <c r="F10" i="31" s="1"/>
  <c r="O3" i="2"/>
  <c r="N3" i="2"/>
  <c r="D126" i="1"/>
  <c r="D183" i="1" s="1"/>
  <c r="F15" i="14" s="1"/>
  <c r="C126" i="1"/>
  <c r="C183" i="1" s="1"/>
  <c r="N21" i="2"/>
  <c r="O21" i="2"/>
  <c r="C19" i="11"/>
  <c r="E98" i="8"/>
  <c r="E99" i="8"/>
  <c r="D19" i="11"/>
  <c r="F98" i="8"/>
  <c r="N56" i="2" l="1"/>
  <c r="C20" i="11" s="1"/>
  <c r="D5" i="20" s="1"/>
  <c r="O56" i="2"/>
  <c r="D20" i="11" s="1"/>
  <c r="E5" i="20" s="1"/>
  <c r="E15" i="14"/>
  <c r="D19" i="13"/>
  <c r="C19" i="13"/>
  <c r="E105" i="8"/>
  <c r="L9" i="15" s="1"/>
  <c r="M8" i="15" s="1"/>
  <c r="M20" i="15" s="1"/>
  <c r="F105" i="8"/>
  <c r="F19" i="11" s="1"/>
  <c r="C5" i="11" l="1"/>
  <c r="E5" i="14" s="1"/>
  <c r="E16" i="14"/>
  <c r="E20" i="13"/>
  <c r="C20" i="13"/>
  <c r="C5" i="13" s="1"/>
  <c r="D5" i="11"/>
  <c r="F5" i="14" s="1"/>
  <c r="J20" i="11"/>
  <c r="B38" i="31" s="1"/>
  <c r="F16" i="14"/>
  <c r="D20" i="13"/>
  <c r="D5" i="13" s="1"/>
  <c r="F20" i="13"/>
  <c r="E19" i="11"/>
  <c r="G98" i="8"/>
  <c r="G99" i="8"/>
  <c r="F5" i="11"/>
  <c r="F19" i="13"/>
  <c r="H98" i="8"/>
  <c r="C40" i="11" l="1"/>
  <c r="C50" i="11" s="1"/>
  <c r="F5" i="13"/>
  <c r="D40" i="11"/>
  <c r="D61" i="11" s="1"/>
  <c r="D95" i="11" s="1"/>
  <c r="F38" i="31"/>
  <c r="B13" i="31"/>
  <c r="F13" i="31" s="1"/>
  <c r="D100" i="11"/>
  <c r="C100" i="11"/>
  <c r="G105" i="8"/>
  <c r="E5" i="11"/>
  <c r="E19" i="13"/>
  <c r="E5" i="13" s="1"/>
  <c r="H5" i="14"/>
  <c r="F40" i="11"/>
  <c r="H105" i="8"/>
  <c r="H19" i="11" s="1"/>
  <c r="C72" i="11" l="1"/>
  <c r="C106" i="11" s="1"/>
  <c r="C58" i="11"/>
  <c r="C68" i="11"/>
  <c r="C102" i="11" s="1"/>
  <c r="C70" i="11"/>
  <c r="C104" i="11" s="1"/>
  <c r="C47" i="11"/>
  <c r="C88" i="11" s="1"/>
  <c r="C63" i="11"/>
  <c r="C97" i="11" s="1"/>
  <c r="C71" i="11"/>
  <c r="C105" i="11" s="1"/>
  <c r="C80" i="11"/>
  <c r="C114" i="11" s="1"/>
  <c r="C113" i="11" s="1"/>
  <c r="C62" i="11"/>
  <c r="C61" i="11"/>
  <c r="C95" i="11" s="1"/>
  <c r="C74" i="11"/>
  <c r="C52" i="11"/>
  <c r="C56" i="11"/>
  <c r="D4" i="25"/>
  <c r="D6" i="25" s="1"/>
  <c r="C75" i="11"/>
  <c r="C109" i="11" s="1"/>
  <c r="C108" i="11" s="1"/>
  <c r="C46" i="11"/>
  <c r="C54" i="11"/>
  <c r="C90" i="11" s="1"/>
  <c r="C48" i="11"/>
  <c r="C55" i="11"/>
  <c r="C65" i="11"/>
  <c r="C99" i="11" s="1"/>
  <c r="C53" i="11"/>
  <c r="C89" i="11" s="1"/>
  <c r="C64" i="11"/>
  <c r="C98" i="11" s="1"/>
  <c r="C79" i="11"/>
  <c r="C73" i="11"/>
  <c r="C107" i="11" s="1"/>
  <c r="C76" i="11"/>
  <c r="C51" i="11"/>
  <c r="C57" i="11"/>
  <c r="C77" i="11"/>
  <c r="C111" i="11" s="1"/>
  <c r="C60" i="11"/>
  <c r="C94" i="11" s="1"/>
  <c r="C69" i="11"/>
  <c r="C103" i="11" s="1"/>
  <c r="C59" i="11"/>
  <c r="C49" i="11"/>
  <c r="C67" i="11"/>
  <c r="C101" i="11" s="1"/>
  <c r="C78" i="11"/>
  <c r="C112" i="11" s="1"/>
  <c r="C66" i="11"/>
  <c r="D48" i="11"/>
  <c r="D53" i="11"/>
  <c r="D89" i="11" s="1"/>
  <c r="D66" i="11"/>
  <c r="D62" i="11"/>
  <c r="D54" i="11"/>
  <c r="D90" i="11" s="1"/>
  <c r="D69" i="11"/>
  <c r="D103" i="11" s="1"/>
  <c r="D72" i="11"/>
  <c r="D106" i="11" s="1"/>
  <c r="E4" i="25"/>
  <c r="E6" i="25" s="1"/>
  <c r="D57" i="11"/>
  <c r="D79" i="11"/>
  <c r="D63" i="11"/>
  <c r="D97" i="11" s="1"/>
  <c r="D68" i="11"/>
  <c r="D102" i="11" s="1"/>
  <c r="D49" i="11"/>
  <c r="D64" i="11"/>
  <c r="D98" i="11" s="1"/>
  <c r="D75" i="11"/>
  <c r="D109" i="11" s="1"/>
  <c r="D108" i="11" s="1"/>
  <c r="D55" i="11"/>
  <c r="D76" i="11"/>
  <c r="D47" i="11"/>
  <c r="D88" i="11" s="1"/>
  <c r="D52" i="11"/>
  <c r="D77" i="11"/>
  <c r="D111" i="11" s="1"/>
  <c r="D46" i="11"/>
  <c r="D59" i="11"/>
  <c r="D60" i="11"/>
  <c r="D94" i="11" s="1"/>
  <c r="D56" i="11"/>
  <c r="D71" i="11"/>
  <c r="D105" i="11" s="1"/>
  <c r="D78" i="11"/>
  <c r="D112" i="11" s="1"/>
  <c r="D58" i="11"/>
  <c r="D80" i="11"/>
  <c r="D114" i="11" s="1"/>
  <c r="D113" i="11" s="1"/>
  <c r="D73" i="11"/>
  <c r="D107" i="11" s="1"/>
  <c r="D74" i="11"/>
  <c r="D67" i="11"/>
  <c r="D101" i="11" s="1"/>
  <c r="D51" i="11"/>
  <c r="D65" i="11"/>
  <c r="D99" i="11" s="1"/>
  <c r="D70" i="11"/>
  <c r="D104" i="11" s="1"/>
  <c r="D50" i="11"/>
  <c r="F46" i="11"/>
  <c r="F50" i="11"/>
  <c r="G19" i="11"/>
  <c r="G5" i="11" s="1"/>
  <c r="I5" i="14" s="1"/>
  <c r="E40" i="11"/>
  <c r="E50" i="11" s="1"/>
  <c r="G5" i="14"/>
  <c r="I98" i="8"/>
  <c r="I99" i="8"/>
  <c r="H5" i="11"/>
  <c r="H19" i="13"/>
  <c r="H5" i="13" s="1"/>
  <c r="F48" i="11"/>
  <c r="F79" i="11"/>
  <c r="F55" i="11"/>
  <c r="F58" i="11"/>
  <c r="F53" i="11"/>
  <c r="F89" i="11" s="1"/>
  <c r="F72" i="11"/>
  <c r="F106" i="11" s="1"/>
  <c r="G4" i="25"/>
  <c r="G6" i="25" s="1"/>
  <c r="F80" i="11"/>
  <c r="F114" i="11" s="1"/>
  <c r="F113" i="11" s="1"/>
  <c r="F77" i="11"/>
  <c r="F111" i="11" s="1"/>
  <c r="F59" i="11"/>
  <c r="F52" i="11"/>
  <c r="F66" i="11"/>
  <c r="F51" i="11"/>
  <c r="F68" i="11"/>
  <c r="F102" i="11" s="1"/>
  <c r="F70" i="11"/>
  <c r="F104" i="11" s="1"/>
  <c r="F74" i="11"/>
  <c r="F56" i="11"/>
  <c r="F69" i="11"/>
  <c r="F103" i="11" s="1"/>
  <c r="F54" i="11"/>
  <c r="F90" i="11" s="1"/>
  <c r="F75" i="11"/>
  <c r="F109" i="11" s="1"/>
  <c r="F108" i="11" s="1"/>
  <c r="F65" i="11"/>
  <c r="F99" i="11" s="1"/>
  <c r="F71" i="11"/>
  <c r="F105" i="11" s="1"/>
  <c r="F49" i="11"/>
  <c r="F62" i="11"/>
  <c r="F57" i="11"/>
  <c r="F76" i="11"/>
  <c r="F67" i="11"/>
  <c r="F101" i="11" s="1"/>
  <c r="F73" i="11"/>
  <c r="F107" i="11" s="1"/>
  <c r="F63" i="11"/>
  <c r="F97" i="11" s="1"/>
  <c r="F64" i="11"/>
  <c r="F98" i="11" s="1"/>
  <c r="F78" i="11"/>
  <c r="F112" i="11" s="1"/>
  <c r="F61" i="11"/>
  <c r="F95" i="11" s="1"/>
  <c r="F100" i="11"/>
  <c r="F47" i="11"/>
  <c r="F60" i="11"/>
  <c r="F94" i="11" s="1"/>
  <c r="C110" i="11" l="1"/>
  <c r="C96" i="11"/>
  <c r="C81" i="11"/>
  <c r="D96" i="11"/>
  <c r="D110" i="11"/>
  <c r="D81" i="11"/>
  <c r="G19" i="13"/>
  <c r="G5" i="13" s="1"/>
  <c r="G40" i="11"/>
  <c r="I105" i="8"/>
  <c r="B42" i="31" s="1"/>
  <c r="E46" i="11"/>
  <c r="E49" i="11"/>
  <c r="E68" i="11"/>
  <c r="E102" i="11" s="1"/>
  <c r="E64" i="11"/>
  <c r="E98" i="11" s="1"/>
  <c r="E69" i="11"/>
  <c r="E103" i="11" s="1"/>
  <c r="E59" i="11"/>
  <c r="E71" i="11"/>
  <c r="E105" i="11" s="1"/>
  <c r="E75" i="11"/>
  <c r="E109" i="11" s="1"/>
  <c r="E108" i="11" s="1"/>
  <c r="E47" i="11"/>
  <c r="E56" i="11"/>
  <c r="E55" i="11"/>
  <c r="E65" i="11"/>
  <c r="E99" i="11" s="1"/>
  <c r="E61" i="11"/>
  <c r="E95" i="11" s="1"/>
  <c r="E72" i="11"/>
  <c r="E106" i="11" s="1"/>
  <c r="E74" i="11"/>
  <c r="E66" i="11"/>
  <c r="E54" i="11"/>
  <c r="E90" i="11" s="1"/>
  <c r="E57" i="11"/>
  <c r="F4" i="25"/>
  <c r="F6" i="25" s="1"/>
  <c r="E62" i="11"/>
  <c r="E53" i="11"/>
  <c r="E89" i="11" s="1"/>
  <c r="E67" i="11"/>
  <c r="E101" i="11" s="1"/>
  <c r="E79" i="11"/>
  <c r="E58" i="11"/>
  <c r="E76" i="11"/>
  <c r="E100" i="11"/>
  <c r="E52" i="11"/>
  <c r="E51" i="11"/>
  <c r="E78" i="11"/>
  <c r="E112" i="11" s="1"/>
  <c r="E70" i="11"/>
  <c r="E104" i="11" s="1"/>
  <c r="E63" i="11"/>
  <c r="E97" i="11" s="1"/>
  <c r="E60" i="11"/>
  <c r="E94" i="11" s="1"/>
  <c r="E48" i="11"/>
  <c r="E73" i="11"/>
  <c r="E107" i="11" s="1"/>
  <c r="E77" i="11"/>
  <c r="E111" i="11" s="1"/>
  <c r="E80" i="11"/>
  <c r="E114" i="11" s="1"/>
  <c r="E113" i="11" s="1"/>
  <c r="F81" i="11"/>
  <c r="F88" i="11"/>
  <c r="J5" i="14"/>
  <c r="H40" i="11"/>
  <c r="F96" i="11"/>
  <c r="F110" i="11"/>
  <c r="F42" i="31" l="1"/>
  <c r="B17" i="31"/>
  <c r="F17" i="31" s="1"/>
  <c r="F19" i="31" s="1"/>
  <c r="H46" i="11"/>
  <c r="H50" i="11"/>
  <c r="G49" i="11"/>
  <c r="G50" i="11"/>
  <c r="G55" i="11"/>
  <c r="G80" i="11"/>
  <c r="G114" i="11" s="1"/>
  <c r="G113" i="11" s="1"/>
  <c r="G78" i="11"/>
  <c r="G112" i="11" s="1"/>
  <c r="G63" i="11"/>
  <c r="G97" i="11" s="1"/>
  <c r="G100" i="11"/>
  <c r="H4" i="25"/>
  <c r="H6" i="25" s="1"/>
  <c r="G57" i="11"/>
  <c r="G77" i="11"/>
  <c r="G111" i="11" s="1"/>
  <c r="G66" i="11"/>
  <c r="G52" i="11"/>
  <c r="G69" i="11"/>
  <c r="G103" i="11" s="1"/>
  <c r="G51" i="11"/>
  <c r="G65" i="11"/>
  <c r="G99" i="11" s="1"/>
  <c r="G72" i="11"/>
  <c r="G106" i="11" s="1"/>
  <c r="G68" i="11"/>
  <c r="G102" i="11" s="1"/>
  <c r="G64" i="11"/>
  <c r="G98" i="11" s="1"/>
  <c r="G73" i="11"/>
  <c r="G107" i="11" s="1"/>
  <c r="G53" i="11"/>
  <c r="G89" i="11" s="1"/>
  <c r="G79" i="11"/>
  <c r="G70" i="11"/>
  <c r="G104" i="11" s="1"/>
  <c r="G74" i="11"/>
  <c r="G59" i="11"/>
  <c r="G60" i="11"/>
  <c r="G94" i="11" s="1"/>
  <c r="G76" i="11"/>
  <c r="G67" i="11"/>
  <c r="G101" i="11" s="1"/>
  <c r="G56" i="11"/>
  <c r="G47" i="11"/>
  <c r="G88" i="11" s="1"/>
  <c r="G46" i="11"/>
  <c r="G61" i="11"/>
  <c r="G95" i="11" s="1"/>
  <c r="G62" i="11"/>
  <c r="G75" i="11"/>
  <c r="G109" i="11" s="1"/>
  <c r="G108" i="11" s="1"/>
  <c r="G58" i="11"/>
  <c r="G54" i="11"/>
  <c r="G90" i="11" s="1"/>
  <c r="G71" i="11"/>
  <c r="G105" i="11" s="1"/>
  <c r="G48" i="11"/>
  <c r="I19" i="11"/>
  <c r="J19" i="11" s="1"/>
  <c r="B36" i="31" s="1"/>
  <c r="F41" i="31"/>
  <c r="E81" i="11"/>
  <c r="E88" i="11"/>
  <c r="E110" i="11"/>
  <c r="E96" i="11"/>
  <c r="H56" i="11"/>
  <c r="H51" i="11"/>
  <c r="H57" i="11"/>
  <c r="H55" i="11"/>
  <c r="H74" i="11"/>
  <c r="H52" i="11"/>
  <c r="H67" i="11"/>
  <c r="H101" i="11" s="1"/>
  <c r="H58" i="11"/>
  <c r="H79" i="11"/>
  <c r="H53" i="11"/>
  <c r="H89" i="11" s="1"/>
  <c r="H68" i="11"/>
  <c r="H102" i="11" s="1"/>
  <c r="H66" i="11"/>
  <c r="H73" i="11"/>
  <c r="H107" i="11" s="1"/>
  <c r="H48" i="11"/>
  <c r="H76" i="11"/>
  <c r="H62" i="11"/>
  <c r="H59" i="11"/>
  <c r="H49" i="11"/>
  <c r="I4" i="25"/>
  <c r="I6" i="25" s="1"/>
  <c r="H75" i="11"/>
  <c r="H109" i="11" s="1"/>
  <c r="H108" i="11" s="1"/>
  <c r="H80" i="11"/>
  <c r="H114" i="11" s="1"/>
  <c r="H113" i="11" s="1"/>
  <c r="H65" i="11"/>
  <c r="H99" i="11" s="1"/>
  <c r="H100" i="11"/>
  <c r="H69" i="11"/>
  <c r="H103" i="11" s="1"/>
  <c r="H61" i="11"/>
  <c r="H95" i="11" s="1"/>
  <c r="H78" i="11"/>
  <c r="H112" i="11" s="1"/>
  <c r="H70" i="11"/>
  <c r="H104" i="11" s="1"/>
  <c r="H63" i="11"/>
  <c r="H97" i="11" s="1"/>
  <c r="H64" i="11"/>
  <c r="H98" i="11" s="1"/>
  <c r="H77" i="11"/>
  <c r="H111" i="11" s="1"/>
  <c r="H54" i="11"/>
  <c r="H90" i="11" s="1"/>
  <c r="H72" i="11"/>
  <c r="H106" i="11" s="1"/>
  <c r="H47" i="11"/>
  <c r="H71" i="11"/>
  <c r="H105" i="11" s="1"/>
  <c r="H60" i="11"/>
  <c r="H94" i="11" s="1"/>
  <c r="F44" i="31" l="1"/>
  <c r="F36" i="31"/>
  <c r="B11" i="31"/>
  <c r="G110" i="11"/>
  <c r="I5" i="11"/>
  <c r="I40" i="11" s="1"/>
  <c r="B6" i="23"/>
  <c r="G96" i="11"/>
  <c r="I19" i="13"/>
  <c r="I5" i="13" s="1"/>
  <c r="G81" i="11"/>
  <c r="H110" i="11"/>
  <c r="H81" i="11"/>
  <c r="H88" i="11"/>
  <c r="H96" i="11"/>
  <c r="F11" i="31" l="1"/>
  <c r="I50" i="11"/>
  <c r="J5" i="11"/>
  <c r="K5" i="14"/>
  <c r="I60" i="11"/>
  <c r="I94" i="11" s="1"/>
  <c r="I46" i="11"/>
  <c r="I63" i="11"/>
  <c r="I97" i="11" s="1"/>
  <c r="I62" i="11"/>
  <c r="I47" i="11"/>
  <c r="I88" i="11" s="1"/>
  <c r="I56" i="11"/>
  <c r="I57" i="11"/>
  <c r="I49" i="11"/>
  <c r="I53" i="11"/>
  <c r="I89" i="11" s="1"/>
  <c r="I54" i="11"/>
  <c r="I90" i="11" s="1"/>
  <c r="I68" i="11"/>
  <c r="I102" i="11" s="1"/>
  <c r="I55" i="11"/>
  <c r="I80" i="11"/>
  <c r="I114" i="11" s="1"/>
  <c r="I113" i="11" s="1"/>
  <c r="I67" i="11"/>
  <c r="I101" i="11" s="1"/>
  <c r="I70" i="11"/>
  <c r="I104" i="11" s="1"/>
  <c r="I79" i="11"/>
  <c r="I72" i="11"/>
  <c r="I106" i="11" s="1"/>
  <c r="I69" i="11"/>
  <c r="I103" i="11" s="1"/>
  <c r="I77" i="11"/>
  <c r="I111" i="11" s="1"/>
  <c r="I64" i="11"/>
  <c r="I98" i="11" s="1"/>
  <c r="I58" i="11"/>
  <c r="I52" i="11"/>
  <c r="I78" i="11"/>
  <c r="I112" i="11" s="1"/>
  <c r="I48" i="11"/>
  <c r="I71" i="11"/>
  <c r="I105" i="11" s="1"/>
  <c r="I74" i="11"/>
  <c r="J4" i="25"/>
  <c r="J6" i="25" s="1"/>
  <c r="C7" i="25" s="1"/>
  <c r="I75" i="11"/>
  <c r="I109" i="11" s="1"/>
  <c r="I108" i="11" s="1"/>
  <c r="I65" i="11"/>
  <c r="I99" i="11" s="1"/>
  <c r="I73" i="11"/>
  <c r="I107" i="11" s="1"/>
  <c r="I100" i="11"/>
  <c r="I51" i="11"/>
  <c r="I59" i="11"/>
  <c r="I66" i="11"/>
  <c r="I76" i="11"/>
  <c r="I61" i="11"/>
  <c r="I95" i="11" s="1"/>
  <c r="C6" i="23"/>
  <c r="I110" i="11" l="1"/>
  <c r="I96" i="11"/>
  <c r="I81" i="11"/>
  <c r="B22" i="23"/>
  <c r="B29" i="23" l="1"/>
  <c r="C22" i="23"/>
  <c r="C8" i="25" l="1"/>
  <c r="N40" i="8" s="1"/>
  <c r="B24" i="31" l="1"/>
  <c r="C18" i="28"/>
  <c r="C20" i="28" s="1"/>
  <c r="C9" i="25"/>
  <c r="B25" i="31" s="1"/>
  <c r="C10" i="25" l="1"/>
  <c r="B26" i="31" s="1"/>
  <c r="O41" i="8"/>
  <c r="C166" i="6"/>
  <c r="K166" i="6" s="1"/>
  <c r="P40" i="8" l="1"/>
  <c r="C164" i="6"/>
  <c r="K164" i="6" s="1"/>
  <c r="C184" i="6"/>
  <c r="C186" i="6"/>
  <c r="K186" i="6" l="1"/>
  <c r="K184" i="6"/>
  <c r="K171" i="6"/>
  <c r="K191" i="6" l="1"/>
  <c r="J100" i="11" l="1"/>
  <c r="C8" i="28" l="1"/>
  <c r="K99" i="11"/>
  <c r="K114" i="11"/>
  <c r="K113" i="11" s="1"/>
  <c r="K102" i="11"/>
  <c r="K95" i="11"/>
  <c r="C11" i="28"/>
  <c r="K98" i="11"/>
  <c r="K105" i="11"/>
  <c r="K112" i="11"/>
  <c r="K103" i="11"/>
  <c r="K106" i="11"/>
  <c r="K107" i="11"/>
  <c r="K111" i="11"/>
  <c r="K104" i="11"/>
  <c r="K100" i="11"/>
  <c r="C10" i="28"/>
  <c r="K97" i="11"/>
  <c r="K109" i="11"/>
  <c r="K108" i="11" s="1"/>
  <c r="K89" i="11"/>
  <c r="K101" i="11"/>
  <c r="K90" i="11"/>
  <c r="K94" i="11"/>
  <c r="K4" i="20"/>
  <c r="K8" i="20" s="1"/>
  <c r="K110" i="11" l="1"/>
  <c r="K96" i="11"/>
  <c r="C7" i="28"/>
  <c r="C13" i="28"/>
  <c r="K88" i="11"/>
  <c r="K87" i="11" s="1"/>
  <c r="L4" i="20"/>
  <c r="L8" i="20" s="1"/>
  <c r="K115" i="11" l="1"/>
  <c r="N41" i="8"/>
  <c r="B4" i="27" l="1"/>
  <c r="B91" i="11"/>
  <c r="B87" i="11" s="1"/>
  <c r="B115" i="11" s="1"/>
  <c r="C36" i="8"/>
  <c r="I46" i="8" l="1"/>
  <c r="H44" i="8"/>
  <c r="H46" i="8"/>
  <c r="I47" i="8"/>
  <c r="H47" i="8"/>
  <c r="G44" i="8"/>
  <c r="D36" i="8"/>
  <c r="C35" i="8"/>
  <c r="C34" i="8" s="1"/>
  <c r="D42" i="8"/>
  <c r="G40" i="8" l="1"/>
  <c r="F40" i="8"/>
  <c r="H41" i="8"/>
  <c r="D40" i="8"/>
  <c r="I40" i="8"/>
  <c r="C40" i="8"/>
  <c r="C41" i="8"/>
  <c r="H40" i="8"/>
  <c r="F41" i="8"/>
  <c r="B41" i="8"/>
  <c r="I41" i="8"/>
  <c r="D41" i="8"/>
  <c r="B40" i="8"/>
  <c r="E40" i="8"/>
  <c r="E41" i="8"/>
  <c r="O42" i="8"/>
  <c r="G41" i="8"/>
  <c r="G46" i="8"/>
  <c r="E45" i="8"/>
  <c r="B42" i="8"/>
  <c r="E43" i="8"/>
  <c r="E42" i="8"/>
  <c r="F43" i="8"/>
  <c r="F42" i="8"/>
  <c r="I43" i="8"/>
  <c r="F44" i="8"/>
  <c r="C91" i="11"/>
  <c r="C87" i="11" s="1"/>
  <c r="C115" i="11" s="1"/>
  <c r="C4" i="27"/>
  <c r="I45" i="8"/>
  <c r="E44" i="8"/>
  <c r="F46" i="8"/>
  <c r="E36" i="8"/>
  <c r="D35" i="8"/>
  <c r="D34" i="8" s="1"/>
  <c r="I44" i="8"/>
  <c r="F45" i="8"/>
  <c r="G45" i="8"/>
  <c r="E46" i="8"/>
  <c r="G42" i="8"/>
  <c r="H45" i="8"/>
  <c r="H42" i="8"/>
  <c r="H43" i="8"/>
  <c r="G43" i="8"/>
  <c r="I42" i="8"/>
  <c r="C42" i="8"/>
  <c r="D43" i="8" l="1"/>
  <c r="C43" i="8"/>
  <c r="D91" i="11"/>
  <c r="D87" i="11" s="1"/>
  <c r="D115" i="11" s="1"/>
  <c r="D4" i="27"/>
  <c r="E35" i="8"/>
  <c r="E34" i="8" s="1"/>
  <c r="E48" i="8" s="1"/>
  <c r="E4" i="13" s="1"/>
  <c r="F36" i="8"/>
  <c r="D44" i="8"/>
  <c r="B43" i="8"/>
  <c r="E21" i="13" l="1"/>
  <c r="E41" i="13" s="1"/>
  <c r="G4" i="14"/>
  <c r="G20" i="14" s="1"/>
  <c r="G36" i="8"/>
  <c r="F35" i="8"/>
  <c r="F34" i="8" s="1"/>
  <c r="C44" i="8"/>
  <c r="D48" i="8"/>
  <c r="D4" i="13" s="1"/>
  <c r="E4" i="27"/>
  <c r="E91" i="11"/>
  <c r="E87" i="11" s="1"/>
  <c r="E115" i="11" s="1"/>
  <c r="B44" i="8" l="1"/>
  <c r="B48" i="8" s="1"/>
  <c r="B4" i="13" s="1"/>
  <c r="C48" i="8"/>
  <c r="C4" i="13" s="1"/>
  <c r="F4" i="14"/>
  <c r="F20" i="14" s="1"/>
  <c r="D21" i="13"/>
  <c r="D41" i="13" s="1"/>
  <c r="F91" i="11"/>
  <c r="F87" i="11" s="1"/>
  <c r="F115" i="11" s="1"/>
  <c r="F4" i="27"/>
  <c r="F48" i="8"/>
  <c r="F4" i="13" s="1"/>
  <c r="G4" i="17"/>
  <c r="G12" i="16"/>
  <c r="H36" i="8"/>
  <c r="G35" i="8"/>
  <c r="G34" i="8" s="1"/>
  <c r="G10" i="14"/>
  <c r="E43" i="13"/>
  <c r="G12" i="14" l="1"/>
  <c r="E45" i="13"/>
  <c r="F10" i="14"/>
  <c r="D43" i="13"/>
  <c r="F12" i="16"/>
  <c r="F4" i="17"/>
  <c r="F21" i="13"/>
  <c r="F41" i="13" s="1"/>
  <c r="H4" i="14"/>
  <c r="H20" i="14" s="1"/>
  <c r="G4" i="27"/>
  <c r="G91" i="11"/>
  <c r="G87" i="11" s="1"/>
  <c r="G115" i="11" s="1"/>
  <c r="G48" i="8"/>
  <c r="G4" i="13" s="1"/>
  <c r="H35" i="8"/>
  <c r="H34" i="8" s="1"/>
  <c r="I36" i="8"/>
  <c r="I35" i="8" s="1"/>
  <c r="I34" i="8" s="1"/>
  <c r="C21" i="13"/>
  <c r="C41" i="13" s="1"/>
  <c r="E4" i="14"/>
  <c r="E20" i="14" s="1"/>
  <c r="B21" i="13"/>
  <c r="B41" i="13" s="1"/>
  <c r="D4" i="14"/>
  <c r="D20" i="14" s="1"/>
  <c r="H4" i="17" l="1"/>
  <c r="H12" i="16"/>
  <c r="B43" i="13"/>
  <c r="D10" i="14"/>
  <c r="E4" i="17"/>
  <c r="E12" i="16"/>
  <c r="H4" i="27"/>
  <c r="H91" i="11"/>
  <c r="H87" i="11" s="1"/>
  <c r="H115" i="11" s="1"/>
  <c r="H48" i="8"/>
  <c r="H4" i="13" s="1"/>
  <c r="D45" i="13"/>
  <c r="F12" i="14"/>
  <c r="I91" i="11"/>
  <c r="I87" i="11" s="1"/>
  <c r="I115" i="11" s="1"/>
  <c r="I4" i="27"/>
  <c r="I48" i="8"/>
  <c r="I4" i="13" s="1"/>
  <c r="J34" i="8"/>
  <c r="G21" i="13"/>
  <c r="G41" i="13" s="1"/>
  <c r="I4" i="14"/>
  <c r="I20" i="14" s="1"/>
  <c r="C43" i="13"/>
  <c r="E10" i="14"/>
  <c r="G14" i="14"/>
  <c r="F4" i="20"/>
  <c r="F8" i="20" s="1"/>
  <c r="F43" i="13"/>
  <c r="H10" i="14"/>
  <c r="D4" i="17"/>
  <c r="D12" i="16"/>
  <c r="I10" i="14" l="1"/>
  <c r="G43" i="13"/>
  <c r="H12" i="14"/>
  <c r="F45" i="13"/>
  <c r="B37" i="31"/>
  <c r="J40" i="11"/>
  <c r="K4" i="14"/>
  <c r="K20" i="14" s="1"/>
  <c r="I21" i="13"/>
  <c r="I41" i="13" s="1"/>
  <c r="B5" i="23"/>
  <c r="D12" i="14"/>
  <c r="B45" i="13"/>
  <c r="C45" i="13"/>
  <c r="E12" i="14"/>
  <c r="E4" i="20"/>
  <c r="E8" i="20" s="1"/>
  <c r="F14" i="14"/>
  <c r="F31" i="15"/>
  <c r="G29" i="15" s="1"/>
  <c r="G32" i="15" s="1"/>
  <c r="G33" i="15" s="1"/>
  <c r="F36" i="15" s="1"/>
  <c r="I12" i="16"/>
  <c r="I4" i="17"/>
  <c r="J4" i="14"/>
  <c r="J20" i="14" s="1"/>
  <c r="H21" i="13"/>
  <c r="H41" i="13" s="1"/>
  <c r="K4" i="17" l="1"/>
  <c r="K12" i="16"/>
  <c r="B12" i="31"/>
  <c r="F37" i="31"/>
  <c r="B45" i="31"/>
  <c r="J49" i="11"/>
  <c r="J55" i="11"/>
  <c r="J73" i="11"/>
  <c r="J107" i="11" s="1"/>
  <c r="J61" i="11"/>
  <c r="J95" i="11" s="1"/>
  <c r="J70" i="11"/>
  <c r="J104" i="11" s="1"/>
  <c r="J74" i="11"/>
  <c r="J48" i="11"/>
  <c r="J67" i="11"/>
  <c r="J101" i="11" s="1"/>
  <c r="J51" i="11"/>
  <c r="J58" i="11"/>
  <c r="J65" i="11"/>
  <c r="J99" i="11" s="1"/>
  <c r="J53" i="11"/>
  <c r="J89" i="11" s="1"/>
  <c r="J75" i="11"/>
  <c r="J109" i="11" s="1"/>
  <c r="J108" i="11" s="1"/>
  <c r="J66" i="11"/>
  <c r="J50" i="11"/>
  <c r="J57" i="11"/>
  <c r="J56" i="11"/>
  <c r="J72" i="11"/>
  <c r="J106" i="11" s="1"/>
  <c r="J78" i="11"/>
  <c r="J112" i="11" s="1"/>
  <c r="J80" i="11"/>
  <c r="J114" i="11" s="1"/>
  <c r="J113" i="11" s="1"/>
  <c r="J63" i="11"/>
  <c r="J97" i="11" s="1"/>
  <c r="J96" i="11" s="1"/>
  <c r="J52" i="11"/>
  <c r="J76" i="11"/>
  <c r="J68" i="11"/>
  <c r="J102" i="11" s="1"/>
  <c r="J62" i="11"/>
  <c r="J81" i="11"/>
  <c r="J71" i="11"/>
  <c r="J105" i="11" s="1"/>
  <c r="J60" i="11"/>
  <c r="J94" i="11" s="1"/>
  <c r="J59" i="11"/>
  <c r="J46" i="11"/>
  <c r="J79" i="11"/>
  <c r="J64" i="11"/>
  <c r="J98" i="11" s="1"/>
  <c r="J54" i="11"/>
  <c r="J90" i="11" s="1"/>
  <c r="J77" i="11"/>
  <c r="J111" i="11" s="1"/>
  <c r="J110" i="11" s="1"/>
  <c r="J47" i="11"/>
  <c r="J88" i="11" s="1"/>
  <c r="J87" i="11" s="1"/>
  <c r="J69" i="11"/>
  <c r="J103" i="11" s="1"/>
  <c r="J4" i="17"/>
  <c r="D6" i="17" s="1"/>
  <c r="N44" i="8" s="1"/>
  <c r="J12" i="16"/>
  <c r="C14" i="16" s="1"/>
  <c r="E14" i="14"/>
  <c r="D4" i="20"/>
  <c r="D8" i="20" s="1"/>
  <c r="C4" i="20"/>
  <c r="C8" i="20" s="1"/>
  <c r="D31" i="15"/>
  <c r="E29" i="15" s="1"/>
  <c r="E32" i="15" s="1"/>
  <c r="E33" i="15" s="1"/>
  <c r="D36" i="15" s="1"/>
  <c r="D14" i="14"/>
  <c r="G4" i="20"/>
  <c r="G8" i="20" s="1"/>
  <c r="H14" i="14"/>
  <c r="H31" i="15"/>
  <c r="I29" i="15" s="1"/>
  <c r="I32" i="15" s="1"/>
  <c r="I33" i="15" s="1"/>
  <c r="H36" i="15" s="1"/>
  <c r="B7" i="23"/>
  <c r="B17" i="23" s="1"/>
  <c r="B26" i="23"/>
  <c r="C5" i="23"/>
  <c r="B28" i="23"/>
  <c r="I12" i="14"/>
  <c r="G45" i="13"/>
  <c r="H43" i="13"/>
  <c r="J10" i="14"/>
  <c r="K10" i="14"/>
  <c r="I43" i="13"/>
  <c r="O44" i="8" l="1"/>
  <c r="D10" i="23"/>
  <c r="D11" i="23"/>
  <c r="D12" i="23"/>
  <c r="D6" i="23"/>
  <c r="A6" i="23" s="1"/>
  <c r="D15" i="23"/>
  <c r="C7" i="23"/>
  <c r="D13" i="23"/>
  <c r="B30" i="23"/>
  <c r="B31" i="23" s="1"/>
  <c r="B33" i="23" s="1"/>
  <c r="B24" i="23"/>
  <c r="K12" i="14"/>
  <c r="I45" i="13"/>
  <c r="F39" i="31"/>
  <c r="G12" i="31" s="1"/>
  <c r="F12" i="31"/>
  <c r="F14" i="31" s="1"/>
  <c r="B20" i="31"/>
  <c r="F20" i="31" s="1"/>
  <c r="J12" i="14"/>
  <c r="H45" i="13"/>
  <c r="H4" i="20"/>
  <c r="H8" i="20" s="1"/>
  <c r="I14" i="14"/>
  <c r="J115" i="11"/>
  <c r="F45" i="31" l="1"/>
  <c r="G13" i="31"/>
  <c r="G11" i="31"/>
  <c r="G9" i="31"/>
  <c r="G10" i="31"/>
  <c r="I4" i="20"/>
  <c r="I8" i="20" s="1"/>
  <c r="J14" i="14"/>
  <c r="L31" i="15"/>
  <c r="M29" i="15" s="1"/>
  <c r="M32" i="15" s="1"/>
  <c r="M33" i="15" s="1"/>
  <c r="L36" i="15" s="1"/>
  <c r="C31" i="23"/>
  <c r="C33" i="23" s="1"/>
  <c r="C24" i="23"/>
  <c r="C26" i="23" s="1"/>
  <c r="K14" i="14"/>
  <c r="J4" i="20"/>
  <c r="J8" i="20" s="1"/>
  <c r="D7" i="23"/>
  <c r="C17" i="23"/>
  <c r="D17" i="23" s="1"/>
  <c r="B12" i="20" l="1"/>
  <c r="G14" i="31"/>
  <c r="B35" i="23"/>
  <c r="C35" i="23"/>
  <c r="B34" i="23"/>
  <c r="C22" i="31"/>
  <c r="D22" i="31"/>
  <c r="E22" i="31"/>
  <c r="B22" i="31"/>
  <c r="F22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AUX02</author>
  </authors>
  <commentList>
    <comment ref="B8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Peso entre alumnos de ésta carrera y el total de la sede Macas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SANDRO IVAN ORTIZ GONZALEZ</author>
  </authors>
  <commentList>
    <comment ref="C4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Mismo cargo
</t>
        </r>
      </text>
    </comment>
    <comment ref="C38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Medio Tiempo
</t>
        </r>
      </text>
    </comment>
    <comment ref="C425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Aparece como TC
</t>
        </r>
      </text>
    </comment>
  </commentList>
</comments>
</file>

<file path=xl/sharedStrings.xml><?xml version="1.0" encoding="utf-8"?>
<sst xmlns="http://schemas.openxmlformats.org/spreadsheetml/2006/main" count="792" uniqueCount="503">
  <si>
    <t xml:space="preserve"> #  de paralelos</t>
  </si>
  <si>
    <t>AÑO</t>
  </si>
  <si>
    <t>1 CICLO</t>
  </si>
  <si>
    <t>Ret. 65%</t>
  </si>
  <si>
    <t>2 CICLO</t>
  </si>
  <si>
    <t>3 CICLO</t>
  </si>
  <si>
    <t>4 CICLO</t>
  </si>
  <si>
    <t>5 CICLO</t>
  </si>
  <si>
    <t>6 CICLO</t>
  </si>
  <si>
    <t>7 CICLO</t>
  </si>
  <si>
    <t>8 CICLO</t>
  </si>
  <si>
    <t>Total Nº de Estudiantes</t>
  </si>
  <si>
    <t>Nº de Horas Clase Docencia Asistida x semana Acumuladas</t>
  </si>
  <si>
    <t>N° de Horas con Docencia Asistida SEMESTRAL</t>
  </si>
  <si>
    <t>N° Horas Docencia Asistida por semana y por paralelos</t>
  </si>
  <si>
    <t>Nº de Horas Clase Aplicac. Práctica x semana Acumuladas</t>
  </si>
  <si>
    <t>Relación</t>
  </si>
  <si>
    <t>N° Horas Aplicación Práctica SEMESTRAL</t>
  </si>
  <si>
    <t>N° Horas Aplicación Práctica por semana y por paralelos</t>
  </si>
  <si>
    <t>Horas Docente</t>
  </si>
  <si>
    <t>Docentes Requeridos</t>
  </si>
  <si>
    <t>Tiempo Completo PhD</t>
  </si>
  <si>
    <t>Tiempo Completo Mgs.</t>
  </si>
  <si>
    <t>Medio Tiempo</t>
  </si>
  <si>
    <t>Tiempo Parcial</t>
  </si>
  <si>
    <t>Horas Tecnico</t>
  </si>
  <si>
    <t>Ocasional Tipo 2 (Técnico Docente)</t>
  </si>
  <si>
    <t xml:space="preserve">PROYECCION DE ACTIVOS </t>
  </si>
  <si>
    <t>CUENCA</t>
  </si>
  <si>
    <t>AZOGUES</t>
  </si>
  <si>
    <t>CAÑAR</t>
  </si>
  <si>
    <t>TRONCAL</t>
  </si>
  <si>
    <t>MACAS</t>
  </si>
  <si>
    <t>EAD</t>
  </si>
  <si>
    <t>ACTIVOS AULAS</t>
  </si>
  <si>
    <t xml:space="preserve">MESAS </t>
  </si>
  <si>
    <t xml:space="preserve">SILLAS </t>
  </si>
  <si>
    <t>PROYECTORES</t>
  </si>
  <si>
    <t>PANTALLAS</t>
  </si>
  <si>
    <t>PISARRAS</t>
  </si>
  <si>
    <t>PRESE</t>
  </si>
  <si>
    <t>UTILES DIDACTICOS</t>
  </si>
  <si>
    <t>NO PRE</t>
  </si>
  <si>
    <t>SUMINISTROS DOCENTE</t>
  </si>
  <si>
    <t>CUMPUTADOR</t>
  </si>
  <si>
    <t>MODULO DE TRABAJO</t>
  </si>
  <si>
    <t xml:space="preserve">TELEFONO </t>
  </si>
  <si>
    <t>IMPRESORA</t>
  </si>
  <si>
    <t>ADMINISTRACION</t>
  </si>
  <si>
    <t>SUELDOS APROX</t>
  </si>
  <si>
    <t>ARCHIVADORES</t>
  </si>
  <si>
    <t>OTROS MUEBLES</t>
  </si>
  <si>
    <t>SECRETARIA</t>
  </si>
  <si>
    <t>BIBLIOTECA</t>
  </si>
  <si>
    <t>DEPARTAMENTOS DE APOYO</t>
  </si>
  <si>
    <t>DIRECCION DE CARRERA</t>
  </si>
  <si>
    <t>SIMULACIÓN DEL COMPORTAMIENTO DE LA GRADUACIÓN</t>
  </si>
  <si>
    <t>SUMA</t>
  </si>
  <si>
    <t>PROM</t>
  </si>
  <si>
    <t>Tasa graduación</t>
  </si>
  <si>
    <t>tasa x ciclo</t>
  </si>
  <si>
    <t>1°</t>
  </si>
  <si>
    <t>2°</t>
  </si>
  <si>
    <t>3°</t>
  </si>
  <si>
    <t>4°</t>
  </si>
  <si>
    <t>5°</t>
  </si>
  <si>
    <t>6°</t>
  </si>
  <si>
    <t>N° alumnoss &gt;&gt;&gt;</t>
  </si>
  <si>
    <t>sep</t>
  </si>
  <si>
    <t>abr</t>
  </si>
  <si>
    <t>Paralelos &gt;&gt;&gt;</t>
  </si>
  <si>
    <t>SIMULACIÓN DEL COMPORTAMIENTO DE LA RETENCIÓN</t>
  </si>
  <si>
    <t>7°</t>
  </si>
  <si>
    <t>8°</t>
  </si>
  <si>
    <t>Tasa de retención</t>
  </si>
  <si>
    <t>N° Alumnos &gt;&gt;&gt;</t>
  </si>
  <si>
    <t>(Primero y arranque de 3° ciclo)</t>
  </si>
  <si>
    <t>Retención</t>
  </si>
  <si>
    <t>Graduación</t>
  </si>
  <si>
    <t>NOTA: SE RECOMIENDA TOMAR LA SIMULACIÓN DE LA RETENCIÓN (ESTA INVOLUCRA A LAS DOS)</t>
  </si>
  <si>
    <t>REFERENCIA A LOS CRITERIOS DE ACREDITACIÓN: Indicador:  Utilidad vs % de cumplimiento</t>
  </si>
  <si>
    <t>GRADUACIÓN</t>
  </si>
  <si>
    <t>RETENCIÓN</t>
  </si>
  <si>
    <t>X</t>
  </si>
  <si>
    <t>Y</t>
  </si>
  <si>
    <t>ACTIVOS FIJOS</t>
  </si>
  <si>
    <t>DESGLOSE DE SITUACIÓN INICIAL</t>
  </si>
  <si>
    <t>DESCRIPCIÓN</t>
  </si>
  <si>
    <t>CANTIDAD</t>
  </si>
  <si>
    <t>UNIDAD</t>
  </si>
  <si>
    <t>VALOR UNITARIO</t>
  </si>
  <si>
    <t>VALOR TOTAL</t>
  </si>
  <si>
    <t>Muebles y enseres</t>
  </si>
  <si>
    <t xml:space="preserve">Silla giratoria </t>
  </si>
  <si>
    <t>UNI</t>
  </si>
  <si>
    <t xml:space="preserve">Silla de espera </t>
  </si>
  <si>
    <t xml:space="preserve">Archivador de madera </t>
  </si>
  <si>
    <t xml:space="preserve">Escritorio docentes </t>
  </si>
  <si>
    <t xml:space="preserve">Mesas de laboratorio </t>
  </si>
  <si>
    <t>Libros</t>
  </si>
  <si>
    <t>Laboratorios y Equipos</t>
  </si>
  <si>
    <t>Operatividad EVEA</t>
  </si>
  <si>
    <t>Licencias, almacenamiento y webninar ZOOM</t>
  </si>
  <si>
    <t>Equipo de audio</t>
  </si>
  <si>
    <t>Equipo de Computo</t>
  </si>
  <si>
    <t>Pizarra digital</t>
  </si>
  <si>
    <t xml:space="preserve">Perifericos </t>
  </si>
  <si>
    <t xml:space="preserve">Proyectores </t>
  </si>
  <si>
    <t xml:space="preserve">Computador escritorio </t>
  </si>
  <si>
    <t xml:space="preserve">Software </t>
  </si>
  <si>
    <t xml:space="preserve">Computador portátil </t>
  </si>
  <si>
    <t xml:space="preserve">Switch </t>
  </si>
  <si>
    <t>Software (mantenimiento)</t>
  </si>
  <si>
    <t>Equipo de Oficina</t>
  </si>
  <si>
    <t xml:space="preserve">Teléfono </t>
  </si>
  <si>
    <t>TOTAL</t>
  </si>
  <si>
    <t>PROYECCION DE NECESIDADES EN UNIDADES</t>
  </si>
  <si>
    <t>PROYECCION DE NECESIDADES EN UNIDADES MONETARIAS</t>
  </si>
  <si>
    <t>Inversiones Necesarias</t>
  </si>
  <si>
    <t>RESUMEN INVERSIÓN INICIAL</t>
  </si>
  <si>
    <t>TIPO DE INVERSIÓN</t>
  </si>
  <si>
    <t>VALOR</t>
  </si>
  <si>
    <t>MONTO TOTAL</t>
  </si>
  <si>
    <t>ACTIVOS DIFERIDOS</t>
  </si>
  <si>
    <t>Permiso Municipal y Bomberos</t>
  </si>
  <si>
    <t>TOTAL ACTIVOS</t>
  </si>
  <si>
    <t>CAPITAL DE TRABAJO (2 meses)</t>
  </si>
  <si>
    <t>Imprevistos 5%</t>
  </si>
  <si>
    <t>TOTAL DE INVERSION INICIAL</t>
  </si>
  <si>
    <t>DEMANDA PROYECTADA (NUMERO DE ESTUDIANTES)</t>
  </si>
  <si>
    <t xml:space="preserve">SEGURO ESTUDIANTIL </t>
  </si>
  <si>
    <t>PRESUPUESTO 2019</t>
  </si>
  <si>
    <t>1 SEMESTRE</t>
  </si>
  <si>
    <t>TOTAL ESTUDIANTES</t>
  </si>
  <si>
    <t>2 SEMESTRE</t>
  </si>
  <si>
    <t>DOCENTES NECESARIOS</t>
  </si>
  <si>
    <t>CAPACITACIÓN DOCENTE E INTERNACIONALIZACIÓN; MARKETING Y COMUNICACIÒN</t>
  </si>
  <si>
    <t>Presupuesto Capacitación</t>
  </si>
  <si>
    <t>Presupuesto Internacionalización</t>
  </si>
  <si>
    <t>Presupuesto Marketing</t>
  </si>
  <si>
    <t>Capacitación Docente</t>
  </si>
  <si>
    <t>Internacionalización</t>
  </si>
  <si>
    <t>Marketing y Comunicación</t>
  </si>
  <si>
    <t>Seguro Estudiantil</t>
  </si>
  <si>
    <t>Costo del Seguro Estudiantil</t>
  </si>
  <si>
    <t>Becas Institucionales 10 % estudiantes</t>
  </si>
  <si>
    <t>Matricula</t>
  </si>
  <si>
    <t>Valor ciclo por estudiante</t>
  </si>
  <si>
    <t>INGRESOS PROYECTADOS</t>
  </si>
  <si>
    <t>Ciclo</t>
  </si>
  <si>
    <t>Arencel Rediseño</t>
  </si>
  <si>
    <t>COSTO ARANCEL</t>
  </si>
  <si>
    <t>MATRÍCULA COSTO</t>
  </si>
  <si>
    <t>TIR</t>
  </si>
  <si>
    <t>VAN</t>
  </si>
  <si>
    <t>TOTAL INGRESOS</t>
  </si>
  <si>
    <t>CANTIDADES</t>
  </si>
  <si>
    <t>MATERIALES</t>
  </si>
  <si>
    <t>UNIDADES MONETARIAS</t>
  </si>
  <si>
    <t>INFLACIÓN</t>
  </si>
  <si>
    <t>CAPITAL DE TRABAJO</t>
  </si>
  <si>
    <t>CONCEPTO</t>
  </si>
  <si>
    <t>VALOR MENSUAL</t>
  </si>
  <si>
    <t>GASTOS DE SERVICIO Y ADMINISTRACIÓN</t>
  </si>
  <si>
    <t>Decano</t>
  </si>
  <si>
    <t>Subdecano</t>
  </si>
  <si>
    <t>Director de Carrera</t>
  </si>
  <si>
    <t>Secretario</t>
  </si>
  <si>
    <t>Auxiliar de Secretaria</t>
  </si>
  <si>
    <t xml:space="preserve">Coordinador  </t>
  </si>
  <si>
    <t>Bienestar Estudiantil</t>
  </si>
  <si>
    <t>Valor Hora Clase</t>
  </si>
  <si>
    <t>Horas clase/MES</t>
  </si>
  <si>
    <t>Bibliotecario</t>
  </si>
  <si>
    <t>Auxiliar de Servicio</t>
  </si>
  <si>
    <t>Guardia</t>
  </si>
  <si>
    <t>MATERIALES Y SUMINISTROS</t>
  </si>
  <si>
    <t>Cartuchos de impresora (Color)</t>
  </si>
  <si>
    <t>Cartuchos de impresora (Negro)</t>
  </si>
  <si>
    <t>Carpetas de cartón</t>
  </si>
  <si>
    <t>Porta files</t>
  </si>
  <si>
    <t>Esferos, micro minas, lápiz, borradores, correctores</t>
  </si>
  <si>
    <t>Grapas, clips (CAJA)</t>
  </si>
  <si>
    <t>SUMINISTROS DE ASEO Y LIMPIEZA</t>
  </si>
  <si>
    <t>Desinfectante (Galón)</t>
  </si>
  <si>
    <t>Jabón Líquido (Galón)</t>
  </si>
  <si>
    <t>Escoba</t>
  </si>
  <si>
    <t>Paquete de Fundas de Basura</t>
  </si>
  <si>
    <t>Trapeador</t>
  </si>
  <si>
    <t>Cloro (Galón)</t>
  </si>
  <si>
    <t>ACCESORIOS Y MATERIALES</t>
  </si>
  <si>
    <t>Grapadora</t>
  </si>
  <si>
    <t>Perforadora</t>
  </si>
  <si>
    <t>DESCRIPCION</t>
  </si>
  <si>
    <t xml:space="preserve">VALOR </t>
  </si>
  <si>
    <t>VALOR RESIDUAL</t>
  </si>
  <si>
    <t>TIEMPO</t>
  </si>
  <si>
    <t>DEPRECIACION</t>
  </si>
  <si>
    <t>DEPRECIACION ACUMULADA</t>
  </si>
  <si>
    <t>estudiantes U. académica</t>
  </si>
  <si>
    <t>PESO</t>
  </si>
  <si>
    <t>Nº</t>
  </si>
  <si>
    <t>CARGO</t>
  </si>
  <si>
    <t>SUELDO MENSUAL</t>
  </si>
  <si>
    <t>DECIMO XIII</t>
  </si>
  <si>
    <t>DECIMO IV</t>
  </si>
  <si>
    <t>VACACIONES</t>
  </si>
  <si>
    <t>FONDOS DE RESERVA MENSUAL</t>
  </si>
  <si>
    <t>APORTE PATRONAL MENSUAL</t>
  </si>
  <si>
    <t>N° CARRERAS</t>
  </si>
  <si>
    <t>PLANTA CENTRAL</t>
  </si>
  <si>
    <t>Nº ESTUDIANTES UNIVERSIDAD</t>
  </si>
  <si>
    <t xml:space="preserve">Nº DOCENTES </t>
  </si>
  <si>
    <t>ESTUDIANTES DE LA CARRERA</t>
  </si>
  <si>
    <t>No. Alumnos</t>
  </si>
  <si>
    <t>CARGO/DEPARTAMENTO</t>
  </si>
  <si>
    <t>Nº PERSONAS</t>
  </si>
  <si>
    <t>SUELDO BASICO</t>
  </si>
  <si>
    <t>FUNCIONAL</t>
  </si>
  <si>
    <t>FONDO DE RESERVA</t>
  </si>
  <si>
    <t>BENEFICIOS SOCIAL XIV</t>
  </si>
  <si>
    <t>BENEFICIO SOCIAL XIII</t>
  </si>
  <si>
    <t>APORTE PATRONAL</t>
  </si>
  <si>
    <t>MASA SALARIAL</t>
  </si>
  <si>
    <t>VARIOS</t>
  </si>
  <si>
    <t>TOTAL MENSUAL</t>
  </si>
  <si>
    <t>Años</t>
  </si>
  <si>
    <t>Auditoría</t>
  </si>
  <si>
    <t>TITULACION Y REGISTRO</t>
  </si>
  <si>
    <t>UNIDAD COORDINADORA DE ESTUDIOS NO PRESENCIALES</t>
  </si>
  <si>
    <t>Rectorado</t>
  </si>
  <si>
    <t>Secretaría General</t>
  </si>
  <si>
    <t>CENTRO DE APOYO - QUITO</t>
  </si>
  <si>
    <t>Evaluación Interna</t>
  </si>
  <si>
    <t>CENTRO DE APOYO - TENA</t>
  </si>
  <si>
    <t>Editorial</t>
  </si>
  <si>
    <t>Seguridad Ocupacional</t>
  </si>
  <si>
    <t>CENTRO DE APOYO - ZAMORA</t>
  </si>
  <si>
    <t>Dirección de Planificación</t>
  </si>
  <si>
    <t>Gestión de Calidad</t>
  </si>
  <si>
    <t>CENTRO DE DOCUMENTACION Y ARCHIVO</t>
  </si>
  <si>
    <t>CLINICA ODONTOLOGICA</t>
  </si>
  <si>
    <t>LABORATORIO DE SUELOS</t>
  </si>
  <si>
    <t>LABORATORIO QUIMICO MICROBIOLOGICO</t>
  </si>
  <si>
    <t>Procuraduría y Asesoría Jurídica</t>
  </si>
  <si>
    <t>Departamento de Pastoral Universitaria</t>
  </si>
  <si>
    <t>Vicerrectorado Académico</t>
  </si>
  <si>
    <t>Dirección Académica</t>
  </si>
  <si>
    <t>Educación Continua</t>
  </si>
  <si>
    <t>Seguimiento a Graduados</t>
  </si>
  <si>
    <t>Posgrado, Investigación, Vinculación con la Sociedad y Publicaciones</t>
  </si>
  <si>
    <t>SUBDIRECCION DE VINCULACION CON LA SOCIEDAD</t>
  </si>
  <si>
    <t>Culltura</t>
  </si>
  <si>
    <t>Emprendimiento</t>
  </si>
  <si>
    <t>Nivelación</t>
  </si>
  <si>
    <t>Planificación Académica</t>
  </si>
  <si>
    <t>Vicerrectorado Administrativo</t>
  </si>
  <si>
    <t>Dirección Administrativa</t>
  </si>
  <si>
    <t>TIC</t>
  </si>
  <si>
    <t>Dirección Financiera</t>
  </si>
  <si>
    <t>Colecturía</t>
  </si>
  <si>
    <t>Dirección de Talento Humano</t>
  </si>
  <si>
    <t>Dirección de Obras</t>
  </si>
  <si>
    <t>Becas</t>
  </si>
  <si>
    <t>DIRECCIÓN DE COMUNICACIÓN, CULTURA Y MARKETING</t>
  </si>
  <si>
    <t>CENTRO DE INVESTIGACIÓN, INNOVACIÓN Y TRANSFERENCIA DE TECNOLOGÍA CIITT</t>
  </si>
  <si>
    <t>CENTRO DE MEDIACIÓN JOSEFINA ESPINOZA ASTORGA</t>
  </si>
  <si>
    <t>COMITE DE ETICA</t>
  </si>
  <si>
    <t>CONSULTORIO JURIDICO</t>
  </si>
  <si>
    <t>COORDINACIÓN CARRERAS TÉCNICAS Y TECNOLÓGICAS SUPERIORES</t>
  </si>
  <si>
    <t>DEPARTAMENTO DE RELACIONES INTERNACIONALES E INTERINSTITUCIONALES</t>
  </si>
  <si>
    <t>FAB LAB CUENCA</t>
  </si>
  <si>
    <t>TOTALES</t>
  </si>
  <si>
    <t>Costo Total</t>
  </si>
  <si>
    <t>Refacciones</t>
  </si>
  <si>
    <t>Mensual</t>
  </si>
  <si>
    <t>Garantía</t>
  </si>
  <si>
    <t>Anual</t>
  </si>
  <si>
    <t>Servicios Básicos</t>
  </si>
  <si>
    <t>Servicios Basicos</t>
  </si>
  <si>
    <t>Mantenimiento</t>
  </si>
  <si>
    <t>SERVICIOS BÁSICOS</t>
  </si>
  <si>
    <t>ANUAL</t>
  </si>
  <si>
    <t>Agua</t>
  </si>
  <si>
    <t>Internet</t>
  </si>
  <si>
    <t>Energia Eléctrica</t>
  </si>
  <si>
    <t>Comunicaciones</t>
  </si>
  <si>
    <t>MANTENIMIENTO</t>
  </si>
  <si>
    <t>Servicio de Limpieza</t>
  </si>
  <si>
    <t>Seguros Bienes y Vehículos</t>
  </si>
  <si>
    <t>Servicio de Seguridad</t>
  </si>
  <si>
    <t>Refacciones e Infraestructura</t>
  </si>
  <si>
    <t>PROYECCION DE COSTOS Y GASTOS</t>
  </si>
  <si>
    <t>COSTOS POR SERVICIOS</t>
  </si>
  <si>
    <t>Mantenimiento Edificio</t>
  </si>
  <si>
    <t>Insumos Prácticas y Laboratorios</t>
  </si>
  <si>
    <t>Materiales y Suministros</t>
  </si>
  <si>
    <t>Depreciación</t>
  </si>
  <si>
    <t>GASTOS DE ADMINISTRACIÓN</t>
  </si>
  <si>
    <t>Administración Central</t>
  </si>
  <si>
    <t>GASTOS DE VENTAS</t>
  </si>
  <si>
    <t>OTROS GASTOS</t>
  </si>
  <si>
    <t xml:space="preserve">Amortizacion </t>
  </si>
  <si>
    <t>GASTO FINANCIERO</t>
  </si>
  <si>
    <t>Interes</t>
  </si>
  <si>
    <t>TOTAL COSTOS Y GASTOS</t>
  </si>
  <si>
    <t>PONDERACIÓN</t>
  </si>
  <si>
    <t>DESCONTADO PRESUPUESTOS ASIGNADO POR EL GOBIERNO PARA BECAS Y AYUDAS</t>
  </si>
  <si>
    <t>INVESTIGACIÓN Y VINCULACIÓN CON LA SOCIEDAD</t>
  </si>
  <si>
    <t>Becas Institucionales</t>
  </si>
  <si>
    <t xml:space="preserve">% Variación Presupuesto </t>
  </si>
  <si>
    <t>Presupuesto Universidad</t>
  </si>
  <si>
    <t>Nº Estudiantes Uni</t>
  </si>
  <si>
    <t>Investigación 5%</t>
  </si>
  <si>
    <t>Vinculación 1%</t>
  </si>
  <si>
    <t>Presupuesto Gobierno</t>
  </si>
  <si>
    <t>Nº Docentes Universidad</t>
  </si>
  <si>
    <t>Becas Estudiantes 90%</t>
  </si>
  <si>
    <t>Becas Docentes 10%</t>
  </si>
  <si>
    <t>Presupuesto que garantice la culminación de la primera cohorte</t>
  </si>
  <si>
    <t>Desglose</t>
  </si>
  <si>
    <t>Provisión de educación superior</t>
  </si>
  <si>
    <t>Fomento y desarrollo científico y tecnológico</t>
  </si>
  <si>
    <t>Vinculación con la sociedad</t>
  </si>
  <si>
    <t>Otros</t>
  </si>
  <si>
    <t>Total</t>
  </si>
  <si>
    <t>Gastos corrientes</t>
  </si>
  <si>
    <t>Gastos en personal administrativo</t>
  </si>
  <si>
    <t>Gastos en personal académico</t>
  </si>
  <si>
    <t>Bienes y servicios de consumo</t>
  </si>
  <si>
    <t>Becas y ayudas financieras</t>
  </si>
  <si>
    <t>Subtotal</t>
  </si>
  <si>
    <t>Inversión</t>
  </si>
  <si>
    <t>Infraestructura</t>
  </si>
  <si>
    <t>Equipamiento</t>
  </si>
  <si>
    <t>Bibliotecas</t>
  </si>
  <si>
    <t>ARANCEL POR SEMESTRE</t>
  </si>
  <si>
    <t>MATRICULA</t>
  </si>
  <si>
    <t>TOTAL POR SEMESTRE</t>
  </si>
  <si>
    <t>COSTO DE LA CARRERA OCHO SEMESTRES</t>
  </si>
  <si>
    <t>NUMERO DE ESTUDIANTES</t>
  </si>
  <si>
    <t>COSTO POR ESTUDIANTE</t>
  </si>
  <si>
    <t>COSTO DE LA CARRERA</t>
  </si>
  <si>
    <t>PROYECCIÓN DE ESTADO DE PERDIDAS Y GANANCIAS</t>
  </si>
  <si>
    <t>AÑOS</t>
  </si>
  <si>
    <t>INGRESOS</t>
  </si>
  <si>
    <t>UTILIDAD BRUTA</t>
  </si>
  <si>
    <t>PUBLICIDAD</t>
  </si>
  <si>
    <t>SERVICIOS BASICOS</t>
  </si>
  <si>
    <t>AMORTIZACIÓN DE ACTIVOS DIFERIDOS</t>
  </si>
  <si>
    <t>INTERES</t>
  </si>
  <si>
    <t xml:space="preserve">UTILIDAD ANTES DE IMPUESTOS </t>
  </si>
  <si>
    <t>PARTICIPACIÓN A TRABAJADORES 15%</t>
  </si>
  <si>
    <t>UTILIDAD ANTES DE IMPUESTOS</t>
  </si>
  <si>
    <t>IMPUESTO A LA RENTA 25%</t>
  </si>
  <si>
    <t>UTILIDAD O PERDIDA DEL EJERCICIO</t>
  </si>
  <si>
    <t>CALCULO DE LA TASA INTERNA DE RETORNO</t>
  </si>
  <si>
    <t>FLUJO DE FONDOS NETO</t>
  </si>
  <si>
    <t>TASA INTERNA DE RETORNO</t>
  </si>
  <si>
    <t>TASA MINIMA DE RENDIMIETO</t>
  </si>
  <si>
    <t>TASA DE INTERES</t>
  </si>
  <si>
    <t>INFLACIÓN ANUAL</t>
  </si>
  <si>
    <t>PREMIO AL RIESGO</t>
  </si>
  <si>
    <t>CALCULO DEL VAN</t>
  </si>
  <si>
    <t>VALOR ACTUAL NETO</t>
  </si>
  <si>
    <t>Punto de Equilibrio</t>
  </si>
  <si>
    <t>Proyección de Resultados y Punto de Equilibrio</t>
  </si>
  <si>
    <t>Valor Mes</t>
  </si>
  <si>
    <t>%</t>
  </si>
  <si>
    <t>Ingresos</t>
  </si>
  <si>
    <t>(=) Margen Bruto</t>
  </si>
  <si>
    <t>Gastos de la Carrera</t>
  </si>
  <si>
    <t>Gastos de Personal</t>
  </si>
  <si>
    <t>Gastos Administrativos y Ventas</t>
  </si>
  <si>
    <t>(-) Depreciación y Amortización</t>
  </si>
  <si>
    <t>Intereses Pagados</t>
  </si>
  <si>
    <t>Beneficio/Perdida</t>
  </si>
  <si>
    <t>Análisis del Punto de Equilibrio</t>
  </si>
  <si>
    <t>PE Anual</t>
  </si>
  <si>
    <t>PE Mensual</t>
  </si>
  <si>
    <t>Costo Variable</t>
  </si>
  <si>
    <t>Costo Fijo</t>
  </si>
  <si>
    <t>Ingreso promedio</t>
  </si>
  <si>
    <t>costos variables / fijos</t>
  </si>
  <si>
    <t>Margen de Contribucion</t>
  </si>
  <si>
    <t>Numero de estudiantes Total Carrera</t>
  </si>
  <si>
    <t>Numero de Ciclos</t>
  </si>
  <si>
    <t>Numero de estudiantes por ciclo sin tasa de deserción</t>
  </si>
  <si>
    <t>Numero de estudiantes ciclo más tasa de deserción 35%</t>
  </si>
  <si>
    <t>Numero de estudiantes ciclo más tasa de deserción 17,5%</t>
  </si>
  <si>
    <t>FLUJO DE FONDOS ANUAL NETO PROYECTADO</t>
  </si>
  <si>
    <t>(+)</t>
  </si>
  <si>
    <t>(-)</t>
  </si>
  <si>
    <t>GASTOS FINANCIEROS</t>
  </si>
  <si>
    <t>(=)</t>
  </si>
  <si>
    <t>UTILIDAD ANTES DE IMPUESTOS Y PARTICIPACION A TRABAJADORES</t>
  </si>
  <si>
    <t>IMPUESO A LA RENTA 25%</t>
  </si>
  <si>
    <t>INVERSIÓN</t>
  </si>
  <si>
    <t>DEPRECIACIÓN</t>
  </si>
  <si>
    <t>RECUPERACIÓN DEL CAPITAL DE TRABAJO</t>
  </si>
  <si>
    <t>PAGO DEL CREDITO</t>
  </si>
  <si>
    <t>FLUJO DE FONDOS NETO EN USO</t>
  </si>
  <si>
    <t>AMORTIZACION DE ACTIVOS DIFERIDOS</t>
  </si>
  <si>
    <t>AMORTIZACIÓN</t>
  </si>
  <si>
    <t>PORCENTAJE</t>
  </si>
  <si>
    <t>Permiso Municipal</t>
  </si>
  <si>
    <t>Permiso Bomberos</t>
  </si>
  <si>
    <t>previsión</t>
  </si>
  <si>
    <t>AFP</t>
  </si>
  <si>
    <t xml:space="preserve"> </t>
  </si>
  <si>
    <t>INVERSIÓN INICIAL</t>
  </si>
  <si>
    <t>% INVERSIÓN TOTAL</t>
  </si>
  <si>
    <t>RECURSOS PROPIOS</t>
  </si>
  <si>
    <t>RECURSOS FINANCIADOS</t>
  </si>
  <si>
    <t>CAPITAL</t>
  </si>
  <si>
    <t>TASA DE INTERES ANUAL</t>
  </si>
  <si>
    <t>PLAZO DEL PRESTAMO AÑOS</t>
  </si>
  <si>
    <t>PLAZO DEL PRESTAMO MESES</t>
  </si>
  <si>
    <t>Nº Pago</t>
  </si>
  <si>
    <t>Saldo del Capital</t>
  </si>
  <si>
    <t>Interés</t>
  </si>
  <si>
    <t>Amortización del capital</t>
  </si>
  <si>
    <t>Cuota</t>
  </si>
  <si>
    <t>Interes Acumulado</t>
  </si>
  <si>
    <t>INFORMACIÓN REQUERIDA A LAS IES  PARA ANALIZAR EL ESTUDIO TÉCNICO DE JUSTIFICACIÓN DEL ARANCEL</t>
  </si>
  <si>
    <t>PARÁMETROS</t>
  </si>
  <si>
    <t>CRITERIOS</t>
  </si>
  <si>
    <t>VALORES</t>
  </si>
  <si>
    <t>Costo por carrera</t>
  </si>
  <si>
    <t>Costo  de carreras similares que oferta la IES** (especificar si es valor anual, semestral u otro)</t>
  </si>
  <si>
    <t>2,188.00 USD</t>
  </si>
  <si>
    <t>Semestre</t>
  </si>
  <si>
    <t>Pago adecuado del personal académico</t>
  </si>
  <si>
    <t>Remuneración promedio de los profesores a tiempo completo de la carrera*</t>
  </si>
  <si>
    <t>Incluido cargas sociales</t>
  </si>
  <si>
    <t xml:space="preserve">Relación  entre el gasto  de personal académico respecto del gasto total de la Carrera* </t>
  </si>
  <si>
    <t>Relación entre el gasto de personal académico respecto del gasto total en personal de la carrera*</t>
  </si>
  <si>
    <t>Relación de profesores con títulos de PhD. y maestría con los que cuenta la carrera, respecto del total de profesores de la carrera*</t>
  </si>
  <si>
    <t>Gasto en investigación y extensión</t>
  </si>
  <si>
    <t>Relación entre el gasto en investigación y desarrollo respecto del gasto total de la carrera*</t>
  </si>
  <si>
    <t>Relación entre el gasto en vinculación respecto del gasto total de la carrera*</t>
  </si>
  <si>
    <t>Costo de servicio educativo</t>
  </si>
  <si>
    <t>Este valor se comprende dentro de la matrícula, la cual está en función el arancel*</t>
  </si>
  <si>
    <t>Desarrollo de infraestructura y otras inversiones de tipo académico</t>
  </si>
  <si>
    <t>Porcentaje del gasto destinado al desarrollo de la infraestructura y otras inversiones de tipo académico de la carrera*</t>
  </si>
  <si>
    <t>Arancel y matrícula   vigente</t>
  </si>
  <si>
    <t>Valor de arancel cobrado por la institución en el último periodo lectivo** ( especificar si es anual, semestral u otro)</t>
  </si>
  <si>
    <t>Valor de matrícula cobrado por la institución en el último periodo lectivo** ( especificar si es anual, semestral u otro)</t>
  </si>
  <si>
    <t>Arancel y matrícula  propuesto</t>
  </si>
  <si>
    <t>Valor de arancel propuesto para un periodo lectivo**</t>
  </si>
  <si>
    <t>( especificar si es anual, semestral u otro)</t>
  </si>
  <si>
    <t>Valor de matrícula propuesto para un periodo lectivo**</t>
  </si>
  <si>
    <t xml:space="preserve">N. de estudiantes </t>
  </si>
  <si>
    <t>Cantidad de estudiantes propuestos para aperturar la primera cohorte*</t>
  </si>
  <si>
    <t>* Información que debe requerirse a la IES.</t>
  </si>
  <si>
    <t>**Información que se debe requerir a la IES, en función del nivel más alto de recaudación, en el caso de contar con  sistemas diferenciados de aranceles.</t>
  </si>
  <si>
    <t>PERIODO DE RECUPERACIÓN DE CAPITAL</t>
  </si>
  <si>
    <t>RESULTADO DEL EJERCICIO</t>
  </si>
  <si>
    <t>(+) DEPRECIACIÓN</t>
  </si>
  <si>
    <t>(+) AMORTIZACIÓN DE DIFERIDOS</t>
  </si>
  <si>
    <t>(-) INVERSIÓN INICIAL</t>
  </si>
  <si>
    <t xml:space="preserve">FLUJO DE FONDOS NETO DESCONTADO ACUMULADO </t>
  </si>
  <si>
    <t>MESES</t>
  </si>
  <si>
    <t>DIAS</t>
  </si>
  <si>
    <t>BALANCE PROYECTADO</t>
  </si>
  <si>
    <t>ACTIVOS</t>
  </si>
  <si>
    <t>CORRIENTE</t>
  </si>
  <si>
    <t>Caja</t>
  </si>
  <si>
    <t>Bancos</t>
  </si>
  <si>
    <t>REALIZABLE</t>
  </si>
  <si>
    <t>Inventarios</t>
  </si>
  <si>
    <t>Suministros y materiales</t>
  </si>
  <si>
    <t>FIJO TANGIBLE</t>
  </si>
  <si>
    <t>(-) Depreciación Acumulada Muebles y enseres</t>
  </si>
  <si>
    <t>Equipos de Computación</t>
  </si>
  <si>
    <t>(-) Depreciación Acumulada Equipos de Computación</t>
  </si>
  <si>
    <t>Electrodomesticos</t>
  </si>
  <si>
    <t>(-) Depreciación Acumulada Electrodomesticos</t>
  </si>
  <si>
    <t>Equipos de Oficina</t>
  </si>
  <si>
    <t>(-) Depreciación Acumulada Equipos de Oficina</t>
  </si>
  <si>
    <t>TOTAL DEL ACTIVO</t>
  </si>
  <si>
    <t>PASIVO</t>
  </si>
  <si>
    <t>PASIVO CORRIENTE</t>
  </si>
  <si>
    <t>15% Participación a trabajadores</t>
  </si>
  <si>
    <t>25% Impuesto a la renta</t>
  </si>
  <si>
    <t>PASIVO LARGO PLAZO</t>
  </si>
  <si>
    <t>Prestamos x pagar</t>
  </si>
  <si>
    <t>Intereses x pagar</t>
  </si>
  <si>
    <t>TOTAL PASIVO</t>
  </si>
  <si>
    <t>PATRIMONIO</t>
  </si>
  <si>
    <t>Capital</t>
  </si>
  <si>
    <t>Utilidad del Año Anterior</t>
  </si>
  <si>
    <t>TOTAL DEL PATRIMONIO</t>
  </si>
  <si>
    <t>TOTAL PASIVO + PATRIMONIO</t>
  </si>
  <si>
    <t xml:space="preserve">PERSONAL </t>
  </si>
  <si>
    <t xml:space="preserve">RESUMEN SUELDOS PERSONAL </t>
  </si>
  <si>
    <t>TASA MINIMA DE RENDIMIENTO</t>
  </si>
  <si>
    <t>statista</t>
  </si>
  <si>
    <t>Titu.67%</t>
  </si>
  <si>
    <t>Sistemas ComputacionaleRobótica e Inteligencia artificial</t>
  </si>
  <si>
    <t>Laboratorio de  Redes</t>
  </si>
  <si>
    <t>Resma de papel bond de 75 gramos</t>
  </si>
  <si>
    <t>Papel Higiénico (Rollo Grande)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</si>
</sst>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\ _€_-;\-* #,##0.00\ _€_-;_-* &quot;-&quot;??\ _€_-;_-@_-"/>
    <numFmt numFmtId="165" formatCode="_(&quot;$&quot;\ * #,##0.00_);_(&quot;$&quot;\ * \(#,##0.00\);_(&quot;$&quot;\ * &quot;-&quot;??_);_(@_)"/>
    <numFmt numFmtId="166" formatCode="[$$-300A]\ #,##0"/>
    <numFmt numFmtId="167" formatCode="0.0000"/>
    <numFmt numFmtId="168" formatCode="0.0"/>
    <numFmt numFmtId="169" formatCode="#,##0_ ;[Red]\ \ \(#,##0\)"/>
    <numFmt numFmtId="170" formatCode="_ * #,##0_ ;_ * \-#,##0_ ;_ * &quot;-&quot;??_ ;_ @_ "/>
    <numFmt numFmtId="171" formatCode="_-[$$-300A]\ * #,##0_ ;_-[$$-300A]\ * \-#,##0\ ;_-[$$-300A]\ * &quot;-&quot;??_ ;_-@_ "/>
    <numFmt numFmtId="172" formatCode="_-[$$-300A]\ * #,##0.00_ ;_-[$$-300A]\ * \-#,##0.00\ ;_-[$$-300A]\ * &quot;-&quot;??_ ;_-@_ "/>
    <numFmt numFmtId="173" formatCode="_-* #,##0\ _€_-;\-* #,##0\ _€_-;_-* &quot;-&quot;??\ _€_-;_-@_-"/>
    <numFmt numFmtId="174" formatCode="[$$-300A]\ #,##0.00"/>
    <numFmt numFmtId="175" formatCode="_ [$$-300A]* #,##0.00_ ;_ [$$-300A]* \-#,##0.00_ ;_ [$$-300A]* &quot;-&quot;??_ ;_ @_ "/>
    <numFmt numFmtId="176" formatCode="0.0%"/>
    <numFmt numFmtId="177" formatCode="_(&quot;$&quot;\ * #,##0_);_(&quot;$&quot;\ * \(#,##0\);_(&quot;$&quot;\ * &quot;-&quot;??_);_(@_)"/>
    <numFmt numFmtId="178" formatCode="[$$-300A]#,##0.00"/>
    <numFmt numFmtId="179" formatCode="_-* #,##0.00\ [$€-C0A]_-;\-* #,##0.00\ [$€-C0A]_-;_-* &quot;-&quot;??\ [$€-C0A]_-;_-@_-"/>
    <numFmt numFmtId="180" formatCode="[$USD]\ #,##0.00"/>
    <numFmt numFmtId="181" formatCode="_-* #,##0.00000\ _€_-;\-* #,##0.00000\ _€_-;_-* &quot;-&quot;??\ _€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sz val="8"/>
      <color rgb="FF000000"/>
      <name val="Arial Narrow"/>
      <family val="2"/>
    </font>
    <font>
      <b/>
      <sz val="12"/>
      <color rgb="FF000000"/>
      <name val="Arial Narrow"/>
      <family val="2"/>
    </font>
    <font>
      <sz val="8"/>
      <name val="Arial Narrow"/>
      <family val="2"/>
    </font>
    <font>
      <b/>
      <u/>
      <sz val="12"/>
      <color theme="1"/>
      <name val="Arial Narrow"/>
      <family val="2"/>
    </font>
    <font>
      <b/>
      <sz val="8"/>
      <name val="Arial Narrow"/>
      <family val="2"/>
    </font>
    <font>
      <sz val="8"/>
      <color theme="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rial Narrow"/>
      <family val="2"/>
    </font>
    <font>
      <b/>
      <sz val="8"/>
      <color theme="0"/>
      <name val="Arial Narrow"/>
      <family val="2"/>
    </font>
    <font>
      <sz val="8"/>
      <color rgb="FFFF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8"/>
      <color rgb="FF00B050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Arial Narrow"/>
      <family val="2"/>
    </font>
    <font>
      <sz val="8"/>
      <color rgb="FFFF0000"/>
      <name val="Calibri"/>
      <family val="2"/>
      <scheme val="minor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9"/>
      <color theme="1"/>
      <name val="Calibri"/>
      <family val="2"/>
      <scheme val="minor"/>
    </font>
    <font>
      <b/>
      <sz val="10"/>
      <name val="Arial Narrow"/>
      <family val="2"/>
    </font>
    <font>
      <b/>
      <i/>
      <sz val="8"/>
      <color rgb="FFC00000"/>
      <name val="Arial Narrow"/>
      <family val="2"/>
    </font>
    <font>
      <sz val="7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1D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0">
    <xf numFmtId="0" fontId="0" fillId="0" borderId="0" xfId="0"/>
    <xf numFmtId="0" fontId="0" fillId="3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wrapText="1"/>
    </xf>
    <xf numFmtId="168" fontId="4" fillId="0" borderId="12" xfId="0" applyNumberFormat="1" applyFont="1" applyBorder="1"/>
    <xf numFmtId="2" fontId="4" fillId="0" borderId="13" xfId="0" applyNumberFormat="1" applyFont="1" applyBorder="1"/>
    <xf numFmtId="0" fontId="5" fillId="0" borderId="55" xfId="0" applyFont="1" applyBorder="1" applyAlignment="1">
      <alignment horizontal="center"/>
    </xf>
    <xf numFmtId="168" fontId="4" fillId="0" borderId="57" xfId="0" applyNumberFormat="1" applyFont="1" applyBorder="1"/>
    <xf numFmtId="2" fontId="4" fillId="0" borderId="0" xfId="0" applyNumberFormat="1" applyFont="1"/>
    <xf numFmtId="0" fontId="7" fillId="0" borderId="0" xfId="0" applyFont="1"/>
    <xf numFmtId="165" fontId="7" fillId="3" borderId="8" xfId="0" applyNumberFormat="1" applyFont="1" applyFill="1" applyBorder="1"/>
    <xf numFmtId="10" fontId="7" fillId="6" borderId="10" xfId="0" applyNumberFormat="1" applyFont="1" applyFill="1" applyBorder="1"/>
    <xf numFmtId="10" fontId="7" fillId="0" borderId="10" xfId="0" applyNumberFormat="1" applyFont="1" applyBorder="1"/>
    <xf numFmtId="0" fontId="7" fillId="6" borderId="10" xfId="0" applyFont="1" applyFill="1" applyBorder="1"/>
    <xf numFmtId="0" fontId="7" fillId="0" borderId="13" xfId="0" applyFont="1" applyBorder="1"/>
    <xf numFmtId="0" fontId="6" fillId="4" borderId="3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7" fillId="0" borderId="35" xfId="0" applyFont="1" applyBorder="1"/>
    <xf numFmtId="165" fontId="9" fillId="0" borderId="14" xfId="1" applyFont="1" applyBorder="1"/>
    <xf numFmtId="165" fontId="7" fillId="0" borderId="15" xfId="0" applyNumberFormat="1" applyFont="1" applyBorder="1"/>
    <xf numFmtId="0" fontId="7" fillId="0" borderId="0" xfId="0" applyFont="1" applyAlignment="1">
      <alignment horizontal="justify"/>
    </xf>
    <xf numFmtId="0" fontId="7" fillId="0" borderId="9" xfId="0" applyFont="1" applyBorder="1"/>
    <xf numFmtId="165" fontId="9" fillId="0" borderId="3" xfId="1" applyFont="1" applyBorder="1"/>
    <xf numFmtId="165" fontId="7" fillId="0" borderId="10" xfId="0" applyNumberFormat="1" applyFont="1" applyBorder="1"/>
    <xf numFmtId="9" fontId="7" fillId="0" borderId="0" xfId="0" applyNumberFormat="1" applyFont="1" applyAlignment="1">
      <alignment horizontal="justify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top"/>
    </xf>
    <xf numFmtId="0" fontId="9" fillId="2" borderId="0" xfId="0" applyFont="1" applyFill="1" applyAlignment="1">
      <alignment vertical="top"/>
    </xf>
    <xf numFmtId="0" fontId="7" fillId="0" borderId="11" xfId="0" applyFont="1" applyBorder="1"/>
    <xf numFmtId="165" fontId="9" fillId="0" borderId="12" xfId="1" applyFont="1" applyBorder="1"/>
    <xf numFmtId="165" fontId="7" fillId="0" borderId="13" xfId="0" applyNumberFormat="1" applyFont="1" applyBorder="1"/>
    <xf numFmtId="165" fontId="7" fillId="0" borderId="0" xfId="0" applyNumberFormat="1" applyFont="1"/>
    <xf numFmtId="165" fontId="9" fillId="0" borderId="0" xfId="1" applyFont="1" applyFill="1" applyBorder="1"/>
    <xf numFmtId="0" fontId="12" fillId="0" borderId="0" xfId="0" applyFont="1"/>
    <xf numFmtId="0" fontId="11" fillId="0" borderId="11" xfId="0" applyFont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3" xfId="0" applyFont="1" applyBorder="1" applyAlignment="1">
      <alignment vertical="center"/>
    </xf>
    <xf numFmtId="175" fontId="12" fillId="0" borderId="3" xfId="0" applyNumberFormat="1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9" xfId="0" applyFont="1" applyBorder="1" applyAlignment="1">
      <alignment vertical="center"/>
    </xf>
    <xf numFmtId="1" fontId="12" fillId="0" borderId="3" xfId="0" applyNumberFormat="1" applyFont="1" applyBorder="1" applyAlignment="1">
      <alignment vertical="center"/>
    </xf>
    <xf numFmtId="1" fontId="12" fillId="0" borderId="10" xfId="0" applyNumberFormat="1" applyFont="1" applyBorder="1" applyAlignment="1">
      <alignment vertical="center"/>
    </xf>
    <xf numFmtId="1" fontId="12" fillId="0" borderId="12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9" fontId="12" fillId="0" borderId="0" xfId="0" applyNumberFormat="1" applyFont="1" applyAlignment="1">
      <alignment vertical="center"/>
    </xf>
    <xf numFmtId="0" fontId="10" fillId="0" borderId="36" xfId="0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12" fillId="7" borderId="9" xfId="0" applyFont="1" applyFill="1" applyBorder="1" applyAlignment="1">
      <alignment vertical="center"/>
    </xf>
    <xf numFmtId="1" fontId="12" fillId="7" borderId="3" xfId="0" applyNumberFormat="1" applyFont="1" applyFill="1" applyBorder="1" applyAlignment="1">
      <alignment vertical="center"/>
    </xf>
    <xf numFmtId="1" fontId="12" fillId="7" borderId="10" xfId="0" applyNumberFormat="1" applyFont="1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7" borderId="11" xfId="0" applyFont="1" applyFill="1" applyBorder="1" applyAlignment="1">
      <alignment vertical="center"/>
    </xf>
    <xf numFmtId="1" fontId="12" fillId="7" borderId="12" xfId="0" applyNumberFormat="1" applyFont="1" applyFill="1" applyBorder="1" applyAlignment="1">
      <alignment vertical="center"/>
    </xf>
    <xf numFmtId="1" fontId="12" fillId="7" borderId="13" xfId="0" applyNumberFormat="1" applyFont="1" applyFill="1" applyBorder="1" applyAlignment="1">
      <alignment vertical="center"/>
    </xf>
    <xf numFmtId="0" fontId="12" fillId="7" borderId="0" xfId="0" applyFont="1" applyFill="1" applyAlignment="1">
      <alignment vertical="center"/>
    </xf>
    <xf numFmtId="1" fontId="12" fillId="7" borderId="0" xfId="0" applyNumberFormat="1" applyFont="1" applyFill="1" applyAlignment="1">
      <alignment vertical="center"/>
    </xf>
    <xf numFmtId="2" fontId="15" fillId="7" borderId="14" xfId="0" applyNumberFormat="1" applyFont="1" applyFill="1" applyBorder="1" applyAlignment="1">
      <alignment vertical="center"/>
    </xf>
    <xf numFmtId="0" fontId="10" fillId="7" borderId="31" xfId="0" applyFont="1" applyFill="1" applyBorder="1" applyAlignment="1">
      <alignment horizontal="center" vertical="center"/>
    </xf>
    <xf numFmtId="165" fontId="12" fillId="0" borderId="0" xfId="1" applyFont="1" applyBorder="1" applyAlignment="1">
      <alignment vertical="center"/>
    </xf>
    <xf numFmtId="177" fontId="12" fillId="7" borderId="9" xfId="0" applyNumberFormat="1" applyFont="1" applyFill="1" applyBorder="1" applyAlignment="1">
      <alignment vertical="center"/>
    </xf>
    <xf numFmtId="177" fontId="12" fillId="7" borderId="3" xfId="1" applyNumberFormat="1" applyFont="1" applyFill="1" applyBorder="1" applyAlignment="1">
      <alignment vertical="center"/>
    </xf>
    <xf numFmtId="177" fontId="12" fillId="7" borderId="10" xfId="1" applyNumberFormat="1" applyFont="1" applyFill="1" applyBorder="1" applyAlignment="1">
      <alignment vertical="center"/>
    </xf>
    <xf numFmtId="165" fontId="11" fillId="0" borderId="0" xfId="1" applyFont="1" applyBorder="1" applyAlignment="1">
      <alignment vertical="center"/>
    </xf>
    <xf numFmtId="168" fontId="12" fillId="7" borderId="10" xfId="0" applyNumberFormat="1" applyFont="1" applyFill="1" applyBorder="1" applyAlignment="1">
      <alignment vertical="center"/>
    </xf>
    <xf numFmtId="0" fontId="12" fillId="7" borderId="3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1" fontId="12" fillId="7" borderId="7" xfId="0" applyNumberFormat="1" applyFont="1" applyFill="1" applyBorder="1" applyAlignment="1">
      <alignment vertical="center"/>
    </xf>
    <xf numFmtId="1" fontId="12" fillId="7" borderId="8" xfId="0" applyNumberFormat="1" applyFont="1" applyFill="1" applyBorder="1" applyAlignment="1">
      <alignment vertical="center"/>
    </xf>
    <xf numFmtId="177" fontId="10" fillId="7" borderId="44" xfId="1" applyNumberFormat="1" applyFont="1" applyFill="1" applyBorder="1" applyAlignment="1">
      <alignment vertical="center"/>
    </xf>
    <xf numFmtId="177" fontId="10" fillId="7" borderId="45" xfId="1" applyNumberFormat="1" applyFont="1" applyFill="1" applyBorder="1" applyAlignment="1">
      <alignment vertical="center"/>
    </xf>
    <xf numFmtId="177" fontId="12" fillId="7" borderId="6" xfId="0" applyNumberFormat="1" applyFont="1" applyFill="1" applyBorder="1" applyAlignment="1">
      <alignment vertical="center"/>
    </xf>
    <xf numFmtId="177" fontId="12" fillId="7" borderId="7" xfId="1" applyNumberFormat="1" applyFont="1" applyFill="1" applyBorder="1" applyAlignment="1">
      <alignment vertical="center"/>
    </xf>
    <xf numFmtId="177" fontId="12" fillId="7" borderId="8" xfId="1" applyNumberFormat="1" applyFont="1" applyFill="1" applyBorder="1" applyAlignment="1">
      <alignment vertical="center"/>
    </xf>
    <xf numFmtId="177" fontId="12" fillId="7" borderId="12" xfId="1" applyNumberFormat="1" applyFont="1" applyFill="1" applyBorder="1" applyAlignment="1">
      <alignment vertical="center"/>
    </xf>
    <xf numFmtId="177" fontId="12" fillId="7" borderId="13" xfId="1" applyNumberFormat="1" applyFont="1" applyFill="1" applyBorder="1" applyAlignment="1">
      <alignment vertical="center"/>
    </xf>
    <xf numFmtId="0" fontId="12" fillId="5" borderId="3" xfId="0" applyFont="1" applyFill="1" applyBorder="1" applyAlignment="1">
      <alignment vertical="center"/>
    </xf>
    <xf numFmtId="1" fontId="12" fillId="7" borderId="9" xfId="0" applyNumberFormat="1" applyFont="1" applyFill="1" applyBorder="1" applyAlignment="1">
      <alignment vertical="center"/>
    </xf>
    <xf numFmtId="165" fontId="12" fillId="7" borderId="3" xfId="1" applyFont="1" applyFill="1" applyBorder="1" applyAlignment="1" applyProtection="1">
      <alignment vertical="center"/>
      <protection locked="0"/>
    </xf>
    <xf numFmtId="165" fontId="12" fillId="7" borderId="10" xfId="1" applyFont="1" applyFill="1" applyBorder="1" applyAlignment="1">
      <alignment vertical="center"/>
    </xf>
    <xf numFmtId="1" fontId="12" fillId="7" borderId="11" xfId="0" applyNumberFormat="1" applyFont="1" applyFill="1" applyBorder="1" applyAlignment="1">
      <alignment vertical="center"/>
    </xf>
    <xf numFmtId="0" fontId="10" fillId="7" borderId="3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 applyProtection="1">
      <alignment vertical="center"/>
      <protection locked="0"/>
    </xf>
    <xf numFmtId="1" fontId="12" fillId="7" borderId="6" xfId="0" applyNumberFormat="1" applyFont="1" applyFill="1" applyBorder="1" applyAlignment="1">
      <alignment vertical="center"/>
    </xf>
    <xf numFmtId="165" fontId="12" fillId="7" borderId="8" xfId="1" applyFont="1" applyFill="1" applyBorder="1" applyAlignment="1">
      <alignment vertical="center"/>
    </xf>
    <xf numFmtId="0" fontId="13" fillId="7" borderId="12" xfId="0" applyFont="1" applyFill="1" applyBorder="1" applyAlignment="1">
      <alignment vertical="center"/>
    </xf>
    <xf numFmtId="165" fontId="13" fillId="7" borderId="13" xfId="1" applyFont="1" applyFill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165" fontId="10" fillId="7" borderId="13" xfId="1" applyFont="1" applyFill="1" applyBorder="1" applyAlignment="1">
      <alignment vertical="center"/>
    </xf>
    <xf numFmtId="0" fontId="12" fillId="7" borderId="7" xfId="0" applyFont="1" applyFill="1" applyBorder="1" applyAlignment="1">
      <alignment vertical="center"/>
    </xf>
    <xf numFmtId="165" fontId="10" fillId="7" borderId="13" xfId="0" applyNumberFormat="1" applyFont="1" applyFill="1" applyBorder="1" applyAlignment="1">
      <alignment vertical="center"/>
    </xf>
    <xf numFmtId="165" fontId="10" fillId="7" borderId="45" xfId="0" applyNumberFormat="1" applyFont="1" applyFill="1" applyBorder="1" applyAlignment="1">
      <alignment vertical="center"/>
    </xf>
    <xf numFmtId="0" fontId="10" fillId="0" borderId="60" xfId="0" applyFont="1" applyBorder="1" applyAlignment="1">
      <alignment horizontal="left" vertical="center"/>
    </xf>
    <xf numFmtId="171" fontId="10" fillId="0" borderId="50" xfId="0" applyNumberFormat="1" applyFont="1" applyBorder="1" applyAlignment="1" applyProtection="1">
      <alignment vertical="center"/>
      <protection locked="0"/>
    </xf>
    <xf numFmtId="165" fontId="12" fillId="0" borderId="3" xfId="1" applyFont="1" applyFill="1" applyBorder="1" applyAlignment="1">
      <alignment vertical="center"/>
    </xf>
    <xf numFmtId="165" fontId="12" fillId="0" borderId="10" xfId="1" applyFont="1" applyFill="1" applyBorder="1" applyAlignment="1">
      <alignment vertical="center"/>
    </xf>
    <xf numFmtId="165" fontId="11" fillId="0" borderId="10" xfId="1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1" fontId="10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165" fontId="12" fillId="0" borderId="0" xfId="1" applyFont="1" applyFill="1" applyBorder="1" applyAlignment="1">
      <alignment vertical="center"/>
    </xf>
    <xf numFmtId="165" fontId="11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165" fontId="12" fillId="0" borderId="3" xfId="1" applyFont="1" applyFill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165" fontId="12" fillId="0" borderId="12" xfId="1" applyFont="1" applyFill="1" applyBorder="1" applyAlignment="1" applyProtection="1">
      <alignment vertical="center"/>
      <protection locked="0"/>
    </xf>
    <xf numFmtId="165" fontId="12" fillId="0" borderId="13" xfId="1" applyFont="1" applyFill="1" applyBorder="1" applyAlignment="1">
      <alignment vertical="center"/>
    </xf>
    <xf numFmtId="0" fontId="12" fillId="0" borderId="11" xfId="0" applyFont="1" applyBorder="1" applyAlignment="1" applyProtection="1">
      <alignment vertical="center"/>
      <protection locked="0"/>
    </xf>
    <xf numFmtId="0" fontId="10" fillId="0" borderId="16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/>
    </xf>
    <xf numFmtId="165" fontId="10" fillId="0" borderId="15" xfId="1" applyFont="1" applyFill="1" applyBorder="1" applyAlignment="1">
      <alignment vertical="center"/>
    </xf>
    <xf numFmtId="165" fontId="15" fillId="0" borderId="3" xfId="1" applyFont="1" applyFill="1" applyBorder="1" applyAlignment="1">
      <alignment vertical="center"/>
    </xf>
    <xf numFmtId="165" fontId="10" fillId="0" borderId="8" xfId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73" fontId="12" fillId="0" borderId="3" xfId="5" applyNumberFormat="1" applyFont="1" applyFill="1" applyBorder="1" applyAlignment="1">
      <alignment vertical="center"/>
    </xf>
    <xf numFmtId="173" fontId="12" fillId="0" borderId="10" xfId="5" applyNumberFormat="1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" fontId="12" fillId="0" borderId="0" xfId="0" applyNumberFormat="1" applyFont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9" fontId="12" fillId="0" borderId="0" xfId="6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/>
      <protection locked="0"/>
    </xf>
    <xf numFmtId="1" fontId="12" fillId="0" borderId="0" xfId="0" applyNumberFormat="1" applyFont="1" applyAlignment="1">
      <alignment horizontal="right" vertical="center"/>
    </xf>
    <xf numFmtId="0" fontId="14" fillId="0" borderId="36" xfId="0" applyFont="1" applyBorder="1" applyAlignment="1">
      <alignment vertical="center" wrapText="1"/>
    </xf>
    <xf numFmtId="0" fontId="10" fillId="0" borderId="12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173" fontId="10" fillId="0" borderId="45" xfId="5" applyNumberFormat="1" applyFont="1" applyFill="1" applyBorder="1" applyAlignment="1">
      <alignment vertical="center"/>
    </xf>
    <xf numFmtId="1" fontId="10" fillId="0" borderId="0" xfId="0" applyNumberFormat="1" applyFont="1" applyAlignment="1">
      <alignment vertical="center"/>
    </xf>
    <xf numFmtId="175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5" borderId="12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0" borderId="9" xfId="0" applyFont="1" applyBorder="1"/>
    <xf numFmtId="165" fontId="12" fillId="0" borderId="3" xfId="1" applyFont="1" applyFill="1" applyBorder="1" applyProtection="1">
      <protection locked="0"/>
    </xf>
    <xf numFmtId="0" fontId="15" fillId="0" borderId="0" xfId="0" applyFont="1" applyAlignment="1">
      <alignment vertical="center"/>
    </xf>
    <xf numFmtId="165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165" fontId="12" fillId="0" borderId="3" xfId="0" applyNumberFormat="1" applyFont="1" applyBorder="1" applyAlignment="1">
      <alignment vertical="center"/>
    </xf>
    <xf numFmtId="165" fontId="12" fillId="0" borderId="9" xfId="1" applyFont="1" applyFill="1" applyBorder="1" applyAlignment="1">
      <alignment vertical="center"/>
    </xf>
    <xf numFmtId="165" fontId="12" fillId="0" borderId="10" xfId="0" applyNumberFormat="1" applyFont="1" applyBorder="1" applyAlignment="1">
      <alignment vertical="center"/>
    </xf>
    <xf numFmtId="165" fontId="12" fillId="0" borderId="11" xfId="1" applyFont="1" applyFill="1" applyBorder="1" applyAlignment="1">
      <alignment vertical="center"/>
    </xf>
    <xf numFmtId="165" fontId="12" fillId="0" borderId="12" xfId="1" applyFont="1" applyFill="1" applyBorder="1" applyAlignment="1">
      <alignment vertical="center"/>
    </xf>
    <xf numFmtId="165" fontId="12" fillId="0" borderId="12" xfId="0" applyNumberFormat="1" applyFont="1" applyBorder="1" applyAlignment="1">
      <alignment vertical="center"/>
    </xf>
    <xf numFmtId="165" fontId="12" fillId="0" borderId="13" xfId="0" applyNumberFormat="1" applyFont="1" applyBorder="1" applyAlignment="1">
      <alignment vertical="center"/>
    </xf>
    <xf numFmtId="165" fontId="12" fillId="0" borderId="31" xfId="1" applyFont="1" applyFill="1" applyBorder="1" applyAlignment="1">
      <alignment vertical="center"/>
    </xf>
    <xf numFmtId="165" fontId="10" fillId="0" borderId="35" xfId="1" applyFont="1" applyFill="1" applyBorder="1" applyAlignment="1">
      <alignment vertical="center"/>
    </xf>
    <xf numFmtId="165" fontId="10" fillId="0" borderId="14" xfId="1" applyFont="1" applyFill="1" applyBorder="1" applyAlignment="1">
      <alignment vertical="center"/>
    </xf>
    <xf numFmtId="165" fontId="10" fillId="0" borderId="6" xfId="1" applyFont="1" applyFill="1" applyBorder="1" applyAlignment="1">
      <alignment vertical="center"/>
    </xf>
    <xf numFmtId="165" fontId="10" fillId="0" borderId="45" xfId="0" applyNumberFormat="1" applyFont="1" applyBorder="1" applyAlignment="1">
      <alignment vertical="center"/>
    </xf>
    <xf numFmtId="0" fontId="15" fillId="0" borderId="59" xfId="0" applyFont="1" applyBorder="1" applyAlignment="1">
      <alignment vertical="center"/>
    </xf>
    <xf numFmtId="165" fontId="10" fillId="0" borderId="16" xfId="0" applyNumberFormat="1" applyFont="1" applyBorder="1" applyAlignment="1">
      <alignment vertical="center"/>
    </xf>
    <xf numFmtId="165" fontId="10" fillId="0" borderId="17" xfId="0" applyNumberFormat="1" applyFont="1" applyBorder="1" applyAlignment="1">
      <alignment vertical="center"/>
    </xf>
    <xf numFmtId="165" fontId="10" fillId="0" borderId="14" xfId="0" applyNumberFormat="1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165" fontId="10" fillId="0" borderId="7" xfId="1" applyFont="1" applyFill="1" applyBorder="1" applyAlignment="1">
      <alignment vertical="center"/>
    </xf>
    <xf numFmtId="0" fontId="10" fillId="0" borderId="16" xfId="1" applyNumberFormat="1" applyFont="1" applyFill="1" applyBorder="1" applyAlignment="1">
      <alignment horizontal="center" vertical="center"/>
    </xf>
    <xf numFmtId="0" fontId="10" fillId="0" borderId="17" xfId="1" applyNumberFormat="1" applyFont="1" applyFill="1" applyBorder="1" applyAlignment="1">
      <alignment horizontal="center" vertical="center"/>
    </xf>
    <xf numFmtId="165" fontId="10" fillId="0" borderId="10" xfId="1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5" xfId="0" applyFont="1" applyBorder="1"/>
    <xf numFmtId="0" fontId="10" fillId="0" borderId="6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vertical="center"/>
    </xf>
    <xf numFmtId="4" fontId="12" fillId="0" borderId="3" xfId="1" applyNumberFormat="1" applyFont="1" applyFill="1" applyBorder="1" applyAlignment="1">
      <alignment vertical="center"/>
    </xf>
    <xf numFmtId="4" fontId="12" fillId="0" borderId="10" xfId="1" applyNumberFormat="1" applyFont="1" applyFill="1" applyBorder="1" applyAlignment="1">
      <alignment vertical="center"/>
    </xf>
    <xf numFmtId="4" fontId="10" fillId="0" borderId="12" xfId="1" applyNumberFormat="1" applyFont="1" applyFill="1" applyBorder="1" applyAlignment="1">
      <alignment vertical="center"/>
    </xf>
    <xf numFmtId="4" fontId="10" fillId="0" borderId="13" xfId="1" applyNumberFormat="1" applyFont="1" applyFill="1" applyBorder="1" applyAlignment="1">
      <alignment vertical="center"/>
    </xf>
    <xf numFmtId="2" fontId="12" fillId="0" borderId="0" xfId="0" applyNumberFormat="1" applyFont="1" applyAlignment="1">
      <alignment horizontal="center" vertical="center"/>
    </xf>
    <xf numFmtId="4" fontId="12" fillId="0" borderId="0" xfId="1" applyNumberFormat="1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1" fontId="12" fillId="0" borderId="14" xfId="0" applyNumberFormat="1" applyFont="1" applyBorder="1" applyAlignment="1">
      <alignment vertical="center"/>
    </xf>
    <xf numFmtId="173" fontId="12" fillId="0" borderId="14" xfId="5" applyNumberFormat="1" applyFont="1" applyFill="1" applyBorder="1" applyAlignment="1">
      <alignment vertical="center"/>
    </xf>
    <xf numFmtId="0" fontId="12" fillId="0" borderId="33" xfId="0" applyFont="1" applyBorder="1" applyAlignment="1">
      <alignment horizontal="center" vertical="center"/>
    </xf>
    <xf numFmtId="167" fontId="12" fillId="0" borderId="34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7" fontId="12" fillId="0" borderId="27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1" fontId="15" fillId="0" borderId="12" xfId="0" applyNumberFormat="1" applyFont="1" applyBorder="1" applyAlignment="1">
      <alignment vertical="center"/>
    </xf>
    <xf numFmtId="4" fontId="10" fillId="0" borderId="12" xfId="0" applyNumberFormat="1" applyFont="1" applyBorder="1" applyAlignment="1">
      <alignment vertical="center"/>
    </xf>
    <xf numFmtId="4" fontId="10" fillId="0" borderId="13" xfId="0" applyNumberFormat="1" applyFont="1" applyBorder="1" applyAlignment="1">
      <alignment vertical="center"/>
    </xf>
    <xf numFmtId="0" fontId="10" fillId="0" borderId="36" xfId="0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/>
    </xf>
    <xf numFmtId="173" fontId="12" fillId="0" borderId="7" xfId="5" applyNumberFormat="1" applyFont="1" applyFill="1" applyBorder="1" applyAlignment="1">
      <alignment vertical="center"/>
    </xf>
    <xf numFmtId="175" fontId="12" fillId="0" borderId="3" xfId="5" applyNumberFormat="1" applyFont="1" applyFill="1" applyBorder="1" applyAlignment="1">
      <alignment vertical="center"/>
    </xf>
    <xf numFmtId="175" fontId="12" fillId="0" borderId="10" xfId="5" applyNumberFormat="1" applyFont="1" applyFill="1" applyBorder="1" applyAlignment="1">
      <alignment vertical="center"/>
    </xf>
    <xf numFmtId="175" fontId="12" fillId="0" borderId="12" xfId="5" applyNumberFormat="1" applyFont="1" applyFill="1" applyBorder="1" applyAlignment="1">
      <alignment vertical="center"/>
    </xf>
    <xf numFmtId="175" fontId="12" fillId="0" borderId="13" xfId="5" applyNumberFormat="1" applyFont="1" applyFill="1" applyBorder="1" applyAlignment="1">
      <alignment vertical="center"/>
    </xf>
    <xf numFmtId="173" fontId="12" fillId="0" borderId="8" xfId="5" applyNumberFormat="1" applyFont="1" applyFill="1" applyBorder="1" applyAlignment="1">
      <alignment vertical="center"/>
    </xf>
    <xf numFmtId="9" fontId="12" fillId="0" borderId="14" xfId="0" applyNumberFormat="1" applyFont="1" applyBorder="1" applyProtection="1">
      <protection locked="0"/>
    </xf>
    <xf numFmtId="165" fontId="12" fillId="0" borderId="14" xfId="1" applyFont="1" applyFill="1" applyBorder="1"/>
    <xf numFmtId="0" fontId="11" fillId="0" borderId="12" xfId="0" applyFont="1" applyBorder="1"/>
    <xf numFmtId="165" fontId="11" fillId="0" borderId="12" xfId="1" applyFont="1" applyFill="1" applyBorder="1"/>
    <xf numFmtId="165" fontId="11" fillId="0" borderId="13" xfId="1" applyFont="1" applyFill="1" applyBorder="1"/>
    <xf numFmtId="165" fontId="12" fillId="0" borderId="15" xfId="1" applyFont="1" applyFill="1" applyBorder="1"/>
    <xf numFmtId="172" fontId="12" fillId="0" borderId="12" xfId="0" applyNumberFormat="1" applyFont="1" applyBorder="1" applyAlignment="1">
      <alignment vertical="center"/>
    </xf>
    <xf numFmtId="9" fontId="11" fillId="0" borderId="0" xfId="0" applyNumberFormat="1" applyFont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42" xfId="0" applyFont="1" applyBorder="1" applyAlignment="1">
      <alignment vertical="center"/>
    </xf>
    <xf numFmtId="0" fontId="11" fillId="0" borderId="43" xfId="0" applyFont="1" applyBorder="1" applyAlignment="1">
      <alignment horizontal="center" vertical="center"/>
    </xf>
    <xf numFmtId="0" fontId="11" fillId="0" borderId="43" xfId="0" applyFont="1" applyBorder="1" applyAlignment="1">
      <alignment vertical="center"/>
    </xf>
    <xf numFmtId="172" fontId="12" fillId="0" borderId="7" xfId="0" applyNumberFormat="1" applyFont="1" applyBorder="1" applyAlignment="1">
      <alignment vertical="center"/>
    </xf>
    <xf numFmtId="172" fontId="12" fillId="0" borderId="8" xfId="0" applyNumberFormat="1" applyFont="1" applyBorder="1" applyAlignment="1">
      <alignment vertical="center"/>
    </xf>
    <xf numFmtId="172" fontId="12" fillId="0" borderId="3" xfId="0" applyNumberFormat="1" applyFont="1" applyBorder="1" applyAlignment="1">
      <alignment vertical="center"/>
    </xf>
    <xf numFmtId="165" fontId="11" fillId="0" borderId="3" xfId="1" applyFont="1" applyFill="1" applyBorder="1" applyAlignment="1">
      <alignment horizontal="center" vertical="center" wrapText="1"/>
    </xf>
    <xf numFmtId="172" fontId="12" fillId="0" borderId="14" xfId="0" applyNumberFormat="1" applyFont="1" applyBorder="1" applyAlignment="1">
      <alignment vertical="center"/>
    </xf>
    <xf numFmtId="165" fontId="12" fillId="0" borderId="14" xfId="1" applyFont="1" applyFill="1" applyBorder="1" applyAlignment="1">
      <alignment vertical="center"/>
    </xf>
    <xf numFmtId="172" fontId="12" fillId="0" borderId="15" xfId="0" applyNumberFormat="1" applyFont="1" applyBorder="1" applyAlignment="1">
      <alignment vertical="center"/>
    </xf>
    <xf numFmtId="0" fontId="12" fillId="0" borderId="31" xfId="0" applyFont="1" applyBorder="1" applyAlignment="1">
      <alignment horizontal="center" vertical="center" wrapText="1"/>
    </xf>
    <xf numFmtId="172" fontId="12" fillId="0" borderId="31" xfId="0" applyNumberFormat="1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48" xfId="0" applyFont="1" applyBorder="1" applyAlignment="1">
      <alignment horizontal="center" vertical="center" wrapText="1"/>
    </xf>
    <xf numFmtId="172" fontId="12" fillId="0" borderId="48" xfId="0" applyNumberFormat="1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172" fontId="12" fillId="0" borderId="0" xfId="0" applyNumberFormat="1" applyFont="1" applyAlignment="1">
      <alignment vertical="center"/>
    </xf>
    <xf numFmtId="0" fontId="12" fillId="0" borderId="35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165" fontId="12" fillId="0" borderId="3" xfId="1" applyFont="1" applyFill="1" applyBorder="1" applyAlignment="1" applyProtection="1">
      <alignment horizontal="right" vertical="center" wrapText="1"/>
      <protection locked="0"/>
    </xf>
    <xf numFmtId="0" fontId="12" fillId="0" borderId="11" xfId="0" applyFont="1" applyBorder="1" applyAlignment="1">
      <alignment horizontal="justify" vertical="center" wrapText="1"/>
    </xf>
    <xf numFmtId="165" fontId="12" fillId="0" borderId="12" xfId="1" applyFont="1" applyFill="1" applyBorder="1" applyAlignment="1" applyProtection="1">
      <alignment horizontal="right" vertical="center" wrapText="1"/>
      <protection locked="0"/>
    </xf>
    <xf numFmtId="0" fontId="10" fillId="0" borderId="54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173" fontId="12" fillId="0" borderId="3" xfId="5" applyNumberFormat="1" applyFont="1" applyFill="1" applyBorder="1" applyAlignment="1">
      <alignment vertical="center" wrapText="1"/>
    </xf>
    <xf numFmtId="173" fontId="12" fillId="0" borderId="10" xfId="5" applyNumberFormat="1" applyFont="1" applyFill="1" applyBorder="1" applyAlignment="1">
      <alignment vertical="center" wrapText="1"/>
    </xf>
    <xf numFmtId="173" fontId="18" fillId="0" borderId="10" xfId="5" applyNumberFormat="1" applyFont="1" applyFill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65" fontId="12" fillId="0" borderId="0" xfId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10" fontId="12" fillId="0" borderId="0" xfId="6" applyNumberFormat="1" applyFont="1" applyFill="1" applyAlignment="1">
      <alignment vertic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176" fontId="11" fillId="0" borderId="3" xfId="6" applyNumberFormat="1" applyFont="1" applyFill="1" applyBorder="1" applyAlignment="1">
      <alignment vertical="center"/>
    </xf>
    <xf numFmtId="9" fontId="11" fillId="0" borderId="3" xfId="6" applyFont="1" applyFill="1" applyBorder="1" applyAlignment="1">
      <alignment vertical="center"/>
    </xf>
    <xf numFmtId="176" fontId="12" fillId="0" borderId="3" xfId="6" applyNumberFormat="1" applyFont="1" applyFill="1" applyBorder="1" applyAlignment="1">
      <alignment vertical="center"/>
    </xf>
    <xf numFmtId="9" fontId="12" fillId="0" borderId="3" xfId="6" applyFont="1" applyFill="1" applyBorder="1" applyAlignment="1">
      <alignment vertical="center"/>
    </xf>
    <xf numFmtId="9" fontId="12" fillId="0" borderId="10" xfId="6" applyFont="1" applyFill="1" applyBorder="1" applyAlignment="1">
      <alignment vertical="center"/>
    </xf>
    <xf numFmtId="176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6" fontId="12" fillId="0" borderId="12" xfId="6" applyNumberFormat="1" applyFont="1" applyFill="1" applyBorder="1" applyAlignment="1">
      <alignment vertical="center"/>
    </xf>
    <xf numFmtId="176" fontId="11" fillId="0" borderId="45" xfId="0" applyNumberFormat="1" applyFont="1" applyBorder="1" applyAlignment="1">
      <alignment vertical="center"/>
    </xf>
    <xf numFmtId="9" fontId="11" fillId="0" borderId="45" xfId="0" applyNumberFormat="1" applyFont="1" applyBorder="1" applyAlignment="1">
      <alignment vertical="center"/>
    </xf>
    <xf numFmtId="2" fontId="11" fillId="0" borderId="7" xfId="0" applyNumberFormat="1" applyFont="1" applyBorder="1" applyAlignment="1">
      <alignment vertical="center"/>
    </xf>
    <xf numFmtId="2" fontId="11" fillId="0" borderId="8" xfId="0" applyNumberFormat="1" applyFont="1" applyBorder="1" applyAlignment="1">
      <alignment vertical="center"/>
    </xf>
    <xf numFmtId="2" fontId="12" fillId="0" borderId="3" xfId="0" applyNumberFormat="1" applyFont="1" applyBorder="1" applyAlignment="1">
      <alignment vertical="center"/>
    </xf>
    <xf numFmtId="2" fontId="12" fillId="0" borderId="10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vertical="center"/>
    </xf>
    <xf numFmtId="2" fontId="11" fillId="0" borderId="10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vertical="center"/>
    </xf>
    <xf numFmtId="2" fontId="12" fillId="0" borderId="13" xfId="0" applyNumberFormat="1" applyFont="1" applyBorder="1" applyAlignment="1">
      <alignment vertical="center"/>
    </xf>
    <xf numFmtId="2" fontId="11" fillId="0" borderId="16" xfId="0" applyNumberFormat="1" applyFont="1" applyBorder="1" applyAlignment="1">
      <alignment vertical="center"/>
    </xf>
    <xf numFmtId="2" fontId="11" fillId="0" borderId="17" xfId="0" applyNumberFormat="1" applyFont="1" applyBorder="1" applyAlignment="1">
      <alignment vertical="center"/>
    </xf>
    <xf numFmtId="173" fontId="10" fillId="0" borderId="3" xfId="5" applyNumberFormat="1" applyFont="1" applyFill="1" applyBorder="1" applyAlignment="1">
      <alignment vertical="center" wrapText="1"/>
    </xf>
    <xf numFmtId="173" fontId="10" fillId="0" borderId="10" xfId="5" applyNumberFormat="1" applyFont="1" applyFill="1" applyBorder="1" applyAlignment="1">
      <alignment vertical="center" wrapText="1"/>
    </xf>
    <xf numFmtId="165" fontId="15" fillId="0" borderId="0" xfId="0" applyNumberFormat="1" applyFont="1" applyAlignment="1">
      <alignment vertical="center"/>
    </xf>
    <xf numFmtId="0" fontId="10" fillId="0" borderId="44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4" fontId="12" fillId="0" borderId="0" xfId="0" applyNumberFormat="1" applyFont="1"/>
    <xf numFmtId="0" fontId="12" fillId="0" borderId="3" xfId="0" applyFont="1" applyBorder="1" applyAlignment="1">
      <alignment vertical="center" wrapText="1"/>
    </xf>
    <xf numFmtId="0" fontId="15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4" fontId="15" fillId="0" borderId="3" xfId="1" applyNumberFormat="1" applyFont="1" applyFill="1" applyBorder="1" applyAlignment="1">
      <alignment vertical="center"/>
    </xf>
    <xf numFmtId="4" fontId="10" fillId="0" borderId="3" xfId="1" applyNumberFormat="1" applyFont="1" applyFill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165" fontId="12" fillId="0" borderId="16" xfId="1" applyFont="1" applyFill="1" applyBorder="1" applyAlignment="1">
      <alignment vertical="center"/>
    </xf>
    <xf numFmtId="165" fontId="12" fillId="0" borderId="54" xfId="1" applyFont="1" applyFill="1" applyBorder="1" applyAlignment="1">
      <alignment vertical="center"/>
    </xf>
    <xf numFmtId="165" fontId="11" fillId="0" borderId="0" xfId="1" applyFont="1" applyFill="1" applyAlignment="1">
      <alignment vertical="center"/>
    </xf>
    <xf numFmtId="0" fontId="10" fillId="0" borderId="22" xfId="0" applyFont="1" applyBorder="1" applyAlignment="1">
      <alignment vertical="center" wrapText="1"/>
    </xf>
    <xf numFmtId="165" fontId="10" fillId="0" borderId="18" xfId="1" applyFont="1" applyFill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165" fontId="10" fillId="0" borderId="45" xfId="1" applyFont="1" applyFill="1" applyBorder="1" applyAlignment="1">
      <alignment vertical="center"/>
    </xf>
    <xf numFmtId="165" fontId="10" fillId="0" borderId="3" xfId="1" applyFont="1" applyFill="1" applyBorder="1" applyAlignment="1">
      <alignment vertical="center"/>
    </xf>
    <xf numFmtId="10" fontId="11" fillId="0" borderId="0" xfId="0" applyNumberFormat="1" applyFont="1" applyAlignment="1">
      <alignment vertical="center"/>
    </xf>
    <xf numFmtId="165" fontId="10" fillId="0" borderId="17" xfId="1" applyFont="1" applyFill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9" fontId="12" fillId="0" borderId="15" xfId="0" applyNumberFormat="1" applyFont="1" applyBorder="1" applyAlignment="1">
      <alignment vertical="center"/>
    </xf>
    <xf numFmtId="165" fontId="10" fillId="0" borderId="12" xfId="1" applyFont="1" applyFill="1" applyBorder="1" applyAlignment="1">
      <alignment vertical="center"/>
    </xf>
    <xf numFmtId="9" fontId="10" fillId="0" borderId="13" xfId="0" applyNumberFormat="1" applyFont="1" applyBorder="1" applyAlignment="1">
      <alignment vertical="center"/>
    </xf>
    <xf numFmtId="9" fontId="12" fillId="5" borderId="10" xfId="0" applyNumberFormat="1" applyFont="1" applyFill="1" applyBorder="1" applyAlignment="1">
      <alignment vertical="center"/>
    </xf>
    <xf numFmtId="10" fontId="12" fillId="5" borderId="10" xfId="0" applyNumberFormat="1" applyFont="1" applyFill="1" applyBorder="1" applyAlignment="1" applyProtection="1">
      <alignment vertical="center"/>
      <protection locked="0"/>
    </xf>
    <xf numFmtId="10" fontId="10" fillId="0" borderId="17" xfId="0" applyNumberFormat="1" applyFont="1" applyBorder="1" applyAlignment="1">
      <alignment vertical="center"/>
    </xf>
    <xf numFmtId="2" fontId="12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 vertical="center" readingOrder="1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/>
    </xf>
    <xf numFmtId="172" fontId="12" fillId="0" borderId="35" xfId="0" applyNumberFormat="1" applyFont="1" applyBorder="1" applyAlignment="1">
      <alignment vertical="center"/>
    </xf>
    <xf numFmtId="172" fontId="12" fillId="0" borderId="44" xfId="0" applyNumberFormat="1" applyFont="1" applyBorder="1" applyAlignment="1">
      <alignment vertical="center"/>
    </xf>
    <xf numFmtId="172" fontId="12" fillId="0" borderId="45" xfId="0" applyNumberFormat="1" applyFont="1" applyBorder="1" applyAlignment="1">
      <alignment vertical="center"/>
    </xf>
    <xf numFmtId="172" fontId="12" fillId="0" borderId="46" xfId="0" applyNumberFormat="1" applyFont="1" applyBorder="1" applyAlignment="1">
      <alignment vertical="center"/>
    </xf>
    <xf numFmtId="172" fontId="11" fillId="0" borderId="0" xfId="0" applyNumberFormat="1" applyFont="1" applyAlignment="1">
      <alignment horizontal="center" vertical="center" wrapText="1"/>
    </xf>
    <xf numFmtId="165" fontId="11" fillId="0" borderId="0" xfId="1" applyFont="1" applyFill="1" applyBorder="1" applyAlignment="1">
      <alignment horizontal="center" vertical="center" wrapText="1"/>
    </xf>
    <xf numFmtId="172" fontId="11" fillId="0" borderId="0" xfId="0" applyNumberFormat="1" applyFont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172" fontId="11" fillId="0" borderId="15" xfId="0" applyNumberFormat="1" applyFont="1" applyBorder="1" applyAlignment="1">
      <alignment horizontal="center" vertical="center" wrapText="1"/>
    </xf>
    <xf numFmtId="172" fontId="11" fillId="0" borderId="10" xfId="0" applyNumberFormat="1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72" fontId="11" fillId="0" borderId="32" xfId="0" applyNumberFormat="1" applyFont="1" applyBorder="1" applyAlignment="1">
      <alignment horizontal="center" vertical="center" wrapText="1"/>
    </xf>
    <xf numFmtId="165" fontId="12" fillId="0" borderId="7" xfId="1" applyFont="1" applyFill="1" applyBorder="1" applyAlignment="1">
      <alignment vertical="center"/>
    </xf>
    <xf numFmtId="165" fontId="11" fillId="0" borderId="8" xfId="1" applyFont="1" applyFill="1" applyBorder="1" applyAlignment="1">
      <alignment horizontal="center" vertical="center" wrapText="1"/>
    </xf>
    <xf numFmtId="172" fontId="11" fillId="0" borderId="10" xfId="0" applyNumberFormat="1" applyFont="1" applyBorder="1" applyAlignment="1">
      <alignment vertical="center"/>
    </xf>
    <xf numFmtId="172" fontId="11" fillId="0" borderId="13" xfId="0" applyNumberFormat="1" applyFont="1" applyBorder="1" applyAlignment="1">
      <alignment vertical="center"/>
    </xf>
    <xf numFmtId="172" fontId="11" fillId="0" borderId="32" xfId="0" applyNumberFormat="1" applyFont="1" applyBorder="1" applyAlignment="1">
      <alignment vertical="center"/>
    </xf>
    <xf numFmtId="172" fontId="11" fillId="0" borderId="8" xfId="0" applyNumberFormat="1" applyFont="1" applyBorder="1" applyAlignment="1">
      <alignment vertical="center"/>
    </xf>
    <xf numFmtId="172" fontId="12" fillId="0" borderId="18" xfId="0" applyNumberFormat="1" applyFont="1" applyBorder="1" applyAlignment="1">
      <alignment vertical="center"/>
    </xf>
    <xf numFmtId="172" fontId="12" fillId="0" borderId="22" xfId="0" applyNumberFormat="1" applyFont="1" applyBorder="1" applyAlignment="1">
      <alignment vertical="center"/>
    </xf>
    <xf numFmtId="172" fontId="12" fillId="0" borderId="23" xfId="0" applyNumberFormat="1" applyFont="1" applyBorder="1" applyAlignment="1">
      <alignment vertical="center"/>
    </xf>
    <xf numFmtId="172" fontId="12" fillId="0" borderId="6" xfId="0" applyNumberFormat="1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172" fontId="11" fillId="0" borderId="15" xfId="0" applyNumberFormat="1" applyFont="1" applyBorder="1" applyAlignment="1">
      <alignment vertical="center"/>
    </xf>
    <xf numFmtId="172" fontId="11" fillId="0" borderId="46" xfId="0" applyNumberFormat="1" applyFont="1" applyBorder="1" applyAlignment="1">
      <alignment vertical="center"/>
    </xf>
    <xf numFmtId="172" fontId="11" fillId="0" borderId="23" xfId="0" applyNumberFormat="1" applyFont="1" applyBorder="1" applyAlignment="1">
      <alignment vertical="center"/>
    </xf>
    <xf numFmtId="0" fontId="10" fillId="0" borderId="44" xfId="0" applyFont="1" applyBorder="1" applyAlignment="1">
      <alignment horizontal="left" vertical="center" wrapText="1"/>
    </xf>
    <xf numFmtId="175" fontId="10" fillId="0" borderId="45" xfId="0" applyNumberFormat="1" applyFont="1" applyBorder="1" applyAlignment="1">
      <alignment horizontal="center" vertical="center"/>
    </xf>
    <xf numFmtId="175" fontId="10" fillId="0" borderId="59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165" fontId="11" fillId="0" borderId="7" xfId="1" applyFont="1" applyFill="1" applyBorder="1" applyAlignment="1">
      <alignment horizontal="center" vertical="center" wrapText="1"/>
    </xf>
    <xf numFmtId="172" fontId="11" fillId="0" borderId="8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72" fontId="11" fillId="0" borderId="1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72" fontId="12" fillId="0" borderId="0" xfId="0" applyNumberFormat="1" applyFont="1"/>
    <xf numFmtId="165" fontId="12" fillId="0" borderId="0" xfId="1" applyFont="1" applyFill="1"/>
    <xf numFmtId="9" fontId="12" fillId="0" borderId="0" xfId="6" applyFont="1" applyFill="1"/>
    <xf numFmtId="2" fontId="10" fillId="0" borderId="49" xfId="0" applyNumberFormat="1" applyFont="1" applyBorder="1" applyAlignment="1">
      <alignment horizontal="center" vertical="center"/>
    </xf>
    <xf numFmtId="0" fontId="10" fillId="0" borderId="16" xfId="5" applyNumberFormat="1" applyFont="1" applyFill="1" applyBorder="1" applyAlignment="1">
      <alignment horizontal="center" vertical="center"/>
    </xf>
    <xf numFmtId="0" fontId="10" fillId="0" borderId="17" xfId="5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8" fillId="0" borderId="0" xfId="2" applyFont="1" applyAlignment="1">
      <alignment vertical="center"/>
    </xf>
    <xf numFmtId="0" fontId="18" fillId="0" borderId="64" xfId="2" applyFont="1" applyBorder="1" applyAlignment="1">
      <alignment vertical="center"/>
    </xf>
    <xf numFmtId="0" fontId="21" fillId="0" borderId="0" xfId="2" applyFont="1" applyAlignment="1">
      <alignment vertical="center"/>
    </xf>
    <xf numFmtId="169" fontId="18" fillId="0" borderId="0" xfId="2" applyNumberFormat="1" applyFont="1" applyAlignment="1">
      <alignment vertical="center"/>
    </xf>
    <xf numFmtId="169" fontId="18" fillId="0" borderId="64" xfId="2" applyNumberFormat="1" applyFont="1" applyBorder="1" applyAlignment="1">
      <alignment vertical="center"/>
    </xf>
    <xf numFmtId="170" fontId="21" fillId="0" borderId="0" xfId="3" applyNumberFormat="1" applyFont="1" applyFill="1" applyAlignment="1">
      <alignment vertical="center"/>
    </xf>
    <xf numFmtId="0" fontId="20" fillId="0" borderId="9" xfId="2" applyFont="1" applyBorder="1" applyAlignment="1">
      <alignment vertical="center"/>
    </xf>
    <xf numFmtId="169" fontId="18" fillId="0" borderId="3" xfId="2" applyNumberFormat="1" applyFont="1" applyBorder="1" applyAlignment="1">
      <alignment vertical="center"/>
    </xf>
    <xf numFmtId="9" fontId="18" fillId="0" borderId="10" xfId="4" applyFont="1" applyFill="1" applyBorder="1" applyAlignment="1">
      <alignment vertical="center"/>
    </xf>
    <xf numFmtId="9" fontId="18" fillId="0" borderId="0" xfId="4" applyFont="1" applyFill="1" applyAlignment="1">
      <alignment vertical="center"/>
    </xf>
    <xf numFmtId="0" fontId="18" fillId="0" borderId="9" xfId="2" applyFont="1" applyBorder="1" applyAlignment="1">
      <alignment vertical="center"/>
    </xf>
    <xf numFmtId="9" fontId="18" fillId="0" borderId="0" xfId="4" applyFont="1" applyFill="1" applyBorder="1" applyAlignment="1">
      <alignment vertical="center"/>
    </xf>
    <xf numFmtId="169" fontId="20" fillId="0" borderId="3" xfId="2" applyNumberFormat="1" applyFont="1" applyBorder="1" applyAlignment="1">
      <alignment vertical="center"/>
    </xf>
    <xf numFmtId="0" fontId="18" fillId="0" borderId="63" xfId="2" applyFont="1" applyBorder="1" applyAlignment="1">
      <alignment vertical="center"/>
    </xf>
    <xf numFmtId="9" fontId="20" fillId="0" borderId="10" xfId="4" applyFont="1" applyFill="1" applyBorder="1" applyAlignment="1">
      <alignment vertical="center"/>
    </xf>
    <xf numFmtId="9" fontId="20" fillId="0" borderId="0" xfId="4" applyFont="1" applyFill="1" applyAlignment="1">
      <alignment vertical="center"/>
    </xf>
    <xf numFmtId="0" fontId="20" fillId="0" borderId="11" xfId="2" applyFont="1" applyBorder="1" applyAlignment="1">
      <alignment vertical="center"/>
    </xf>
    <xf numFmtId="43" fontId="18" fillId="0" borderId="0" xfId="3" applyFont="1" applyFill="1" applyAlignment="1">
      <alignment vertical="center"/>
    </xf>
    <xf numFmtId="169" fontId="18" fillId="0" borderId="63" xfId="2" applyNumberFormat="1" applyFont="1" applyBorder="1" applyAlignment="1">
      <alignment vertical="center"/>
    </xf>
    <xf numFmtId="172" fontId="18" fillId="0" borderId="3" xfId="4" applyNumberFormat="1" applyFont="1" applyFill="1" applyBorder="1" applyAlignment="1">
      <alignment vertical="center"/>
    </xf>
    <xf numFmtId="169" fontId="18" fillId="0" borderId="10" xfId="2" applyNumberFormat="1" applyFont="1" applyBorder="1" applyAlignment="1">
      <alignment vertical="center"/>
    </xf>
    <xf numFmtId="172" fontId="20" fillId="0" borderId="12" xfId="3" applyNumberFormat="1" applyFont="1" applyFill="1" applyBorder="1" applyAlignment="1">
      <alignment vertical="center"/>
    </xf>
    <xf numFmtId="169" fontId="20" fillId="0" borderId="13" xfId="3" applyNumberFormat="1" applyFont="1" applyFill="1" applyBorder="1" applyAlignment="1">
      <alignment vertical="center"/>
    </xf>
    <xf numFmtId="0" fontId="18" fillId="0" borderId="6" xfId="2" applyFont="1" applyBorder="1" applyAlignment="1">
      <alignment vertical="center"/>
    </xf>
    <xf numFmtId="0" fontId="22" fillId="0" borderId="9" xfId="2" applyFont="1" applyBorder="1" applyAlignment="1">
      <alignment vertical="center"/>
    </xf>
    <xf numFmtId="169" fontId="22" fillId="0" borderId="3" xfId="2" applyNumberFormat="1" applyFont="1" applyBorder="1" applyAlignment="1">
      <alignment vertical="center"/>
    </xf>
    <xf numFmtId="9" fontId="22" fillId="0" borderId="10" xfId="4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4" fontId="11" fillId="0" borderId="3" xfId="1" applyNumberFormat="1" applyFont="1" applyFill="1" applyBorder="1" applyAlignment="1">
      <alignment vertical="center"/>
    </xf>
    <xf numFmtId="4" fontId="11" fillId="0" borderId="10" xfId="1" applyNumberFormat="1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4" fontId="12" fillId="0" borderId="12" xfId="1" applyNumberFormat="1" applyFont="1" applyFill="1" applyBorder="1" applyAlignment="1">
      <alignment vertical="center"/>
    </xf>
    <xf numFmtId="4" fontId="11" fillId="0" borderId="12" xfId="1" applyNumberFormat="1" applyFont="1" applyFill="1" applyBorder="1" applyAlignment="1">
      <alignment vertical="center"/>
    </xf>
    <xf numFmtId="4" fontId="11" fillId="0" borderId="13" xfId="1" applyNumberFormat="1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2" fontId="4" fillId="0" borderId="11" xfId="0" applyNumberFormat="1" applyFont="1" applyBorder="1"/>
    <xf numFmtId="178" fontId="5" fillId="0" borderId="3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5" fillId="0" borderId="56" xfId="0" applyNumberFormat="1" applyFont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178" fontId="5" fillId="0" borderId="12" xfId="0" applyNumberFormat="1" applyFont="1" applyBorder="1" applyAlignment="1">
      <alignment vertical="center"/>
    </xf>
    <xf numFmtId="1" fontId="22" fillId="0" borderId="10" xfId="2" applyNumberFormat="1" applyFont="1" applyBorder="1" applyAlignment="1">
      <alignment vertical="center"/>
    </xf>
    <xf numFmtId="0" fontId="22" fillId="0" borderId="9" xfId="2" applyFont="1" applyBorder="1" applyAlignment="1">
      <alignment vertical="center" wrapText="1"/>
    </xf>
    <xf numFmtId="0" fontId="22" fillId="0" borderId="11" xfId="2" applyFont="1" applyBorder="1" applyAlignment="1">
      <alignment vertical="center" wrapText="1"/>
    </xf>
    <xf numFmtId="0" fontId="23" fillId="0" borderId="6" xfId="2" applyFont="1" applyBorder="1" applyAlignment="1">
      <alignment vertical="center"/>
    </xf>
    <xf numFmtId="0" fontId="22" fillId="0" borderId="7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5" fillId="0" borderId="0" xfId="0" applyFont="1"/>
    <xf numFmtId="0" fontId="26" fillId="0" borderId="34" xfId="0" applyFont="1" applyBorder="1" applyAlignment="1">
      <alignment horizontal="center" vertical="center"/>
    </xf>
    <xf numFmtId="0" fontId="26" fillId="0" borderId="34" xfId="0" applyFont="1" applyBorder="1" applyAlignment="1">
      <alignment vertical="center" wrapText="1"/>
    </xf>
    <xf numFmtId="9" fontId="26" fillId="0" borderId="34" xfId="0" applyNumberFormat="1" applyFont="1" applyBorder="1" applyAlignment="1">
      <alignment horizontal="center" vertical="center"/>
    </xf>
    <xf numFmtId="0" fontId="26" fillId="0" borderId="64" xfId="0" applyFont="1" applyBorder="1" applyAlignment="1">
      <alignment vertical="center" wrapText="1"/>
    </xf>
    <xf numFmtId="0" fontId="26" fillId="0" borderId="3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4" borderId="64" xfId="0" applyFont="1" applyFill="1" applyBorder="1" applyAlignment="1">
      <alignment horizontal="center" vertical="center"/>
    </xf>
    <xf numFmtId="10" fontId="26" fillId="0" borderId="34" xfId="0" applyNumberFormat="1" applyFont="1" applyBorder="1" applyAlignment="1">
      <alignment horizontal="center" vertical="center"/>
    </xf>
    <xf numFmtId="173" fontId="12" fillId="0" borderId="0" xfId="0" applyNumberFormat="1" applyFont="1" applyAlignment="1">
      <alignment vertical="center"/>
    </xf>
    <xf numFmtId="10" fontId="26" fillId="0" borderId="34" xfId="6" applyNumberFormat="1" applyFont="1" applyBorder="1" applyAlignment="1">
      <alignment horizontal="center" vertical="center"/>
    </xf>
    <xf numFmtId="175" fontId="26" fillId="4" borderId="64" xfId="0" applyNumberFormat="1" applyFont="1" applyFill="1" applyBorder="1" applyAlignment="1">
      <alignment horizontal="center" vertical="center"/>
    </xf>
    <xf numFmtId="175" fontId="26" fillId="0" borderId="64" xfId="0" applyNumberFormat="1" applyFont="1" applyBorder="1" applyAlignment="1">
      <alignment horizontal="center" vertical="center"/>
    </xf>
    <xf numFmtId="9" fontId="18" fillId="0" borderId="0" xfId="6" applyFont="1" applyFill="1"/>
    <xf numFmtId="0" fontId="18" fillId="0" borderId="3" xfId="0" applyFont="1" applyBorder="1" applyAlignment="1">
      <alignment horizontal="center"/>
    </xf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76" fontId="18" fillId="0" borderId="0" xfId="6" applyNumberFormat="1" applyFont="1" applyFill="1"/>
    <xf numFmtId="1" fontId="18" fillId="0" borderId="0" xfId="0" applyNumberFormat="1" applyFont="1" applyAlignment="1">
      <alignment horizontal="center"/>
    </xf>
    <xf numFmtId="1" fontId="18" fillId="0" borderId="0" xfId="0" applyNumberFormat="1" applyFont="1"/>
    <xf numFmtId="1" fontId="20" fillId="0" borderId="0" xfId="0" applyNumberFormat="1" applyFont="1" applyAlignment="1">
      <alignment horizontal="center"/>
    </xf>
    <xf numFmtId="0" fontId="20" fillId="0" borderId="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0" fontId="21" fillId="0" borderId="0" xfId="0" applyFont="1"/>
    <xf numFmtId="1" fontId="21" fillId="0" borderId="0" xfId="0" applyNumberFormat="1" applyFont="1"/>
    <xf numFmtId="0" fontId="12" fillId="0" borderId="45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9" fontId="11" fillId="0" borderId="0" xfId="6" applyFont="1" applyFill="1" applyAlignment="1">
      <alignment horizontal="center" vertical="center"/>
    </xf>
    <xf numFmtId="2" fontId="12" fillId="0" borderId="7" xfId="0" applyNumberFormat="1" applyFont="1" applyBorder="1" applyAlignment="1">
      <alignment vertical="center"/>
    </xf>
    <xf numFmtId="172" fontId="18" fillId="0" borderId="3" xfId="2" applyNumberFormat="1" applyFont="1" applyBorder="1" applyAlignment="1">
      <alignment vertical="center"/>
    </xf>
    <xf numFmtId="172" fontId="18" fillId="0" borderId="7" xfId="2" applyNumberFormat="1" applyFont="1" applyBorder="1" applyAlignment="1">
      <alignment vertical="center"/>
    </xf>
    <xf numFmtId="0" fontId="18" fillId="0" borderId="8" xfId="2" applyFont="1" applyBorder="1" applyAlignment="1">
      <alignment vertical="center"/>
    </xf>
    <xf numFmtId="0" fontId="18" fillId="0" borderId="10" xfId="2" applyFont="1" applyBorder="1" applyAlignment="1">
      <alignment vertical="center"/>
    </xf>
    <xf numFmtId="1" fontId="18" fillId="0" borderId="10" xfId="2" applyNumberFormat="1" applyFont="1" applyBorder="1" applyAlignment="1">
      <alignment vertical="center"/>
    </xf>
    <xf numFmtId="1" fontId="22" fillId="0" borderId="13" xfId="2" applyNumberFormat="1" applyFont="1" applyBorder="1" applyAlignment="1">
      <alignment vertical="center"/>
    </xf>
    <xf numFmtId="0" fontId="23" fillId="4" borderId="3" xfId="2" applyFont="1" applyFill="1" applyBorder="1" applyAlignment="1">
      <alignment vertical="center"/>
    </xf>
    <xf numFmtId="0" fontId="22" fillId="0" borderId="11" xfId="2" applyFont="1" applyBorder="1" applyAlignment="1">
      <alignment vertical="center"/>
    </xf>
    <xf numFmtId="169" fontId="22" fillId="0" borderId="12" xfId="2" applyNumberFormat="1" applyFont="1" applyBorder="1" applyAlignment="1">
      <alignment vertical="center"/>
    </xf>
    <xf numFmtId="9" fontId="22" fillId="0" borderId="13" xfId="4" applyFont="1" applyFill="1" applyBorder="1" applyAlignment="1">
      <alignment vertical="center"/>
    </xf>
    <xf numFmtId="179" fontId="18" fillId="0" borderId="0" xfId="2" applyNumberFormat="1" applyFont="1" applyAlignment="1">
      <alignment vertical="center"/>
    </xf>
    <xf numFmtId="169" fontId="22" fillId="0" borderId="10" xfId="2" applyNumberFormat="1" applyFont="1" applyBorder="1" applyAlignment="1">
      <alignment horizontal="center" vertical="center"/>
    </xf>
    <xf numFmtId="1" fontId="30" fillId="0" borderId="3" xfId="2" applyNumberFormat="1" applyFont="1" applyBorder="1" applyAlignment="1">
      <alignment vertical="center"/>
    </xf>
    <xf numFmtId="1" fontId="30" fillId="0" borderId="12" xfId="2" applyNumberFormat="1" applyFont="1" applyBorder="1" applyAlignment="1">
      <alignment vertical="center"/>
    </xf>
    <xf numFmtId="0" fontId="12" fillId="0" borderId="6" xfId="0" applyFont="1" applyBorder="1"/>
    <xf numFmtId="0" fontId="11" fillId="0" borderId="7" xfId="0" applyFont="1" applyBorder="1" applyAlignment="1">
      <alignment horizontal="center"/>
    </xf>
    <xf numFmtId="0" fontId="12" fillId="0" borderId="11" xfId="0" applyFont="1" applyBorder="1"/>
    <xf numFmtId="172" fontId="18" fillId="0" borderId="0" xfId="4" applyNumberFormat="1" applyFont="1" applyFill="1" applyBorder="1" applyAlignment="1">
      <alignment vertical="center"/>
    </xf>
    <xf numFmtId="172" fontId="18" fillId="0" borderId="0" xfId="2" applyNumberFormat="1" applyFont="1" applyAlignment="1">
      <alignment vertical="center"/>
    </xf>
    <xf numFmtId="1" fontId="22" fillId="0" borderId="0" xfId="2" applyNumberFormat="1" applyFont="1" applyAlignment="1">
      <alignment vertical="center"/>
    </xf>
    <xf numFmtId="169" fontId="18" fillId="0" borderId="0" xfId="2" quotePrefix="1" applyNumberFormat="1" applyFont="1" applyAlignment="1">
      <alignment vertical="center"/>
    </xf>
    <xf numFmtId="169" fontId="20" fillId="0" borderId="0" xfId="2" applyNumberFormat="1" applyFont="1" applyAlignment="1">
      <alignment vertical="center"/>
    </xf>
    <xf numFmtId="0" fontId="14" fillId="0" borderId="44" xfId="0" applyFont="1" applyBorder="1" applyAlignment="1">
      <alignment vertical="center"/>
    </xf>
    <xf numFmtId="1" fontId="14" fillId="0" borderId="45" xfId="0" applyNumberFormat="1" applyFont="1" applyBorder="1" applyAlignment="1">
      <alignment vertical="center"/>
    </xf>
    <xf numFmtId="1" fontId="14" fillId="0" borderId="46" xfId="0" applyNumberFormat="1" applyFont="1" applyBorder="1" applyAlignment="1">
      <alignment vertical="center"/>
    </xf>
    <xf numFmtId="178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166" fontId="12" fillId="0" borderId="69" xfId="1" applyNumberFormat="1" applyFont="1" applyFill="1" applyBorder="1" applyAlignment="1">
      <alignment vertical="center"/>
    </xf>
    <xf numFmtId="173" fontId="12" fillId="0" borderId="0" xfId="5" applyNumberFormat="1" applyFont="1" applyAlignment="1">
      <alignment vertical="center"/>
    </xf>
    <xf numFmtId="0" fontId="18" fillId="0" borderId="56" xfId="0" applyFont="1" applyBorder="1" applyAlignment="1">
      <alignment horizontal="center"/>
    </xf>
    <xf numFmtId="1" fontId="18" fillId="0" borderId="56" xfId="0" applyNumberFormat="1" applyFont="1" applyBorder="1" applyAlignment="1">
      <alignment horizontal="center"/>
    </xf>
    <xf numFmtId="1" fontId="20" fillId="0" borderId="56" xfId="0" applyNumberFormat="1" applyFont="1" applyBorder="1" applyAlignment="1">
      <alignment horizontal="center"/>
    </xf>
    <xf numFmtId="9" fontId="18" fillId="0" borderId="70" xfId="6" applyFont="1" applyFill="1" applyBorder="1" applyAlignment="1">
      <alignment horizontal="center"/>
    </xf>
    <xf numFmtId="1" fontId="18" fillId="0" borderId="70" xfId="0" applyNumberFormat="1" applyFont="1" applyBorder="1" applyAlignment="1">
      <alignment horizontal="center"/>
    </xf>
    <xf numFmtId="0" fontId="31" fillId="0" borderId="0" xfId="0" applyFont="1"/>
    <xf numFmtId="0" fontId="21" fillId="0" borderId="3" xfId="0" applyFont="1" applyBorder="1" applyAlignment="1">
      <alignment horizontal="center"/>
    </xf>
    <xf numFmtId="176" fontId="21" fillId="0" borderId="0" xfId="6" applyNumberFormat="1" applyFont="1" applyFill="1"/>
    <xf numFmtId="1" fontId="31" fillId="0" borderId="3" xfId="0" applyNumberFormat="1" applyFont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1" fontId="20" fillId="0" borderId="0" xfId="0" applyNumberFormat="1" applyFont="1"/>
    <xf numFmtId="172" fontId="12" fillId="7" borderId="7" xfId="0" applyNumberFormat="1" applyFont="1" applyFill="1" applyBorder="1" applyAlignment="1">
      <alignment vertical="center"/>
    </xf>
    <xf numFmtId="172" fontId="12" fillId="7" borderId="3" xfId="0" applyNumberFormat="1" applyFont="1" applyFill="1" applyBorder="1" applyAlignment="1">
      <alignment vertical="center"/>
    </xf>
    <xf numFmtId="165" fontId="26" fillId="0" borderId="3" xfId="1" applyFont="1" applyFill="1" applyBorder="1" applyAlignment="1">
      <alignment vertical="center"/>
    </xf>
    <xf numFmtId="165" fontId="26" fillId="0" borderId="10" xfId="1" applyFont="1" applyFill="1" applyBorder="1" applyAlignment="1">
      <alignment vertical="center"/>
    </xf>
    <xf numFmtId="174" fontId="26" fillId="0" borderId="3" xfId="0" applyNumberFormat="1" applyFont="1" applyBorder="1" applyAlignment="1">
      <alignment horizontal="right" vertical="center"/>
    </xf>
    <xf numFmtId="172" fontId="10" fillId="0" borderId="0" xfId="0" applyNumberFormat="1" applyFont="1" applyAlignment="1">
      <alignment vertical="center"/>
    </xf>
    <xf numFmtId="172" fontId="12" fillId="7" borderId="14" xfId="0" applyNumberFormat="1" applyFont="1" applyFill="1" applyBorder="1" applyAlignment="1">
      <alignment vertical="center"/>
    </xf>
    <xf numFmtId="175" fontId="12" fillId="0" borderId="9" xfId="0" applyNumberFormat="1" applyFont="1" applyBorder="1" applyAlignment="1">
      <alignment horizontal="left" vertical="center"/>
    </xf>
    <xf numFmtId="175" fontId="12" fillId="0" borderId="3" xfId="0" applyNumberFormat="1" applyFont="1" applyBorder="1" applyAlignment="1">
      <alignment horizontal="center" vertical="center"/>
    </xf>
    <xf numFmtId="175" fontId="12" fillId="0" borderId="10" xfId="0" applyNumberFormat="1" applyFont="1" applyBorder="1" applyAlignment="1">
      <alignment horizontal="center" vertical="center"/>
    </xf>
    <xf numFmtId="172" fontId="12" fillId="7" borderId="31" xfId="0" applyNumberFormat="1" applyFont="1" applyFill="1" applyBorder="1" applyAlignment="1">
      <alignment vertical="center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28" xfId="0" applyFont="1" applyBorder="1" applyAlignment="1" applyProtection="1">
      <alignment vertical="center"/>
      <protection locked="0"/>
    </xf>
    <xf numFmtId="165" fontId="12" fillId="4" borderId="3" xfId="1" applyFont="1" applyFill="1" applyBorder="1" applyAlignment="1" applyProtection="1">
      <alignment vertical="center"/>
      <protection locked="0"/>
    </xf>
    <xf numFmtId="165" fontId="12" fillId="4" borderId="14" xfId="1" applyFont="1" applyFill="1" applyBorder="1" applyProtection="1">
      <protection locked="0"/>
    </xf>
    <xf numFmtId="175" fontId="12" fillId="7" borderId="3" xfId="0" applyNumberFormat="1" applyFont="1" applyFill="1" applyBorder="1" applyAlignment="1">
      <alignment vertical="center"/>
    </xf>
    <xf numFmtId="175" fontId="12" fillId="7" borderId="10" xfId="0" applyNumberFormat="1" applyFont="1" applyFill="1" applyBorder="1" applyAlignment="1">
      <alignment vertical="center"/>
    </xf>
    <xf numFmtId="175" fontId="12" fillId="7" borderId="12" xfId="0" applyNumberFormat="1" applyFont="1" applyFill="1" applyBorder="1" applyAlignment="1">
      <alignment vertical="center"/>
    </xf>
    <xf numFmtId="175" fontId="12" fillId="7" borderId="13" xfId="0" applyNumberFormat="1" applyFont="1" applyFill="1" applyBorder="1" applyAlignment="1">
      <alignment vertical="center"/>
    </xf>
    <xf numFmtId="175" fontId="11" fillId="4" borderId="3" xfId="0" applyNumberFormat="1" applyFont="1" applyFill="1" applyBorder="1" applyAlignment="1">
      <alignment vertical="center"/>
    </xf>
    <xf numFmtId="165" fontId="12" fillId="7" borderId="3" xfId="1" applyFont="1" applyFill="1" applyBorder="1" applyAlignment="1">
      <alignment vertical="center"/>
    </xf>
    <xf numFmtId="1" fontId="20" fillId="4" borderId="0" xfId="0" applyNumberFormat="1" applyFont="1" applyFill="1" applyAlignment="1">
      <alignment horizontal="center"/>
    </xf>
    <xf numFmtId="0" fontId="12" fillId="4" borderId="56" xfId="0" applyFont="1" applyFill="1" applyBorder="1" applyAlignment="1" applyProtection="1">
      <alignment horizontal="center" vertical="center"/>
      <protection locked="0"/>
    </xf>
    <xf numFmtId="0" fontId="12" fillId="4" borderId="57" xfId="0" applyFont="1" applyFill="1" applyBorder="1" applyAlignment="1" applyProtection="1">
      <alignment horizontal="center" vertical="center"/>
      <protection locked="0"/>
    </xf>
    <xf numFmtId="1" fontId="12" fillId="7" borderId="31" xfId="0" applyNumberFormat="1" applyFont="1" applyFill="1" applyBorder="1" applyAlignment="1">
      <alignment vertical="center"/>
    </xf>
    <xf numFmtId="173" fontId="10" fillId="4" borderId="7" xfId="5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175" fontId="11" fillId="0" borderId="3" xfId="5" applyNumberFormat="1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2" fillId="7" borderId="3" xfId="0" applyFont="1" applyFill="1" applyBorder="1" applyAlignment="1" applyProtection="1">
      <alignment horizontal="center" vertical="center"/>
      <protection locked="0"/>
    </xf>
    <xf numFmtId="1" fontId="12" fillId="7" borderId="47" xfId="0" applyNumberFormat="1" applyFont="1" applyFill="1" applyBorder="1" applyAlignment="1">
      <alignment vertical="center"/>
    </xf>
    <xf numFmtId="0" fontId="12" fillId="7" borderId="14" xfId="0" applyFont="1" applyFill="1" applyBorder="1" applyAlignment="1">
      <alignment vertical="center"/>
    </xf>
    <xf numFmtId="0" fontId="12" fillId="7" borderId="48" xfId="0" applyFont="1" applyFill="1" applyBorder="1" applyAlignment="1">
      <alignment vertical="center"/>
    </xf>
    <xf numFmtId="165" fontId="12" fillId="4" borderId="48" xfId="1" applyFont="1" applyFill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173" fontId="12" fillId="4" borderId="0" xfId="5" applyNumberFormat="1" applyFont="1" applyFill="1" applyAlignment="1">
      <alignment vertical="center"/>
    </xf>
    <xf numFmtId="44" fontId="12" fillId="7" borderId="0" xfId="0" applyNumberFormat="1" applyFont="1" applyFill="1" applyAlignment="1">
      <alignment vertical="center"/>
    </xf>
    <xf numFmtId="165" fontId="15" fillId="0" borderId="0" xfId="1" applyFont="1" applyFill="1" applyBorder="1" applyAlignment="1">
      <alignment vertical="center"/>
    </xf>
    <xf numFmtId="165" fontId="10" fillId="0" borderId="1" xfId="1" applyFont="1" applyFill="1" applyBorder="1" applyAlignment="1">
      <alignment vertical="center"/>
    </xf>
    <xf numFmtId="173" fontId="10" fillId="0" borderId="5" xfId="5" applyNumberFormat="1" applyFont="1" applyFill="1" applyBorder="1" applyAlignment="1">
      <alignment vertical="center"/>
    </xf>
    <xf numFmtId="173" fontId="10" fillId="0" borderId="38" xfId="5" applyNumberFormat="1" applyFont="1" applyFill="1" applyBorder="1" applyAlignment="1">
      <alignment vertical="center"/>
    </xf>
    <xf numFmtId="165" fontId="18" fillId="0" borderId="3" xfId="1" applyFont="1" applyFill="1" applyBorder="1" applyAlignment="1">
      <alignment vertical="center"/>
    </xf>
    <xf numFmtId="176" fontId="12" fillId="4" borderId="9" xfId="6" applyNumberFormat="1" applyFont="1" applyFill="1" applyBorder="1" applyAlignment="1" applyProtection="1">
      <alignment vertical="center"/>
      <protection locked="0"/>
    </xf>
    <xf numFmtId="44" fontId="12" fillId="0" borderId="0" xfId="0" applyNumberFormat="1" applyFont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175" fontId="10" fillId="0" borderId="0" xfId="0" applyNumberFormat="1" applyFont="1" applyAlignment="1">
      <alignment horizontal="right" vertical="center"/>
    </xf>
    <xf numFmtId="0" fontId="15" fillId="9" borderId="6" xfId="0" applyFont="1" applyFill="1" applyBorder="1" applyAlignment="1">
      <alignment vertical="center"/>
    </xf>
    <xf numFmtId="1" fontId="15" fillId="9" borderId="7" xfId="0" applyNumberFormat="1" applyFont="1" applyFill="1" applyBorder="1" applyAlignment="1">
      <alignment vertical="center"/>
    </xf>
    <xf numFmtId="1" fontId="15" fillId="9" borderId="8" xfId="0" applyNumberFormat="1" applyFont="1" applyFill="1" applyBorder="1" applyAlignment="1">
      <alignment vertical="center"/>
    </xf>
    <xf numFmtId="175" fontId="10" fillId="9" borderId="1" xfId="0" applyNumberFormat="1" applyFont="1" applyFill="1" applyBorder="1" applyAlignment="1">
      <alignment horizontal="center" vertical="center"/>
    </xf>
    <xf numFmtId="175" fontId="10" fillId="9" borderId="19" xfId="0" applyNumberFormat="1" applyFont="1" applyFill="1" applyBorder="1" applyAlignment="1">
      <alignment horizontal="center" vertical="center"/>
    </xf>
    <xf numFmtId="175" fontId="10" fillId="9" borderId="16" xfId="0" applyNumberFormat="1" applyFont="1" applyFill="1" applyBorder="1" applyAlignment="1">
      <alignment horizontal="center" vertical="center"/>
    </xf>
    <xf numFmtId="165" fontId="14" fillId="0" borderId="45" xfId="0" applyNumberFormat="1" applyFont="1" applyBorder="1" applyAlignment="1">
      <alignment vertical="center"/>
    </xf>
    <xf numFmtId="0" fontId="10" fillId="0" borderId="69" xfId="0" applyFont="1" applyBorder="1" applyAlignment="1">
      <alignment horizontal="center" vertical="center"/>
    </xf>
    <xf numFmtId="173" fontId="10" fillId="0" borderId="54" xfId="5" applyNumberFormat="1" applyFont="1" applyFill="1" applyBorder="1" applyAlignment="1">
      <alignment vertical="center"/>
    </xf>
    <xf numFmtId="1" fontId="33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165" fontId="11" fillId="0" borderId="13" xfId="1" applyFont="1" applyFill="1" applyBorder="1" applyAlignment="1">
      <alignment vertical="center"/>
    </xf>
    <xf numFmtId="175" fontId="11" fillId="0" borderId="13" xfId="0" applyNumberFormat="1" applyFont="1" applyBorder="1" applyAlignment="1">
      <alignment vertical="center"/>
    </xf>
    <xf numFmtId="165" fontId="12" fillId="0" borderId="14" xfId="1" applyFont="1" applyFill="1" applyBorder="1" applyAlignment="1" applyProtection="1">
      <alignment horizontal="right" vertical="center" wrapText="1"/>
      <protection locked="0"/>
    </xf>
    <xf numFmtId="0" fontId="25" fillId="0" borderId="4" xfId="0" applyFont="1" applyBorder="1" applyAlignment="1">
      <alignment vertical="center"/>
    </xf>
    <xf numFmtId="0" fontId="13" fillId="0" borderId="36" xfId="0" applyFont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173" fontId="26" fillId="0" borderId="3" xfId="5" applyNumberFormat="1" applyFont="1" applyFill="1" applyBorder="1" applyAlignment="1">
      <alignment vertical="center" wrapText="1"/>
    </xf>
    <xf numFmtId="173" fontId="14" fillId="0" borderId="3" xfId="5" applyNumberFormat="1" applyFont="1" applyFill="1" applyBorder="1" applyAlignment="1">
      <alignment vertical="center" wrapText="1"/>
    </xf>
    <xf numFmtId="173" fontId="37" fillId="0" borderId="3" xfId="5" applyNumberFormat="1" applyFont="1" applyFill="1" applyBorder="1" applyAlignment="1">
      <alignment vertical="center" wrapText="1"/>
    </xf>
    <xf numFmtId="173" fontId="14" fillId="0" borderId="35" xfId="5" applyNumberFormat="1" applyFont="1" applyFill="1" applyBorder="1" applyAlignment="1">
      <alignment vertical="center"/>
    </xf>
    <xf numFmtId="175" fontId="26" fillId="0" borderId="14" xfId="5" applyNumberFormat="1" applyFont="1" applyFill="1" applyBorder="1" applyAlignment="1">
      <alignment vertical="center"/>
    </xf>
    <xf numFmtId="173" fontId="14" fillId="0" borderId="30" xfId="5" applyNumberFormat="1" applyFont="1" applyFill="1" applyBorder="1" applyAlignment="1">
      <alignment vertical="center"/>
    </xf>
    <xf numFmtId="173" fontId="26" fillId="0" borderId="31" xfId="5" applyNumberFormat="1" applyFont="1" applyFill="1" applyBorder="1" applyAlignment="1">
      <alignment vertical="center"/>
    </xf>
    <xf numFmtId="2" fontId="12" fillId="0" borderId="0" xfId="0" applyNumberFormat="1" applyFont="1"/>
    <xf numFmtId="0" fontId="15" fillId="7" borderId="35" xfId="0" applyFont="1" applyFill="1" applyBorder="1" applyAlignment="1">
      <alignment horizontal="center" vertical="center"/>
    </xf>
    <xf numFmtId="173" fontId="12" fillId="0" borderId="70" xfId="5" applyNumberFormat="1" applyFont="1" applyFill="1" applyBorder="1" applyAlignment="1">
      <alignment vertical="center" wrapText="1"/>
    </xf>
    <xf numFmtId="0" fontId="15" fillId="0" borderId="48" xfId="0" applyFont="1" applyBorder="1" applyAlignment="1">
      <alignment horizontal="center" vertical="center"/>
    </xf>
    <xf numFmtId="9" fontId="15" fillId="0" borderId="49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 applyProtection="1">
      <alignment vertical="center"/>
      <protection locked="0"/>
    </xf>
    <xf numFmtId="9" fontId="12" fillId="0" borderId="12" xfId="6" applyFont="1" applyFill="1" applyBorder="1" applyAlignment="1">
      <alignment vertical="center"/>
    </xf>
    <xf numFmtId="9" fontId="12" fillId="0" borderId="13" xfId="6" applyFont="1" applyFill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176" fontId="12" fillId="0" borderId="0" xfId="6" applyNumberFormat="1" applyFont="1" applyAlignment="1">
      <alignment vertical="center"/>
    </xf>
    <xf numFmtId="0" fontId="15" fillId="0" borderId="65" xfId="0" applyFont="1" applyBorder="1" applyAlignment="1">
      <alignment horizontal="center" vertical="center"/>
    </xf>
    <xf numFmtId="2" fontId="15" fillId="0" borderId="4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175" fontId="15" fillId="7" borderId="3" xfId="0" applyNumberFormat="1" applyFont="1" applyFill="1" applyBorder="1" applyAlignment="1">
      <alignment horizontal="center" vertical="center"/>
    </xf>
    <xf numFmtId="172" fontId="15" fillId="7" borderId="12" xfId="0" applyNumberFormat="1" applyFont="1" applyFill="1" applyBorder="1" applyAlignment="1" applyProtection="1">
      <alignment vertical="center"/>
      <protection locked="0"/>
    </xf>
    <xf numFmtId="172" fontId="15" fillId="0" borderId="12" xfId="0" applyNumberFormat="1" applyFont="1" applyBorder="1" applyAlignment="1" applyProtection="1">
      <alignment vertical="center"/>
      <protection locked="0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164" fontId="12" fillId="0" borderId="0" xfId="5" applyFont="1" applyFill="1" applyAlignment="1">
      <alignment vertical="center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right" vertical="center"/>
    </xf>
    <xf numFmtId="0" fontId="14" fillId="0" borderId="48" xfId="0" applyFont="1" applyBorder="1" applyAlignment="1">
      <alignment horizontal="center" vertical="center"/>
    </xf>
    <xf numFmtId="1" fontId="12" fillId="0" borderId="56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0" fontId="10" fillId="0" borderId="36" xfId="1" applyNumberFormat="1" applyFont="1" applyFill="1" applyBorder="1" applyAlignment="1">
      <alignment horizontal="center" vertical="center"/>
    </xf>
    <xf numFmtId="165" fontId="10" fillId="0" borderId="35" xfId="0" applyNumberFormat="1" applyFont="1" applyBorder="1" applyAlignment="1">
      <alignment vertical="center"/>
    </xf>
    <xf numFmtId="165" fontId="10" fillId="0" borderId="36" xfId="0" applyNumberFormat="1" applyFont="1" applyBorder="1" applyAlignment="1">
      <alignment vertical="center"/>
    </xf>
    <xf numFmtId="165" fontId="10" fillId="0" borderId="11" xfId="0" applyNumberFormat="1" applyFont="1" applyBorder="1" applyAlignment="1">
      <alignment vertical="center"/>
    </xf>
    <xf numFmtId="165" fontId="10" fillId="0" borderId="12" xfId="0" applyNumberFormat="1" applyFont="1" applyBorder="1" applyAlignment="1">
      <alignment vertical="center"/>
    </xf>
    <xf numFmtId="165" fontId="10" fillId="0" borderId="13" xfId="0" applyNumberFormat="1" applyFont="1" applyBorder="1" applyAlignment="1">
      <alignment vertical="center"/>
    </xf>
    <xf numFmtId="0" fontId="11" fillId="0" borderId="36" xfId="1" applyNumberFormat="1" applyFont="1" applyFill="1" applyBorder="1" applyAlignment="1">
      <alignment horizontal="center" vertical="center"/>
    </xf>
    <xf numFmtId="173" fontId="12" fillId="0" borderId="62" xfId="5" applyNumberFormat="1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73" fontId="10" fillId="0" borderId="28" xfId="0" applyNumberFormat="1" applyFont="1" applyBorder="1" applyAlignment="1">
      <alignment vertical="center"/>
    </xf>
    <xf numFmtId="173" fontId="10" fillId="0" borderId="16" xfId="5" applyNumberFormat="1" applyFont="1" applyFill="1" applyBorder="1" applyAlignment="1">
      <alignment horizontal="right" vertical="center"/>
    </xf>
    <xf numFmtId="0" fontId="12" fillId="5" borderId="14" xfId="0" applyFont="1" applyFill="1" applyBorder="1" applyAlignment="1">
      <alignment vertical="center"/>
    </xf>
    <xf numFmtId="165" fontId="10" fillId="0" borderId="8" xfId="1" applyFont="1" applyFill="1" applyBorder="1" applyAlignment="1">
      <alignment horizontal="center" vertical="center" wrapText="1"/>
    </xf>
    <xf numFmtId="1" fontId="12" fillId="0" borderId="6" xfId="0" applyNumberFormat="1" applyFont="1" applyBorder="1" applyAlignment="1">
      <alignment vertical="center"/>
    </xf>
    <xf numFmtId="1" fontId="12" fillId="0" borderId="9" xfId="0" applyNumberFormat="1" applyFont="1" applyBorder="1" applyAlignment="1">
      <alignment vertical="center"/>
    </xf>
    <xf numFmtId="0" fontId="12" fillId="0" borderId="3" xfId="0" applyFont="1" applyBorder="1" applyAlignment="1" applyProtection="1">
      <alignment vertical="center"/>
      <protection locked="0"/>
    </xf>
    <xf numFmtId="0" fontId="26" fillId="0" borderId="9" xfId="0" applyFont="1" applyBorder="1" applyAlignment="1">
      <alignment vertical="center"/>
    </xf>
    <xf numFmtId="0" fontId="26" fillId="0" borderId="9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173" fontId="10" fillId="0" borderId="12" xfId="5" applyNumberFormat="1" applyFont="1" applyFill="1" applyBorder="1" applyAlignment="1">
      <alignment vertical="center" wrapText="1"/>
    </xf>
    <xf numFmtId="173" fontId="10" fillId="0" borderId="47" xfId="5" applyNumberFormat="1" applyFont="1" applyFill="1" applyBorder="1" applyAlignment="1">
      <alignment vertical="center"/>
    </xf>
    <xf numFmtId="175" fontId="10" fillId="0" borderId="16" xfId="5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" fontId="12" fillId="7" borderId="14" xfId="0" applyNumberFormat="1" applyFont="1" applyFill="1" applyBorder="1" applyAlignment="1">
      <alignment vertical="center"/>
    </xf>
    <xf numFmtId="175" fontId="11" fillId="0" borderId="9" xfId="0" applyNumberFormat="1" applyFont="1" applyBorder="1" applyAlignment="1">
      <alignment vertical="center"/>
    </xf>
    <xf numFmtId="175" fontId="11" fillId="0" borderId="11" xfId="0" applyNumberFormat="1" applyFont="1" applyBorder="1" applyAlignment="1">
      <alignment vertical="center"/>
    </xf>
    <xf numFmtId="1" fontId="12" fillId="0" borderId="62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1" fontId="12" fillId="5" borderId="14" xfId="0" applyNumberFormat="1" applyFont="1" applyFill="1" applyBorder="1" applyAlignment="1">
      <alignment horizontal="center" vertical="center"/>
    </xf>
    <xf numFmtId="173" fontId="10" fillId="0" borderId="56" xfId="5" applyNumberFormat="1" applyFont="1" applyFill="1" applyBorder="1" applyAlignment="1">
      <alignment horizontal="right" vertical="center"/>
    </xf>
    <xf numFmtId="164" fontId="12" fillId="0" borderId="0" xfId="5" applyFont="1"/>
    <xf numFmtId="0" fontId="0" fillId="0" borderId="3" xfId="0" applyBorder="1"/>
    <xf numFmtId="164" fontId="0" fillId="0" borderId="0" xfId="5" applyFont="1"/>
    <xf numFmtId="164" fontId="0" fillId="0" borderId="3" xfId="5" applyFont="1" applyBorder="1"/>
    <xf numFmtId="0" fontId="40" fillId="0" borderId="0" xfId="0" applyFont="1" applyAlignment="1">
      <alignment horizontal="right"/>
    </xf>
    <xf numFmtId="0" fontId="10" fillId="0" borderId="51" xfId="0" applyFont="1" applyBorder="1" applyAlignment="1">
      <alignment horizontal="left" vertical="center" wrapText="1"/>
    </xf>
    <xf numFmtId="0" fontId="40" fillId="0" borderId="3" xfId="0" applyFont="1" applyBorder="1"/>
    <xf numFmtId="164" fontId="40" fillId="0" borderId="3" xfId="5" applyFont="1" applyBorder="1" applyAlignment="1">
      <alignment horizontal="center" vertical="center"/>
    </xf>
    <xf numFmtId="0" fontId="40" fillId="9" borderId="3" xfId="5" applyNumberFormat="1" applyFont="1" applyFill="1" applyBorder="1"/>
    <xf numFmtId="1" fontId="40" fillId="9" borderId="3" xfId="5" applyNumberFormat="1" applyFont="1" applyFill="1" applyBorder="1"/>
    <xf numFmtId="180" fontId="26" fillId="0" borderId="64" xfId="0" applyNumberFormat="1" applyFont="1" applyBorder="1" applyAlignment="1">
      <alignment horizontal="center" vertical="center"/>
    </xf>
    <xf numFmtId="164" fontId="11" fillId="0" borderId="0" xfId="5" applyFont="1" applyFill="1" applyBorder="1" applyAlignment="1">
      <alignment horizontal="center" vertical="center"/>
    </xf>
    <xf numFmtId="165" fontId="12" fillId="4" borderId="0" xfId="1" applyFont="1" applyFill="1" applyAlignment="1">
      <alignment vertical="center"/>
    </xf>
    <xf numFmtId="175" fontId="10" fillId="0" borderId="71" xfId="5" applyNumberFormat="1" applyFont="1" applyFill="1" applyBorder="1" applyAlignment="1">
      <alignment vertical="center"/>
    </xf>
    <xf numFmtId="175" fontId="10" fillId="0" borderId="72" xfId="5" applyNumberFormat="1" applyFont="1" applyFill="1" applyBorder="1" applyAlignment="1">
      <alignment vertical="center"/>
    </xf>
    <xf numFmtId="0" fontId="18" fillId="0" borderId="37" xfId="0" applyFont="1" applyBorder="1" applyAlignment="1">
      <alignment horizontal="center"/>
    </xf>
    <xf numFmtId="165" fontId="15" fillId="0" borderId="12" xfId="1" applyFont="1" applyFill="1" applyBorder="1" applyAlignment="1">
      <alignment vertical="center"/>
    </xf>
    <xf numFmtId="165" fontId="22" fillId="0" borderId="13" xfId="1" applyFont="1" applyFill="1" applyBorder="1" applyAlignment="1">
      <alignment vertical="center"/>
    </xf>
    <xf numFmtId="175" fontId="11" fillId="0" borderId="10" xfId="5" applyNumberFormat="1" applyFont="1" applyFill="1" applyBorder="1" applyAlignment="1">
      <alignment vertical="center"/>
    </xf>
    <xf numFmtId="164" fontId="12" fillId="0" borderId="3" xfId="5" applyFont="1" applyFill="1" applyBorder="1" applyAlignment="1">
      <alignment vertical="center"/>
    </xf>
    <xf numFmtId="0" fontId="42" fillId="0" borderId="0" xfId="0" applyFont="1"/>
    <xf numFmtId="2" fontId="42" fillId="0" borderId="0" xfId="0" applyNumberFormat="1" applyFont="1"/>
    <xf numFmtId="0" fontId="43" fillId="0" borderId="3" xfId="0" applyFont="1" applyBorder="1" applyAlignment="1">
      <alignment horizontal="center" vertical="center" wrapText="1"/>
    </xf>
    <xf numFmtId="0" fontId="42" fillId="0" borderId="3" xfId="0" applyFont="1" applyBorder="1"/>
    <xf numFmtId="164" fontId="42" fillId="0" borderId="3" xfId="5" applyFont="1" applyFill="1" applyBorder="1"/>
    <xf numFmtId="164" fontId="42" fillId="0" borderId="3" xfId="5" applyFont="1" applyBorder="1"/>
    <xf numFmtId="164" fontId="42" fillId="0" borderId="0" xfId="5" applyFont="1"/>
    <xf numFmtId="181" fontId="42" fillId="0" borderId="0" xfId="0" applyNumberFormat="1" applyFont="1"/>
    <xf numFmtId="0" fontId="42" fillId="0" borderId="31" xfId="0" applyFont="1" applyBorder="1"/>
    <xf numFmtId="164" fontId="42" fillId="0" borderId="31" xfId="5" applyFont="1" applyBorder="1"/>
    <xf numFmtId="43" fontId="42" fillId="0" borderId="3" xfId="0" applyNumberFormat="1" applyFont="1" applyBorder="1"/>
    <xf numFmtId="164" fontId="42" fillId="0" borderId="3" xfId="0" applyNumberFormat="1" applyFont="1" applyBorder="1"/>
    <xf numFmtId="164" fontId="42" fillId="0" borderId="3" xfId="5" applyFont="1" applyBorder="1" applyAlignment="1">
      <alignment horizontal="right"/>
    </xf>
    <xf numFmtId="173" fontId="12" fillId="8" borderId="12" xfId="5" applyNumberFormat="1" applyFont="1" applyFill="1" applyBorder="1" applyAlignment="1">
      <alignment vertical="center" wrapText="1"/>
    </xf>
    <xf numFmtId="1" fontId="12" fillId="0" borderId="57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40" fillId="0" borderId="3" xfId="5" applyNumberFormat="1" applyFont="1" applyBorder="1" applyAlignment="1">
      <alignment horizontal="center"/>
    </xf>
    <xf numFmtId="165" fontId="12" fillId="0" borderId="15" xfId="1" applyFont="1" applyFill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8" fillId="0" borderId="50" xfId="0" applyFont="1" applyBorder="1"/>
    <xf numFmtId="165" fontId="12" fillId="0" borderId="31" xfId="1" applyFont="1" applyFill="1" applyBorder="1" applyAlignment="1" applyProtection="1">
      <alignment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165" fontId="12" fillId="0" borderId="14" xfId="1" applyFont="1" applyFill="1" applyBorder="1" applyAlignment="1" applyProtection="1">
      <alignment vertical="center"/>
      <protection locked="0"/>
    </xf>
    <xf numFmtId="0" fontId="12" fillId="0" borderId="31" xfId="0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73" fontId="10" fillId="5" borderId="3" xfId="5" applyNumberFormat="1" applyFont="1" applyFill="1" applyBorder="1" applyAlignment="1">
      <alignment horizontal="right" vertical="center"/>
    </xf>
    <xf numFmtId="173" fontId="12" fillId="5" borderId="3" xfId="5" applyNumberFormat="1" applyFont="1" applyFill="1" applyBorder="1" applyAlignment="1">
      <alignment vertical="center"/>
    </xf>
    <xf numFmtId="173" fontId="12" fillId="5" borderId="31" xfId="5" applyNumberFormat="1" applyFont="1" applyFill="1" applyBorder="1" applyAlignment="1">
      <alignment vertical="center"/>
    </xf>
    <xf numFmtId="173" fontId="10" fillId="5" borderId="16" xfId="5" applyNumberFormat="1" applyFont="1" applyFill="1" applyBorder="1" applyAlignment="1">
      <alignment horizontal="right" vertical="center"/>
    </xf>
    <xf numFmtId="173" fontId="12" fillId="5" borderId="14" xfId="5" applyNumberFormat="1" applyFont="1" applyFill="1" applyBorder="1" applyAlignment="1">
      <alignment vertical="center"/>
    </xf>
    <xf numFmtId="173" fontId="10" fillId="5" borderId="28" xfId="0" applyNumberFormat="1" applyFont="1" applyFill="1" applyBorder="1" applyAlignment="1">
      <alignment vertical="center"/>
    </xf>
    <xf numFmtId="173" fontId="10" fillId="5" borderId="16" xfId="5" applyNumberFormat="1" applyFont="1" applyFill="1" applyBorder="1" applyAlignment="1">
      <alignment vertical="center"/>
    </xf>
    <xf numFmtId="165" fontId="12" fillId="0" borderId="7" xfId="1" applyFont="1" applyFill="1" applyBorder="1" applyAlignment="1" applyProtection="1">
      <alignment vertical="center"/>
      <protection locked="0"/>
    </xf>
    <xf numFmtId="175" fontId="11" fillId="7" borderId="0" xfId="5" applyNumberFormat="1" applyFont="1" applyFill="1" applyBorder="1" applyAlignment="1">
      <alignment vertical="center"/>
    </xf>
    <xf numFmtId="175" fontId="11" fillId="0" borderId="0" xfId="5" applyNumberFormat="1" applyFont="1" applyFill="1" applyBorder="1" applyAlignment="1">
      <alignment vertical="center"/>
    </xf>
    <xf numFmtId="175" fontId="11" fillId="0" borderId="0" xfId="0" applyNumberFormat="1" applyFont="1"/>
    <xf numFmtId="173" fontId="10" fillId="0" borderId="44" xfId="5" applyNumberFormat="1" applyFont="1" applyFill="1" applyBorder="1" applyAlignment="1">
      <alignment horizontal="center" vertical="center"/>
    </xf>
    <xf numFmtId="173" fontId="10" fillId="0" borderId="45" xfId="5" applyNumberFormat="1" applyFont="1" applyFill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/>
    </xf>
    <xf numFmtId="0" fontId="15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>
      <alignment horizontal="right" vertical="center"/>
    </xf>
    <xf numFmtId="0" fontId="11" fillId="0" borderId="63" xfId="0" applyFont="1" applyBorder="1" applyAlignment="1">
      <alignment vertical="center"/>
    </xf>
    <xf numFmtId="0" fontId="39" fillId="0" borderId="3" xfId="0" applyFont="1" applyBorder="1" applyAlignment="1" applyProtection="1">
      <alignment horizontal="left" vertical="center"/>
      <protection locked="0"/>
    </xf>
    <xf numFmtId="0" fontId="39" fillId="0" borderId="3" xfId="0" applyFont="1" applyBorder="1" applyAlignment="1" applyProtection="1">
      <alignment vertical="center"/>
      <protection locked="0"/>
    </xf>
    <xf numFmtId="1" fontId="12" fillId="0" borderId="43" xfId="0" applyNumberFormat="1" applyFont="1" applyBorder="1" applyAlignment="1">
      <alignment vertical="center"/>
    </xf>
    <xf numFmtId="1" fontId="39" fillId="0" borderId="10" xfId="0" applyNumberFormat="1" applyFont="1" applyBorder="1" applyAlignment="1" applyProtection="1">
      <alignment vertical="center"/>
      <protection locked="0"/>
    </xf>
    <xf numFmtId="173" fontId="14" fillId="4" borderId="1" xfId="5" applyNumberFormat="1" applyFont="1" applyFill="1" applyBorder="1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175" fontId="14" fillId="0" borderId="3" xfId="0" applyNumberFormat="1" applyFont="1" applyBorder="1" applyAlignment="1">
      <alignment vertical="center"/>
    </xf>
    <xf numFmtId="0" fontId="33" fillId="0" borderId="11" xfId="0" applyFont="1" applyBorder="1" applyAlignment="1">
      <alignment horizontal="center" vertical="center" wrapText="1"/>
    </xf>
    <xf numFmtId="175" fontId="14" fillId="0" borderId="12" xfId="0" applyNumberFormat="1" applyFont="1" applyBorder="1" applyAlignment="1">
      <alignment vertical="center"/>
    </xf>
    <xf numFmtId="9" fontId="45" fillId="0" borderId="0" xfId="6" applyFont="1"/>
    <xf numFmtId="0" fontId="13" fillId="0" borderId="6" xfId="0" applyFont="1" applyBorder="1" applyAlignment="1">
      <alignment vertical="center" wrapText="1"/>
    </xf>
    <xf numFmtId="173" fontId="10" fillId="0" borderId="7" xfId="5" applyNumberFormat="1" applyFont="1" applyFill="1" applyBorder="1" applyAlignment="1">
      <alignment vertical="center" wrapText="1"/>
    </xf>
    <xf numFmtId="173" fontId="10" fillId="0" borderId="8" xfId="5" applyNumberFormat="1" applyFont="1" applyFill="1" applyBorder="1" applyAlignment="1">
      <alignment vertical="center" wrapText="1"/>
    </xf>
    <xf numFmtId="173" fontId="10" fillId="0" borderId="13" xfId="5" applyNumberFormat="1" applyFont="1" applyFill="1" applyBorder="1" applyAlignment="1">
      <alignment vertical="center" wrapText="1"/>
    </xf>
    <xf numFmtId="0" fontId="10" fillId="0" borderId="51" xfId="0" applyFont="1" applyBorder="1" applyAlignment="1">
      <alignment vertical="center"/>
    </xf>
    <xf numFmtId="175" fontId="10" fillId="0" borderId="2" xfId="0" applyNumberFormat="1" applyFont="1" applyBorder="1" applyAlignment="1">
      <alignment vertical="center"/>
    </xf>
    <xf numFmtId="0" fontId="12" fillId="0" borderId="0" xfId="0" applyFont="1" applyAlignment="1">
      <alignment horizontal="right" vertical="center" wrapText="1"/>
    </xf>
    <xf numFmtId="175" fontId="12" fillId="0" borderId="0" xfId="0" applyNumberFormat="1" applyFont="1" applyAlignment="1">
      <alignment vertical="center"/>
    </xf>
    <xf numFmtId="173" fontId="44" fillId="8" borderId="7" xfId="5" applyNumberFormat="1" applyFont="1" applyFill="1" applyBorder="1" applyAlignment="1">
      <alignment vertical="center" wrapText="1"/>
    </xf>
    <xf numFmtId="173" fontId="12" fillId="8" borderId="3" xfId="5" applyNumberFormat="1" applyFont="1" applyFill="1" applyBorder="1" applyAlignment="1">
      <alignment vertical="center" wrapText="1"/>
    </xf>
    <xf numFmtId="173" fontId="11" fillId="8" borderId="3" xfId="5" applyNumberFormat="1" applyFont="1" applyFill="1" applyBorder="1" applyAlignment="1">
      <alignment vertical="center" wrapText="1"/>
    </xf>
    <xf numFmtId="173" fontId="10" fillId="8" borderId="3" xfId="5" applyNumberFormat="1" applyFont="1" applyFill="1" applyBorder="1" applyAlignment="1">
      <alignment vertical="center" wrapText="1"/>
    </xf>
    <xf numFmtId="165" fontId="12" fillId="0" borderId="35" xfId="1" applyFont="1" applyFill="1" applyBorder="1" applyAlignment="1">
      <alignment vertical="center"/>
    </xf>
    <xf numFmtId="164" fontId="12" fillId="0" borderId="0" xfId="5" applyFont="1" applyBorder="1" applyAlignment="1">
      <alignment vertical="center"/>
    </xf>
    <xf numFmtId="0" fontId="12" fillId="0" borderId="7" xfId="0" applyFont="1" applyBorder="1" applyAlignment="1" applyProtection="1">
      <alignment vertical="center"/>
      <protection locked="0"/>
    </xf>
    <xf numFmtId="164" fontId="12" fillId="0" borderId="0" xfId="5" applyFont="1" applyAlignment="1">
      <alignment vertical="center"/>
    </xf>
    <xf numFmtId="173" fontId="42" fillId="0" borderId="0" xfId="0" applyNumberFormat="1" applyFont="1"/>
    <xf numFmtId="175" fontId="42" fillId="0" borderId="0" xfId="0" applyNumberFormat="1" applyFont="1"/>
    <xf numFmtId="168" fontId="10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68" fontId="32" fillId="7" borderId="0" xfId="0" applyNumberFormat="1" applyFont="1" applyFill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4" fillId="0" borderId="3" xfId="0" applyFont="1" applyBorder="1" applyAlignment="1" applyProtection="1">
      <alignment vertical="center"/>
      <protection locked="0"/>
    </xf>
    <xf numFmtId="0" fontId="12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 applyProtection="1">
      <alignment vertical="center"/>
      <protection locked="0"/>
    </xf>
    <xf numFmtId="1" fontId="34" fillId="7" borderId="3" xfId="0" applyNumberFormat="1" applyFont="1" applyFill="1" applyBorder="1" applyAlignment="1" applyProtection="1">
      <alignment vertical="center"/>
      <protection locked="0"/>
    </xf>
    <xf numFmtId="0" fontId="12" fillId="0" borderId="20" xfId="0" applyFont="1" applyBorder="1" applyAlignment="1">
      <alignment horizontal="center" vertical="center"/>
    </xf>
    <xf numFmtId="1" fontId="41" fillId="0" borderId="0" xfId="0" applyNumberFormat="1" applyFont="1" applyAlignment="1">
      <alignment vertical="center"/>
    </xf>
    <xf numFmtId="1" fontId="34" fillId="0" borderId="0" xfId="0" applyNumberFormat="1" applyFont="1" applyAlignment="1">
      <alignment horizontal="right" vertical="center"/>
    </xf>
    <xf numFmtId="1" fontId="16" fillId="0" borderId="0" xfId="0" applyNumberFormat="1" applyFont="1" applyAlignment="1">
      <alignment horizontal="right" vertical="center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" fontId="16" fillId="0" borderId="0" xfId="0" applyNumberFormat="1" applyFont="1" applyAlignment="1" applyProtection="1">
      <alignment vertical="center"/>
      <protection locked="0"/>
    </xf>
    <xf numFmtId="168" fontId="12" fillId="7" borderId="3" xfId="0" applyNumberFormat="1" applyFont="1" applyFill="1" applyBorder="1" applyAlignment="1">
      <alignment vertical="center"/>
    </xf>
    <xf numFmtId="168" fontId="7" fillId="7" borderId="14" xfId="0" applyNumberFormat="1" applyFont="1" applyFill="1" applyBorder="1" applyAlignment="1">
      <alignment vertical="center"/>
    </xf>
    <xf numFmtId="1" fontId="7" fillId="7" borderId="7" xfId="0" applyNumberFormat="1" applyFont="1" applyFill="1" applyBorder="1" applyAlignment="1">
      <alignment vertical="center"/>
    </xf>
    <xf numFmtId="1" fontId="7" fillId="7" borderId="3" xfId="0" applyNumberFormat="1" applyFont="1" applyFill="1" applyBorder="1" applyAlignment="1">
      <alignment vertical="center"/>
    </xf>
    <xf numFmtId="1" fontId="14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75" fontId="12" fillId="0" borderId="0" xfId="0" applyNumberFormat="1" applyFont="1" applyAlignment="1">
      <alignment horizontal="center" vertical="center"/>
    </xf>
    <xf numFmtId="175" fontId="12" fillId="7" borderId="0" xfId="0" applyNumberFormat="1" applyFont="1" applyFill="1" applyAlignment="1">
      <alignment vertical="center"/>
    </xf>
    <xf numFmtId="165" fontId="26" fillId="0" borderId="0" xfId="1" applyFont="1" applyFill="1" applyBorder="1" applyAlignment="1">
      <alignment vertical="center"/>
    </xf>
    <xf numFmtId="172" fontId="10" fillId="0" borderId="0" xfId="0" applyNumberFormat="1" applyFont="1" applyAlignment="1" applyProtection="1">
      <alignment vertical="center"/>
      <protection locked="0"/>
    </xf>
    <xf numFmtId="166" fontId="12" fillId="0" borderId="0" xfId="1" applyNumberFormat="1" applyFont="1" applyFill="1" applyBorder="1" applyAlignment="1">
      <alignment vertical="center"/>
    </xf>
    <xf numFmtId="171" fontId="10" fillId="0" borderId="0" xfId="0" applyNumberFormat="1" applyFont="1" applyAlignment="1" applyProtection="1">
      <alignment vertical="center"/>
      <protection locked="0"/>
    </xf>
    <xf numFmtId="166" fontId="10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175" fontId="15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8" fontId="7" fillId="7" borderId="0" xfId="0" applyNumberFormat="1" applyFont="1" applyFill="1" applyAlignment="1">
      <alignment vertical="center"/>
    </xf>
    <xf numFmtId="168" fontId="12" fillId="7" borderId="0" xfId="0" applyNumberFormat="1" applyFont="1" applyFill="1" applyAlignment="1">
      <alignment vertical="center"/>
    </xf>
    <xf numFmtId="1" fontId="7" fillId="7" borderId="0" xfId="0" applyNumberFormat="1" applyFont="1" applyFill="1" applyAlignment="1">
      <alignment vertical="center"/>
    </xf>
    <xf numFmtId="2" fontId="15" fillId="7" borderId="0" xfId="0" applyNumberFormat="1" applyFont="1" applyFill="1" applyAlignment="1">
      <alignment vertical="center"/>
    </xf>
    <xf numFmtId="177" fontId="12" fillId="7" borderId="0" xfId="1" applyNumberFormat="1" applyFont="1" applyFill="1" applyBorder="1" applyAlignment="1">
      <alignment vertical="center"/>
    </xf>
    <xf numFmtId="177" fontId="10" fillId="0" borderId="0" xfId="0" applyNumberFormat="1" applyFont="1" applyAlignment="1">
      <alignment horizontal="center" vertical="center"/>
    </xf>
    <xf numFmtId="177" fontId="10" fillId="7" borderId="0" xfId="1" applyNumberFormat="1" applyFont="1" applyFill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166" fontId="12" fillId="0" borderId="32" xfId="1" applyNumberFormat="1" applyFont="1" applyFill="1" applyBorder="1" applyAlignment="1">
      <alignment vertical="center"/>
    </xf>
    <xf numFmtId="1" fontId="12" fillId="7" borderId="32" xfId="0" applyNumberFormat="1" applyFont="1" applyFill="1" applyBorder="1" applyAlignment="1">
      <alignment vertical="center"/>
    </xf>
    <xf numFmtId="1" fontId="10" fillId="0" borderId="13" xfId="0" applyNumberFormat="1" applyFont="1" applyBorder="1" applyAlignment="1">
      <alignment vertical="center"/>
    </xf>
    <xf numFmtId="1" fontId="12" fillId="7" borderId="15" xfId="0" applyNumberFormat="1" applyFont="1" applyFill="1" applyBorder="1" applyAlignment="1">
      <alignment vertical="center"/>
    </xf>
    <xf numFmtId="174" fontId="26" fillId="0" borderId="10" xfId="0" applyNumberFormat="1" applyFont="1" applyBorder="1" applyAlignment="1">
      <alignment horizontal="right" vertical="center"/>
    </xf>
    <xf numFmtId="175" fontId="15" fillId="7" borderId="10" xfId="0" applyNumberFormat="1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168" fontId="7" fillId="7" borderId="7" xfId="0" applyNumberFormat="1" applyFont="1" applyFill="1" applyBorder="1" applyAlignment="1">
      <alignment vertical="center"/>
    </xf>
    <xf numFmtId="168" fontId="7" fillId="7" borderId="8" xfId="0" applyNumberFormat="1" applyFont="1" applyFill="1" applyBorder="1" applyAlignment="1">
      <alignment vertical="center"/>
    </xf>
    <xf numFmtId="168" fontId="7" fillId="7" borderId="15" xfId="0" applyNumberFormat="1" applyFont="1" applyFill="1" applyBorder="1" applyAlignment="1">
      <alignment vertical="center"/>
    </xf>
    <xf numFmtId="168" fontId="7" fillId="7" borderId="45" xfId="0" applyNumberFormat="1" applyFont="1" applyFill="1" applyBorder="1" applyAlignment="1">
      <alignment vertical="center"/>
    </xf>
    <xf numFmtId="168" fontId="7" fillId="7" borderId="46" xfId="0" applyNumberFormat="1" applyFont="1" applyFill="1" applyBorder="1" applyAlignment="1">
      <alignment vertical="center"/>
    </xf>
    <xf numFmtId="168" fontId="12" fillId="7" borderId="7" xfId="0" applyNumberFormat="1" applyFont="1" applyFill="1" applyBorder="1" applyAlignment="1">
      <alignment vertical="center"/>
    </xf>
    <xf numFmtId="168" fontId="12" fillId="7" borderId="8" xfId="0" applyNumberFormat="1" applyFont="1" applyFill="1" applyBorder="1" applyAlignment="1">
      <alignment vertical="center"/>
    </xf>
    <xf numFmtId="168" fontId="12" fillId="7" borderId="12" xfId="0" applyNumberFormat="1" applyFont="1" applyFill="1" applyBorder="1" applyAlignment="1">
      <alignment vertical="center"/>
    </xf>
    <xf numFmtId="168" fontId="12" fillId="7" borderId="13" xfId="0" applyNumberFormat="1" applyFont="1" applyFill="1" applyBorder="1" applyAlignment="1">
      <alignment vertical="center"/>
    </xf>
    <xf numFmtId="1" fontId="7" fillId="7" borderId="8" xfId="0" applyNumberFormat="1" applyFont="1" applyFill="1" applyBorder="1" applyAlignment="1">
      <alignment vertical="center"/>
    </xf>
    <xf numFmtId="1" fontId="7" fillId="7" borderId="10" xfId="0" applyNumberFormat="1" applyFont="1" applyFill="1" applyBorder="1" applyAlignment="1">
      <alignment vertical="center"/>
    </xf>
    <xf numFmtId="0" fontId="12" fillId="0" borderId="63" xfId="0" applyFont="1" applyBorder="1" applyAlignment="1">
      <alignment vertical="center"/>
    </xf>
    <xf numFmtId="177" fontId="12" fillId="7" borderId="1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164" fontId="7" fillId="12" borderId="20" xfId="5" applyFont="1" applyFill="1" applyBorder="1" applyAlignment="1">
      <alignment vertical="center"/>
    </xf>
    <xf numFmtId="43" fontId="7" fillId="0" borderId="0" xfId="0" applyNumberFormat="1" applyFont="1" applyAlignment="1">
      <alignment vertical="center"/>
    </xf>
    <xf numFmtId="164" fontId="7" fillId="13" borderId="20" xfId="5" applyFont="1" applyFill="1" applyBorder="1" applyAlignment="1">
      <alignment vertical="center"/>
    </xf>
    <xf numFmtId="43" fontId="7" fillId="0" borderId="3" xfId="0" applyNumberFormat="1" applyFont="1" applyBorder="1" applyAlignment="1">
      <alignment vertical="center"/>
    </xf>
    <xf numFmtId="173" fontId="12" fillId="0" borderId="0" xfId="5" applyNumberFormat="1" applyFont="1" applyFill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173" fontId="12" fillId="0" borderId="0" xfId="5" applyNumberFormat="1" applyFont="1" applyFill="1" applyBorder="1" applyAlignment="1">
      <alignment vertical="center"/>
    </xf>
    <xf numFmtId="173" fontId="10" fillId="0" borderId="0" xfId="5" applyNumberFormat="1" applyFont="1" applyFill="1" applyBorder="1" applyAlignment="1">
      <alignment vertical="center"/>
    </xf>
    <xf numFmtId="0" fontId="10" fillId="0" borderId="17" xfId="0" applyFont="1" applyBorder="1" applyAlignment="1">
      <alignment horizontal="center" vertical="center" wrapText="1"/>
    </xf>
    <xf numFmtId="173" fontId="12" fillId="0" borderId="15" xfId="5" applyNumberFormat="1" applyFont="1" applyFill="1" applyBorder="1" applyAlignment="1">
      <alignment vertical="center"/>
    </xf>
    <xf numFmtId="173" fontId="10" fillId="0" borderId="46" xfId="5" applyNumberFormat="1" applyFont="1" applyFill="1" applyBorder="1" applyAlignment="1">
      <alignment vertical="center"/>
    </xf>
    <xf numFmtId="173" fontId="12" fillId="14" borderId="0" xfId="0" applyNumberFormat="1" applyFont="1" applyFill="1" applyAlignment="1">
      <alignment vertical="center"/>
    </xf>
    <xf numFmtId="1" fontId="12" fillId="0" borderId="3" xfId="0" applyNumberFormat="1" applyFont="1" applyBorder="1" applyAlignment="1" applyProtection="1">
      <alignment vertical="center"/>
      <protection locked="0"/>
    </xf>
    <xf numFmtId="1" fontId="12" fillId="4" borderId="0" xfId="0" applyNumberFormat="1" applyFont="1" applyFill="1" applyAlignment="1">
      <alignment vertical="center"/>
    </xf>
    <xf numFmtId="164" fontId="12" fillId="0" borderId="10" xfId="5" applyFont="1" applyFill="1" applyBorder="1" applyAlignment="1">
      <alignment vertical="center"/>
    </xf>
    <xf numFmtId="174" fontId="12" fillId="0" borderId="0" xfId="0" applyNumberFormat="1" applyFont="1" applyAlignment="1">
      <alignment horizontal="right" vertical="center"/>
    </xf>
    <xf numFmtId="9" fontId="11" fillId="0" borderId="0" xfId="6" applyFont="1" applyFill="1" applyBorder="1" applyAlignment="1">
      <alignment vertical="center"/>
    </xf>
    <xf numFmtId="9" fontId="12" fillId="0" borderId="0" xfId="6" applyFont="1" applyFill="1" applyBorder="1" applyAlignment="1">
      <alignment vertical="center"/>
    </xf>
    <xf numFmtId="176" fontId="11" fillId="0" borderId="7" xfId="6" applyNumberFormat="1" applyFont="1" applyFill="1" applyBorder="1" applyAlignment="1">
      <alignment vertical="center"/>
    </xf>
    <xf numFmtId="9" fontId="11" fillId="0" borderId="7" xfId="6" applyFont="1" applyFill="1" applyBorder="1" applyAlignment="1">
      <alignment vertical="center"/>
    </xf>
    <xf numFmtId="9" fontId="11" fillId="0" borderId="8" xfId="6" applyFont="1" applyFill="1" applyBorder="1" applyAlignment="1">
      <alignment vertical="center"/>
    </xf>
    <xf numFmtId="0" fontId="46" fillId="11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164" fontId="7" fillId="12" borderId="3" xfId="5" applyFont="1" applyFill="1" applyBorder="1" applyAlignment="1">
      <alignment vertical="center"/>
    </xf>
    <xf numFmtId="164" fontId="7" fillId="13" borderId="3" xfId="5" applyFont="1" applyFill="1" applyBorder="1" applyAlignment="1">
      <alignment vertical="center"/>
    </xf>
    <xf numFmtId="9" fontId="7" fillId="0" borderId="3" xfId="0" applyNumberFormat="1" applyFont="1" applyBorder="1" applyAlignment="1">
      <alignment vertical="center"/>
    </xf>
    <xf numFmtId="165" fontId="10" fillId="0" borderId="7" xfId="1" applyFont="1" applyFill="1" applyBorder="1" applyAlignment="1">
      <alignment horizontal="center" vertical="center"/>
    </xf>
    <xf numFmtId="0" fontId="47" fillId="11" borderId="3" xfId="0" applyFont="1" applyFill="1" applyBorder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0" fontId="12" fillId="0" borderId="9" xfId="0" applyFont="1" applyBorder="1" applyAlignment="1">
      <alignment horizontal="center" vertical="center" wrapText="1"/>
    </xf>
    <xf numFmtId="1" fontId="41" fillId="0" borderId="7" xfId="0" applyNumberFormat="1" applyFont="1" applyBorder="1" applyAlignment="1">
      <alignment vertical="center"/>
    </xf>
    <xf numFmtId="1" fontId="34" fillId="0" borderId="3" xfId="0" applyNumberFormat="1" applyFont="1" applyBorder="1" applyAlignment="1">
      <alignment horizontal="right" vertical="center"/>
    </xf>
    <xf numFmtId="1" fontId="34" fillId="0" borderId="10" xfId="0" applyNumberFormat="1" applyFont="1" applyBorder="1" applyAlignment="1">
      <alignment horizontal="right" vertical="center"/>
    </xf>
    <xf numFmtId="1" fontId="12" fillId="0" borderId="3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right" vertical="center"/>
    </xf>
    <xf numFmtId="1" fontId="12" fillId="0" borderId="64" xfId="0" applyNumberFormat="1" applyFont="1" applyBorder="1" applyAlignment="1">
      <alignment horizontal="right" vertical="center"/>
    </xf>
    <xf numFmtId="1" fontId="16" fillId="0" borderId="16" xfId="0" applyNumberFormat="1" applyFont="1" applyBorder="1" applyAlignment="1">
      <alignment horizontal="right" vertical="center"/>
    </xf>
    <xf numFmtId="1" fontId="41" fillId="0" borderId="8" xfId="0" applyNumberFormat="1" applyFont="1" applyBorder="1" applyAlignment="1">
      <alignment vertical="center"/>
    </xf>
    <xf numFmtId="1" fontId="16" fillId="0" borderId="17" xfId="0" applyNumberFormat="1" applyFont="1" applyBorder="1" applyAlignment="1">
      <alignment horizontal="right" vertical="center"/>
    </xf>
    <xf numFmtId="10" fontId="12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0" fontId="10" fillId="0" borderId="50" xfId="0" applyFont="1" applyBorder="1" applyAlignment="1" applyProtection="1">
      <alignment vertical="center"/>
      <protection locked="0"/>
    </xf>
    <xf numFmtId="0" fontId="12" fillId="0" borderId="37" xfId="0" applyFont="1" applyBorder="1" applyAlignment="1">
      <alignment vertical="center"/>
    </xf>
    <xf numFmtId="176" fontId="22" fillId="3" borderId="1" xfId="6" applyNumberFormat="1" applyFont="1" applyFill="1" applyBorder="1"/>
    <xf numFmtId="1" fontId="12" fillId="0" borderId="3" xfId="0" applyNumberFormat="1" applyFont="1" applyBorder="1" applyAlignment="1" applyProtection="1">
      <alignment horizontal="center" vertical="center"/>
      <protection locked="0"/>
    </xf>
    <xf numFmtId="1" fontId="12" fillId="0" borderId="55" xfId="0" applyNumberFormat="1" applyFont="1" applyBorder="1" applyAlignment="1">
      <alignment horizontal="center" vertical="center"/>
    </xf>
    <xf numFmtId="175" fontId="12" fillId="0" borderId="10" xfId="0" applyNumberFormat="1" applyFont="1" applyBorder="1" applyAlignment="1">
      <alignment vertical="center"/>
    </xf>
    <xf numFmtId="166" fontId="10" fillId="0" borderId="16" xfId="0" applyNumberFormat="1" applyFont="1" applyBorder="1" applyAlignment="1">
      <alignment vertical="center"/>
    </xf>
    <xf numFmtId="166" fontId="10" fillId="0" borderId="17" xfId="0" applyNumberFormat="1" applyFont="1" applyBorder="1" applyAlignment="1">
      <alignment vertical="center"/>
    </xf>
    <xf numFmtId="164" fontId="48" fillId="0" borderId="3" xfId="5" applyFont="1" applyBorder="1"/>
    <xf numFmtId="164" fontId="48" fillId="0" borderId="3" xfId="0" applyNumberFormat="1" applyFont="1" applyBorder="1"/>
    <xf numFmtId="0" fontId="10" fillId="0" borderId="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33" xfId="0" applyFont="1" applyBorder="1" applyAlignment="1">
      <alignment horizontal="justify" vertical="center" wrapText="1"/>
    </xf>
    <xf numFmtId="0" fontId="24" fillId="0" borderId="14" xfId="0" applyFont="1" applyBorder="1" applyAlignment="1">
      <alignment horizontal="center" vertical="center"/>
    </xf>
    <xf numFmtId="173" fontId="10" fillId="0" borderId="0" xfId="5" applyNumberFormat="1" applyFont="1" applyFill="1" applyBorder="1" applyAlignment="1">
      <alignment horizontal="right" vertical="center"/>
    </xf>
    <xf numFmtId="173" fontId="10" fillId="0" borderId="0" xfId="0" applyNumberFormat="1" applyFont="1" applyAlignment="1">
      <alignment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173" fontId="10" fillId="0" borderId="3" xfId="5" applyNumberFormat="1" applyFont="1" applyFill="1" applyBorder="1" applyAlignment="1">
      <alignment horizontal="right" vertical="center"/>
    </xf>
    <xf numFmtId="173" fontId="10" fillId="0" borderId="45" xfId="5" applyNumberFormat="1" applyFont="1" applyFill="1" applyBorder="1" applyAlignment="1">
      <alignment horizontal="right" vertical="center"/>
    </xf>
    <xf numFmtId="173" fontId="12" fillId="0" borderId="12" xfId="5" applyNumberFormat="1" applyFont="1" applyFill="1" applyBorder="1" applyAlignment="1">
      <alignment vertical="center"/>
    </xf>
    <xf numFmtId="173" fontId="10" fillId="0" borderId="19" xfId="0" applyNumberFormat="1" applyFont="1" applyBorder="1" applyAlignment="1">
      <alignment vertical="center"/>
    </xf>
    <xf numFmtId="173" fontId="10" fillId="0" borderId="16" xfId="5" applyNumberFormat="1" applyFont="1" applyFill="1" applyBorder="1" applyAlignment="1">
      <alignment vertical="center"/>
    </xf>
    <xf numFmtId="0" fontId="49" fillId="11" borderId="3" xfId="0" applyFont="1" applyFill="1" applyBorder="1" applyAlignment="1" applyProtection="1">
      <alignment vertical="center"/>
      <protection locked="0"/>
    </xf>
    <xf numFmtId="1" fontId="18" fillId="0" borderId="37" xfId="0" applyNumberFormat="1" applyFont="1" applyBorder="1" applyAlignment="1">
      <alignment horizontal="center"/>
    </xf>
    <xf numFmtId="1" fontId="20" fillId="0" borderId="37" xfId="0" applyNumberFormat="1" applyFont="1" applyBorder="1" applyAlignment="1">
      <alignment horizontal="center"/>
    </xf>
    <xf numFmtId="1" fontId="18" fillId="0" borderId="20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17" fillId="0" borderId="44" xfId="0" applyFont="1" applyBorder="1" applyAlignment="1">
      <alignment horizontal="left" vertical="center" wrapText="1"/>
    </xf>
    <xf numFmtId="1" fontId="17" fillId="0" borderId="45" xfId="0" applyNumberFormat="1" applyFont="1" applyBorder="1" applyAlignment="1">
      <alignment horizontal="right" vertical="center"/>
    </xf>
    <xf numFmtId="1" fontId="17" fillId="0" borderId="46" xfId="0" applyNumberFormat="1" applyFont="1" applyBorder="1" applyAlignment="1">
      <alignment horizontal="right" vertical="center"/>
    </xf>
    <xf numFmtId="0" fontId="39" fillId="0" borderId="3" xfId="0" applyFont="1" applyBorder="1" applyAlignment="1" applyProtection="1">
      <alignment horizontal="right" vertical="center"/>
      <protection locked="0"/>
    </xf>
    <xf numFmtId="1" fontId="39" fillId="0" borderId="3" xfId="0" applyNumberFormat="1" applyFont="1" applyBorder="1" applyAlignment="1" applyProtection="1">
      <alignment vertical="center"/>
      <protection locked="0"/>
    </xf>
    <xf numFmtId="0" fontId="26" fillId="0" borderId="3" xfId="0" applyFont="1" applyBorder="1" applyAlignment="1">
      <alignment vertical="center"/>
    </xf>
    <xf numFmtId="0" fontId="39" fillId="0" borderId="10" xfId="0" applyFont="1" applyBorder="1" applyAlignment="1" applyProtection="1">
      <alignment vertical="center"/>
      <protection locked="0"/>
    </xf>
    <xf numFmtId="1" fontId="50" fillId="0" borderId="0" xfId="0" applyNumberFormat="1" applyFont="1" applyAlignment="1">
      <alignment horizontal="center"/>
    </xf>
    <xf numFmtId="1" fontId="20" fillId="15" borderId="0" xfId="0" applyNumberFormat="1" applyFont="1" applyFill="1" applyAlignment="1">
      <alignment horizontal="center"/>
    </xf>
    <xf numFmtId="1" fontId="51" fillId="7" borderId="28" xfId="0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/>
    </xf>
    <xf numFmtId="0" fontId="20" fillId="0" borderId="7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20" fillId="4" borderId="11" xfId="0" applyNumberFormat="1" applyFont="1" applyFill="1" applyBorder="1" applyAlignment="1">
      <alignment horizontal="center"/>
    </xf>
    <xf numFmtId="1" fontId="20" fillId="15" borderId="13" xfId="0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70" xfId="0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9" fontId="18" fillId="0" borderId="70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9" fontId="18" fillId="0" borderId="10" xfId="6" applyFont="1" applyFill="1" applyBorder="1" applyAlignment="1">
      <alignment horizontal="center"/>
    </xf>
    <xf numFmtId="9" fontId="34" fillId="0" borderId="1" xfId="0" applyNumberFormat="1" applyFont="1" applyBorder="1" applyAlignment="1">
      <alignment vertical="center"/>
    </xf>
    <xf numFmtId="1" fontId="34" fillId="0" borderId="3" xfId="0" applyNumberFormat="1" applyFont="1" applyBorder="1" applyAlignment="1" applyProtection="1">
      <alignment vertical="center"/>
      <protection locked="0"/>
    </xf>
    <xf numFmtId="0" fontId="32" fillId="0" borderId="0" xfId="0" applyFont="1"/>
    <xf numFmtId="0" fontId="43" fillId="16" borderId="3" xfId="0" applyFont="1" applyFill="1" applyBorder="1" applyAlignment="1">
      <alignment horizontal="center" vertical="center" wrapText="1"/>
    </xf>
    <xf numFmtId="164" fontId="48" fillId="16" borderId="3" xfId="5" applyFont="1" applyFill="1" applyBorder="1"/>
    <xf numFmtId="0" fontId="42" fillId="16" borderId="26" xfId="0" applyFont="1" applyFill="1" applyBorder="1"/>
    <xf numFmtId="164" fontId="48" fillId="16" borderId="0" xfId="5" applyFont="1" applyFill="1" applyBorder="1"/>
    <xf numFmtId="164" fontId="48" fillId="16" borderId="76" xfId="0" applyNumberFormat="1" applyFont="1" applyFill="1" applyBorder="1"/>
    <xf numFmtId="0" fontId="32" fillId="0" borderId="42" xfId="0" applyFont="1" applyBorder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9" fontId="12" fillId="0" borderId="9" xfId="6" applyFont="1" applyBorder="1" applyAlignment="1">
      <alignment vertical="center"/>
    </xf>
    <xf numFmtId="9" fontId="12" fillId="5" borderId="32" xfId="0" applyNumberFormat="1" applyFont="1" applyFill="1" applyBorder="1" applyAlignment="1" applyProtection="1">
      <alignment vertical="center"/>
      <protection locked="0"/>
    </xf>
    <xf numFmtId="2" fontId="16" fillId="0" borderId="3" xfId="0" applyNumberFormat="1" applyFont="1" applyBorder="1" applyAlignment="1">
      <alignment horizontal="center" vertical="center" readingOrder="1"/>
    </xf>
    <xf numFmtId="10" fontId="10" fillId="0" borderId="1" xfId="0" applyNumberFormat="1" applyFont="1" applyBorder="1" applyAlignment="1">
      <alignment vertical="center"/>
    </xf>
    <xf numFmtId="0" fontId="20" fillId="0" borderId="53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10" fontId="22" fillId="3" borderId="1" xfId="6" applyNumberFormat="1" applyFont="1" applyFill="1" applyBorder="1"/>
    <xf numFmtId="176" fontId="18" fillId="0" borderId="9" xfId="0" applyNumberFormat="1" applyFont="1" applyBorder="1" applyAlignment="1">
      <alignment horizontal="center"/>
    </xf>
    <xf numFmtId="1" fontId="20" fillId="0" borderId="58" xfId="0" applyNumberFormat="1" applyFont="1" applyBorder="1" applyAlignment="1">
      <alignment horizontal="center"/>
    </xf>
    <xf numFmtId="1" fontId="20" fillId="0" borderId="26" xfId="0" applyNumberFormat="1" applyFont="1" applyBorder="1" applyAlignment="1">
      <alignment horizontal="center"/>
    </xf>
    <xf numFmtId="2" fontId="20" fillId="0" borderId="26" xfId="0" applyNumberFormat="1" applyFont="1" applyBorder="1" applyAlignment="1">
      <alignment horizontal="center"/>
    </xf>
    <xf numFmtId="1" fontId="20" fillId="17" borderId="37" xfId="0" applyNumberFormat="1" applyFont="1" applyFill="1" applyBorder="1" applyAlignment="1">
      <alignment horizontal="center"/>
    </xf>
    <xf numFmtId="1" fontId="20" fillId="17" borderId="51" xfId="0" applyNumberFormat="1" applyFont="1" applyFill="1" applyBorder="1" applyAlignment="1">
      <alignment horizontal="center"/>
    </xf>
    <xf numFmtId="1" fontId="20" fillId="17" borderId="11" xfId="0" applyNumberFormat="1" applyFont="1" applyFill="1" applyBorder="1" applyAlignment="1">
      <alignment horizontal="center"/>
    </xf>
    <xf numFmtId="1" fontId="20" fillId="17" borderId="20" xfId="0" applyNumberFormat="1" applyFont="1" applyFill="1" applyBorder="1" applyAlignment="1">
      <alignment horizontal="center"/>
    </xf>
    <xf numFmtId="1" fontId="20" fillId="17" borderId="70" xfId="0" applyNumberFormat="1" applyFont="1" applyFill="1" applyBorder="1" applyAlignment="1">
      <alignment horizontal="center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2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1" fontId="20" fillId="0" borderId="45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1" fontId="20" fillId="0" borderId="60" xfId="0" applyNumberFormat="1" applyFont="1" applyBorder="1" applyAlignment="1">
      <alignment horizontal="center"/>
    </xf>
    <xf numFmtId="1" fontId="20" fillId="0" borderId="50" xfId="0" applyNumberFormat="1" applyFont="1" applyBorder="1" applyAlignment="1">
      <alignment horizontal="center"/>
    </xf>
    <xf numFmtId="1" fontId="20" fillId="0" borderId="52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10" fillId="7" borderId="60" xfId="0" applyFont="1" applyFill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/>
    </xf>
    <xf numFmtId="0" fontId="10" fillId="7" borderId="61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64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10" fillId="10" borderId="66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1" fillId="0" borderId="47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7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5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43" fillId="16" borderId="3" xfId="0" applyFont="1" applyFill="1" applyBorder="1" applyAlignment="1">
      <alignment horizontal="center" vertical="center"/>
    </xf>
    <xf numFmtId="0" fontId="42" fillId="16" borderId="56" xfId="0" applyFont="1" applyFill="1" applyBorder="1" applyAlignment="1">
      <alignment horizontal="left" vertical="center" wrapText="1"/>
    </xf>
    <xf numFmtId="0" fontId="42" fillId="16" borderId="37" xfId="0" applyFont="1" applyFill="1" applyBorder="1" applyAlignment="1">
      <alignment horizontal="left" vertical="center" wrapText="1"/>
    </xf>
    <xf numFmtId="0" fontId="42" fillId="16" borderId="20" xfId="0" applyFont="1" applyFill="1" applyBorder="1" applyAlignment="1">
      <alignment horizontal="left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4" fontId="26" fillId="0" borderId="3" xfId="1" applyNumberFormat="1" applyFont="1" applyFill="1" applyBorder="1" applyAlignment="1">
      <alignment horizontal="center" vertical="center"/>
    </xf>
    <xf numFmtId="166" fontId="26" fillId="0" borderId="3" xfId="1" applyNumberFormat="1" applyFont="1" applyFill="1" applyBorder="1" applyAlignment="1">
      <alignment horizontal="center" vertical="center"/>
    </xf>
    <xf numFmtId="166" fontId="13" fillId="0" borderId="3" xfId="1" applyNumberFormat="1" applyFont="1" applyFill="1" applyBorder="1" applyAlignment="1">
      <alignment horizontal="center" vertical="center"/>
    </xf>
    <xf numFmtId="177" fontId="10" fillId="0" borderId="47" xfId="0" applyNumberFormat="1" applyFont="1" applyBorder="1" applyAlignment="1">
      <alignment horizontal="center" vertical="center"/>
    </xf>
    <xf numFmtId="177" fontId="10" fillId="0" borderId="48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" fontId="22" fillId="0" borderId="12" xfId="2" applyNumberFormat="1" applyFont="1" applyBorder="1" applyAlignment="1">
      <alignment horizontal="right" vertical="center"/>
    </xf>
    <xf numFmtId="1" fontId="22" fillId="0" borderId="13" xfId="2" applyNumberFormat="1" applyFont="1" applyBorder="1" applyAlignment="1">
      <alignment horizontal="right" vertical="center"/>
    </xf>
    <xf numFmtId="0" fontId="22" fillId="0" borderId="5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0" fontId="22" fillId="0" borderId="25" xfId="2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29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64" xfId="2" applyFont="1" applyBorder="1" applyAlignment="1">
      <alignment horizontal="center" vertical="center"/>
    </xf>
    <xf numFmtId="1" fontId="22" fillId="0" borderId="3" xfId="2" applyNumberFormat="1" applyFont="1" applyBorder="1" applyAlignment="1">
      <alignment horizontal="right" vertical="center"/>
    </xf>
    <xf numFmtId="1" fontId="22" fillId="0" borderId="10" xfId="2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66" xfId="0" applyFont="1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0" fontId="7" fillId="3" borderId="24" xfId="0" applyFont="1" applyFill="1" applyBorder="1" applyAlignment="1">
      <alignment horizontal="left"/>
    </xf>
    <xf numFmtId="0" fontId="7" fillId="3" borderId="53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7" xfId="0" applyFont="1" applyFill="1" applyBorder="1" applyAlignment="1">
      <alignment horizontal="left"/>
    </xf>
    <xf numFmtId="0" fontId="7" fillId="6" borderId="20" xfId="0" applyFont="1" applyFill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7" fillId="0" borderId="52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27" fillId="0" borderId="4" xfId="0" applyFont="1" applyBorder="1" applyAlignment="1">
      <alignment horizontal="justify" vertical="center" wrapText="1"/>
    </xf>
    <xf numFmtId="0" fontId="27" fillId="0" borderId="28" xfId="0" applyFont="1" applyBorder="1" applyAlignment="1">
      <alignment horizontal="justify" vertical="center" wrapText="1"/>
    </xf>
    <xf numFmtId="0" fontId="27" fillId="0" borderId="29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justify" vertical="center" wrapText="1"/>
    </xf>
    <xf numFmtId="0" fontId="14" fillId="0" borderId="33" xfId="0" applyFont="1" applyBorder="1" applyAlignment="1">
      <alignment horizontal="justify" vertical="center" wrapText="1"/>
    </xf>
    <xf numFmtId="0" fontId="26" fillId="0" borderId="68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14" fillId="0" borderId="67" xfId="0" applyFont="1" applyBorder="1" applyAlignment="1">
      <alignment horizontal="justify" vertical="center" wrapText="1"/>
    </xf>
    <xf numFmtId="0" fontId="27" fillId="0" borderId="4" xfId="0" applyFont="1" applyBorder="1" applyAlignment="1">
      <alignment horizontal="justify" vertical="center"/>
    </xf>
    <xf numFmtId="0" fontId="27" fillId="0" borderId="29" xfId="0" applyFont="1" applyBorder="1" applyAlignment="1">
      <alignment horizontal="justify" vertical="center"/>
    </xf>
    <xf numFmtId="0" fontId="24" fillId="0" borderId="35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164" fontId="26" fillId="0" borderId="3" xfId="5" applyNumberFormat="1" applyFont="1" applyFill="1" applyBorder="1" applyAlignment="1">
      <alignment vertical="center" wrapText="1"/>
    </xf>
    <xf numFmtId="164" fontId="10" fillId="0" borderId="3" xfId="5" applyNumberFormat="1" applyFont="1" applyFill="1" applyBorder="1" applyAlignment="1">
      <alignment vertical="center" wrapText="1"/>
    </xf>
    <xf numFmtId="0" fontId="12" fillId="0" borderId="0" xfId="0" applyNumberFormat="1" applyFont="1" applyAlignment="1">
      <alignment vertical="center"/>
    </xf>
  </cellXfs>
  <cellStyles count="7">
    <cellStyle name="Millares" xfId="5" builtinId="3"/>
    <cellStyle name="Millares 3" xfId="3" xr:uid="{00000000-0005-0000-0000-000001000000}"/>
    <cellStyle name="Moneda" xfId="1" builtinId="4"/>
    <cellStyle name="Normal" xfId="0" builtinId="0"/>
    <cellStyle name="Normal 2" xfId="2" xr:uid="{00000000-0005-0000-0000-000004000000}"/>
    <cellStyle name="Porcentaje" xfId="6" builtinId="5"/>
    <cellStyle name="Porcentual 3" xfId="4" xr:uid="{00000000-0005-0000-0000-000006000000}"/>
  </cellStyles>
  <dxfs count="0"/>
  <tableStyles count="0" defaultTableStyle="TableStyleMedium9" defaultPivotStyle="PivotStyleLight16"/>
  <colors>
    <mruColors>
      <color rgb="FF95EE80"/>
      <color rgb="FFFFFFCC"/>
      <color rgb="FF61D6FF"/>
      <color rgb="FF00FF00"/>
      <color rgb="FFEF7FA2"/>
      <color rgb="FFFF3399"/>
      <color rgb="FFF8B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3690650374250793E-2"/>
          <c:y val="0.33230441206725642"/>
          <c:w val="0.93261869925149843"/>
          <c:h val="0.44728449323882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 Estudiantes'!$A$12</c:f>
              <c:strCache>
                <c:ptCount val="1"/>
                <c:pt idx="0">
                  <c:v>Total Nº de Estudiantes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Estudiantes'!$B$12:$K$12</c15:sqref>
                  </c15:fullRef>
                </c:ext>
              </c:extLst>
              <c:f>'1 Estudiantes'!$B$12:$I$12</c:f>
              <c:numCache>
                <c:formatCode>0</c:formatCode>
                <c:ptCount val="8"/>
                <c:pt idx="0">
                  <c:v>30</c:v>
                </c:pt>
                <c:pt idx="1">
                  <c:v>86.94</c:v>
                </c:pt>
                <c:pt idx="2">
                  <c:v>108.07212</c:v>
                </c:pt>
                <c:pt idx="3">
                  <c:v>157.04876376000001</c:v>
                </c:pt>
                <c:pt idx="4">
                  <c:v>171.02978985648002</c:v>
                </c:pt>
                <c:pt idx="5">
                  <c:v>214.54847723454117</c:v>
                </c:pt>
                <c:pt idx="6">
                  <c:v>225.5050184022603</c:v>
                </c:pt>
                <c:pt idx="7">
                  <c:v>267.07935006239512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E-4230-8CF8-90E0CCD2CE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7579576"/>
        <c:axId val="336454712"/>
      </c:barChart>
      <c:catAx>
        <c:axId val="33757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6454712"/>
        <c:crosses val="autoZero"/>
        <c:auto val="1"/>
        <c:lblAlgn val="ctr"/>
        <c:lblOffset val="100"/>
        <c:noMultiLvlLbl val="0"/>
      </c:catAx>
      <c:valAx>
        <c:axId val="336454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3757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Estudiantes'!$A$24</c:f>
              <c:strCache>
                <c:ptCount val="1"/>
                <c:pt idx="0">
                  <c:v>Docentes Requeridos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Estudiantes'!$B$24:$K$24</c15:sqref>
                  </c15:fullRef>
                </c:ext>
              </c:extLst>
              <c:f>'1 Estudiantes'!$B$24:$I$24</c:f>
              <c:numCache>
                <c:formatCode>0</c:formatCode>
                <c:ptCount val="8"/>
                <c:pt idx="0">
                  <c:v>1</c:v>
                </c:pt>
                <c:pt idx="1">
                  <c:v>3.3333333333333335</c:v>
                </c:pt>
                <c:pt idx="2">
                  <c:v>4.4444444444444446</c:v>
                </c:pt>
                <c:pt idx="3">
                  <c:v>6.7777777777777777</c:v>
                </c:pt>
                <c:pt idx="4">
                  <c:v>7.9444444444444446</c:v>
                </c:pt>
                <c:pt idx="5">
                  <c:v>10.166666666666666</c:v>
                </c:pt>
                <c:pt idx="6">
                  <c:v>11.222222222222221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C-49D6-8CBD-9CCE9E5003FD}"/>
            </c:ext>
          </c:extLst>
        </c:ser>
        <c:ser>
          <c:idx val="1"/>
          <c:order val="1"/>
          <c:tx>
            <c:strRef>
              <c:f>'1 Estudiantes'!$A$26</c:f>
              <c:strCache>
                <c:ptCount val="1"/>
                <c:pt idx="0">
                  <c:v>Tiempo Completo Mgs.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Estudiantes'!$B$26:$K$26</c15:sqref>
                  </c15:fullRef>
                </c:ext>
              </c:extLst>
              <c:f>'1 Estudiantes'!$B$26:$I$26</c:f>
              <c:numCache>
                <c:formatCode>0</c:formatCode>
                <c:ptCount val="8"/>
                <c:pt idx="0">
                  <c:v>0.6</c:v>
                </c:pt>
                <c:pt idx="1">
                  <c:v>2</c:v>
                </c:pt>
                <c:pt idx="2">
                  <c:v>2.6666666666666665</c:v>
                </c:pt>
                <c:pt idx="3">
                  <c:v>4.0666666666666664</c:v>
                </c:pt>
                <c:pt idx="4">
                  <c:v>4.7666666666666666</c:v>
                </c:pt>
                <c:pt idx="5">
                  <c:v>6.1</c:v>
                </c:pt>
                <c:pt idx="6">
                  <c:v>6.7333333333333325</c:v>
                </c:pt>
                <c:pt idx="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C-49D6-8CBD-9CCE9E5003FD}"/>
            </c:ext>
          </c:extLst>
        </c:ser>
        <c:ser>
          <c:idx val="2"/>
          <c:order val="2"/>
          <c:tx>
            <c:strRef>
              <c:f>'1 Estudiantes'!$A$27</c:f>
              <c:strCache>
                <c:ptCount val="1"/>
                <c:pt idx="0">
                  <c:v>Medio Tiempo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Estudiantes'!$B$27:$K$27</c15:sqref>
                  </c15:fullRef>
                </c:ext>
              </c:extLst>
              <c:f>'1 Estudiantes'!$B$27:$I$27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2FAC-49D6-8CBD-9CCE9E5003FD}"/>
            </c:ext>
          </c:extLst>
        </c:ser>
        <c:ser>
          <c:idx val="3"/>
          <c:order val="3"/>
          <c:tx>
            <c:strRef>
              <c:f>'1 Estudiantes'!$A$25</c:f>
              <c:strCache>
                <c:ptCount val="1"/>
                <c:pt idx="0">
                  <c:v>Tiempo Completo PhD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Estudiantes'!$B$25:$K$25</c15:sqref>
                  </c15:fullRef>
                </c:ext>
              </c:extLst>
              <c:f>'1 Estudiantes'!$B$25:$I$25</c:f>
              <c:numCache>
                <c:formatCode>0</c:formatCode>
                <c:ptCount val="8"/>
                <c:pt idx="0">
                  <c:v>0.24</c:v>
                </c:pt>
                <c:pt idx="1">
                  <c:v>0.8</c:v>
                </c:pt>
                <c:pt idx="2">
                  <c:v>1.0666666666666667</c:v>
                </c:pt>
                <c:pt idx="3">
                  <c:v>1.6266666666666667</c:v>
                </c:pt>
                <c:pt idx="4">
                  <c:v>1.9066666666666667</c:v>
                </c:pt>
                <c:pt idx="5">
                  <c:v>2.44</c:v>
                </c:pt>
                <c:pt idx="6">
                  <c:v>2.6933333333333334</c:v>
                </c:pt>
                <c:pt idx="7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A39-806C-55B7ED8116F3}"/>
            </c:ext>
          </c:extLst>
        </c:ser>
        <c:ser>
          <c:idx val="4"/>
          <c:order val="4"/>
          <c:tx>
            <c:strRef>
              <c:f>'1 Estudiantes'!$A$28</c:f>
              <c:strCache>
                <c:ptCount val="1"/>
                <c:pt idx="0">
                  <c:v>Tiempo Parcial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Estudiantes'!$B$28:$K$28</c15:sqref>
                  </c15:fullRef>
                </c:ext>
              </c:extLst>
              <c:f>'1 Estudiantes'!$B$28:$I$28</c:f>
              <c:numCache>
                <c:formatCode>0</c:formatCode>
                <c:ptCount val="8"/>
                <c:pt idx="0">
                  <c:v>0.16000000000000003</c:v>
                </c:pt>
                <c:pt idx="1">
                  <c:v>0.53333333333333344</c:v>
                </c:pt>
                <c:pt idx="2">
                  <c:v>0.71111111111111147</c:v>
                </c:pt>
                <c:pt idx="3">
                  <c:v>1.0844444444444445</c:v>
                </c:pt>
                <c:pt idx="4">
                  <c:v>1.2711111111111113</c:v>
                </c:pt>
                <c:pt idx="5">
                  <c:v>1.6266666666666665</c:v>
                </c:pt>
                <c:pt idx="6">
                  <c:v>1.7955555555555556</c:v>
                </c:pt>
                <c:pt idx="7">
                  <c:v>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A-4A39-806C-55B7ED8116F3}"/>
            </c:ext>
          </c:extLst>
        </c:ser>
        <c:ser>
          <c:idx val="5"/>
          <c:order val="5"/>
          <c:tx>
            <c:strRef>
              <c:f>'1 Estudiantes'!$A$30</c:f>
              <c:strCache>
                <c:ptCount val="1"/>
                <c:pt idx="0">
                  <c:v>Ocasional Tipo 2 (Técnico Docente)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Estudiantes'!$B$30:$K$30</c15:sqref>
                  </c15:fullRef>
                </c:ext>
              </c:extLst>
              <c:f>'1 Estudiantes'!$B$30:$I$30</c:f>
              <c:numCache>
                <c:formatCode>0</c:formatCode>
                <c:ptCount val="8"/>
                <c:pt idx="0">
                  <c:v>0.25</c:v>
                </c:pt>
                <c:pt idx="1">
                  <c:v>0.8</c:v>
                </c:pt>
                <c:pt idx="2">
                  <c:v>1.1000000000000001</c:v>
                </c:pt>
                <c:pt idx="3">
                  <c:v>1.75</c:v>
                </c:pt>
                <c:pt idx="4">
                  <c:v>2.125</c:v>
                </c:pt>
                <c:pt idx="5">
                  <c:v>2.95</c:v>
                </c:pt>
                <c:pt idx="6">
                  <c:v>3.4750000000000001</c:v>
                </c:pt>
                <c:pt idx="7">
                  <c:v>4.7249999999999996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5A-4A39-806C-55B7ED8116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228536"/>
        <c:axId val="337265984"/>
      </c:barChart>
      <c:catAx>
        <c:axId val="33722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7265984"/>
        <c:crosses val="autoZero"/>
        <c:auto val="1"/>
        <c:lblAlgn val="ctr"/>
        <c:lblOffset val="100"/>
        <c:noMultiLvlLbl val="0"/>
      </c:catAx>
      <c:valAx>
        <c:axId val="337265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3722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GRADUACIÓN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Lit>
              <c:formatCode>General</c:formatCode>
              <c:ptCount val="6"/>
              <c:pt idx="0">
                <c:v>1E-3</c:v>
              </c:pt>
              <c:pt idx="1">
                <c:v>14.9</c:v>
              </c:pt>
              <c:pt idx="2">
                <c:v>15</c:v>
              </c:pt>
              <c:pt idx="3">
                <c:v>60</c:v>
              </c:pt>
              <c:pt idx="4">
                <c:v>60.1</c:v>
              </c:pt>
              <c:pt idx="5">
                <c:v>100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C3-4675-9666-D39B56B29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04360"/>
        <c:axId val="337708840"/>
      </c:scatterChart>
      <c:valAx>
        <c:axId val="33770436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337708840"/>
        <c:crosses val="autoZero"/>
        <c:crossBetween val="midCat"/>
      </c:valAx>
      <c:valAx>
        <c:axId val="337708840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337704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RETENCIÓN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RETENCION</c:v>
          </c:tx>
          <c:xVal>
            <c:numLit>
              <c:formatCode>General</c:formatCode>
              <c:ptCount val="6"/>
              <c:pt idx="0">
                <c:v>0.1</c:v>
              </c:pt>
              <c:pt idx="1">
                <c:v>59</c:v>
              </c:pt>
              <c:pt idx="2">
                <c:v>60</c:v>
              </c:pt>
              <c:pt idx="3">
                <c:v>70</c:v>
              </c:pt>
              <c:pt idx="4">
                <c:v>80</c:v>
              </c:pt>
              <c:pt idx="5">
                <c:v>100</c:v>
              </c:pt>
            </c:numLit>
          </c:xVal>
          <c:yVal>
            <c:numLit>
              <c:formatCode>General</c:formatCode>
              <c:ptCount val="6"/>
              <c:pt idx="0">
                <c:v>0.1</c:v>
              </c:pt>
              <c:pt idx="1">
                <c:v>0.59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1E1-428F-A029-2F8C1136F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22760"/>
        <c:axId val="336423144"/>
      </c:scatterChart>
      <c:valAx>
        <c:axId val="336422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6423144"/>
        <c:crosses val="autoZero"/>
        <c:crossBetween val="midCat"/>
      </c:valAx>
      <c:valAx>
        <c:axId val="336423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4227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 Sueldos'!$D$194</c:f>
              <c:strCache>
                <c:ptCount val="1"/>
                <c:pt idx="0">
                  <c:v>PERSONAL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'7 Sueldos'!$E$194:$M$194</c:f>
              <c:numCache>
                <c:formatCode>General</c:formatCode>
                <c:ptCount val="9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f>'7 Sueldos'!$E$210:$M$210</c:f>
              <c:numCache>
                <c:formatCode>_-* #,##0\ _€_-;\-* #,##0\ _€_-;_-* "-"??\ _€_-;_-@_-</c:formatCode>
                <c:ptCount val="9"/>
                <c:pt idx="0">
                  <c:v>44778.743675047626</c:v>
                </c:pt>
                <c:pt idx="1">
                  <c:v>100540.24102521144</c:v>
                </c:pt>
                <c:pt idx="2">
                  <c:v>124629.57854703831</c:v>
                </c:pt>
                <c:pt idx="3">
                  <c:v>177390.21462618379</c:v>
                </c:pt>
                <c:pt idx="4">
                  <c:v>201241.25560044043</c:v>
                </c:pt>
                <c:pt idx="5">
                  <c:v>258027.62109492469</c:v>
                </c:pt>
                <c:pt idx="6">
                  <c:v>281860.42530841433</c:v>
                </c:pt>
                <c:pt idx="7">
                  <c:v>333219.90236745542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CD2-BB76-179805ED50AE}"/>
            </c:ext>
          </c:extLst>
        </c:ser>
        <c:ser>
          <c:idx val="1"/>
          <c:order val="1"/>
          <c:tx>
            <c:strRef>
              <c:f>'5 Demanda'!$A$48</c:f>
              <c:strCache>
                <c:ptCount val="1"/>
                <c:pt idx="0">
                  <c:v>TOTAL INGRESOS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'7 Sueldos'!$E$194:$M$194</c:f>
              <c:numCache>
                <c:formatCode>General</c:formatCode>
                <c:ptCount val="9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f>'5 Demanda'!$B$48:$I$48</c:f>
              <c:numCache>
                <c:formatCode>[$$-300A]\ #,##0</c:formatCode>
                <c:ptCount val="8"/>
                <c:pt idx="0">
                  <c:v>55524.483233999999</c:v>
                </c:pt>
                <c:pt idx="1">
                  <c:v>160909.95241213203</c:v>
                </c:pt>
                <c:pt idx="2">
                  <c:v>200021.62050009455</c:v>
                </c:pt>
                <c:pt idx="3">
                  <c:v>290668.38167708495</c:v>
                </c:pt>
                <c:pt idx="4">
                  <c:v>316544.68998002226</c:v>
                </c:pt>
                <c:pt idx="5">
                  <c:v>397089.77756965044</c:v>
                </c:pt>
                <c:pt idx="6">
                  <c:v>417368.32044863875</c:v>
                </c:pt>
                <c:pt idx="7">
                  <c:v>494314.76315623586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2-4CD2-BB76-179805ED5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38793816"/>
        <c:axId val="338794200"/>
      </c:barChart>
      <c:catAx>
        <c:axId val="33879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8794200"/>
        <c:crosses val="autoZero"/>
        <c:auto val="1"/>
        <c:lblAlgn val="ctr"/>
        <c:lblOffset val="100"/>
        <c:noMultiLvlLbl val="0"/>
      </c:catAx>
      <c:valAx>
        <c:axId val="338794200"/>
        <c:scaling>
          <c:orientation val="minMax"/>
        </c:scaling>
        <c:delete val="1"/>
        <c:axPos val="l"/>
        <c:numFmt formatCode="_-* #,##0\ _€_-;\-* #,##0\ _€_-;_-* &quot;-&quot;??\ _€_-;_-@_-" sourceLinked="1"/>
        <c:majorTickMark val="none"/>
        <c:minorTickMark val="none"/>
        <c:tickLblPos val="nextTo"/>
        <c:crossAx val="33879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Inflación!$C$1</c:f>
              <c:strCache>
                <c:ptCount val="1"/>
                <c:pt idx="0">
                  <c:v>INFLACIÓN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cat>
            <c:numRef>
              <c:f>Inflación!$B$2:$B$9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Inflación!$C$2:$C$9</c:f>
              <c:numCache>
                <c:formatCode>0.00</c:formatCode>
                <c:ptCount val="8"/>
                <c:pt idx="0">
                  <c:v>5.41</c:v>
                </c:pt>
                <c:pt idx="1">
                  <c:v>4.16</c:v>
                </c:pt>
                <c:pt idx="2">
                  <c:v>2.7</c:v>
                </c:pt>
                <c:pt idx="3">
                  <c:v>3.67</c:v>
                </c:pt>
                <c:pt idx="4">
                  <c:v>3.38</c:v>
                </c:pt>
                <c:pt idx="5">
                  <c:v>0.4</c:v>
                </c:pt>
                <c:pt idx="6">
                  <c:v>-0.2</c:v>
                </c:pt>
                <c:pt idx="7">
                  <c:v>-0.22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9-4DCB-8C4A-34EE565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662248"/>
        <c:axId val="338654208"/>
      </c:lineChart>
      <c:catAx>
        <c:axId val="2426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8654208"/>
        <c:crosses val="autoZero"/>
        <c:auto val="1"/>
        <c:lblAlgn val="ctr"/>
        <c:lblOffset val="100"/>
        <c:noMultiLvlLbl val="0"/>
      </c:catAx>
      <c:valAx>
        <c:axId val="3386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42662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1292224</xdr:colOff>
      <xdr:row>1</xdr:row>
      <xdr:rowOff>19051</xdr:rowOff>
    </xdr:from>
    <xdr:to>
      <xdr:col>16</xdr:col>
      <xdr:colOff>390525</xdr:colOff>
      <xdr:row>11</xdr:row>
      <xdr:rowOff>295276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1290514</xdr:colOff>
      <xdr:row>16</xdr:row>
      <xdr:rowOff>0</xdr:rowOff>
    </xdr:from>
    <xdr:to>
      <xdr:col>17</xdr:col>
      <xdr:colOff>531933</xdr:colOff>
      <xdr:row>31</xdr:row>
      <xdr:rowOff>63258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118622</xdr:colOff>
      <xdr:row>15</xdr:row>
      <xdr:rowOff>142875</xdr:rowOff>
    </xdr:from>
    <xdr:to>
      <xdr:col>30</xdr:col>
      <xdr:colOff>589910</xdr:colOff>
      <xdr:row>30</xdr:row>
      <xdr:rowOff>85725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9525</xdr:rowOff>
    </xdr:from>
    <xdr:to>
      <xdr:col>22</xdr:col>
      <xdr:colOff>428625</xdr:colOff>
      <xdr:row>29</xdr:row>
      <xdr:rowOff>152400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13609</xdr:colOff>
      <xdr:row>2</xdr:row>
      <xdr:rowOff>95248</xdr:rowOff>
    </xdr:from>
    <xdr:to>
      <xdr:col>26</xdr:col>
      <xdr:colOff>247651</xdr:colOff>
      <xdr:row>22</xdr:row>
      <xdr:rowOff>57149</xdr:rowOff>
    </xdr:to>
    <xdr:cxnSp macro="">
      <xdr:nvCxnSpPr>
        <xdr:cNvPr id="4" name="4 Conector curva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8579304" y="1368878"/>
          <a:ext cx="3200401" cy="1300842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333376</xdr:colOff>
      <xdr:row>10</xdr:row>
      <xdr:rowOff>1359</xdr:rowOff>
    </xdr:from>
    <xdr:to>
      <xdr:col>23</xdr:col>
      <xdr:colOff>312967</xdr:colOff>
      <xdr:row>21</xdr:row>
      <xdr:rowOff>66677</xdr:rowOff>
    </xdr:to>
    <xdr:cxnSp macro="">
      <xdr:nvCxnSpPr>
        <xdr:cNvPr id="5" name="6 Conector curva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rot="10800000" flipV="1">
          <a:off x="6496051" y="1620609"/>
          <a:ext cx="2798991" cy="1846493"/>
        </a:xfrm>
        <a:prstGeom prst="curvedConnector3">
          <a:avLst>
            <a:gd name="adj1" fmla="val 80287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10039</xdr:colOff>
      <xdr:row>225</xdr:row>
      <xdr:rowOff>135101</xdr:rowOff>
    </xdr:from>
    <xdr:to>
      <xdr:col>14</xdr:col>
      <xdr:colOff>0</xdr:colOff>
      <xdr:row>248</xdr:row>
      <xdr:rowOff>19611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133350</xdr:rowOff>
    </xdr:from>
    <xdr:to>
      <xdr:col>10</xdr:col>
      <xdr:colOff>309562</xdr:colOff>
      <xdr:row>17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2" name="AutoShape 1" descr="Resultado de imagen para CES 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3" name="AutoShape 2" descr="Resultado de imagen para CES LOG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3</xdr:row>
      <xdr:rowOff>66675</xdr:rowOff>
    </xdr:from>
    <xdr:to>
      <xdr:col>0</xdr:col>
      <xdr:colOff>333375</xdr:colOff>
      <xdr:row>5</xdr:row>
      <xdr:rowOff>19050</xdr:rowOff>
    </xdr:to>
    <xdr:sp macro="" textlink="">
      <xdr:nvSpPr>
        <xdr:cNvPr id="4" name="AutoShape 3" descr="Resultado de imagen para CES LOG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575" y="55245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466726</xdr:colOff>
      <xdr:row>2</xdr:row>
      <xdr:rowOff>7766</xdr:rowOff>
    </xdr:from>
    <xdr:to>
      <xdr:col>2</xdr:col>
      <xdr:colOff>333375</xdr:colOff>
      <xdr:row>3</xdr:row>
      <xdr:rowOff>271534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1" y="331616"/>
          <a:ext cx="771524" cy="4256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sesoria%20Comercial\Desktop\Users\POSTGRADO%203\Desktop\Users\Asesoria%20Comercial\Desktop\1.3.-%20PLAN%20DE%20NEGOCIOS\3.3.-%20Planeaci&#243;n%20y%20Evaluaci&#243;n%20Financie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Financiamiento"/>
      <sheetName val="P.Ventas"/>
      <sheetName val="P.Sueldos"/>
      <sheetName val="P.Nomina"/>
      <sheetName val="Inversion.Inicial"/>
      <sheetName val="P.Activos Fijos"/>
      <sheetName val="P.Gastos.Adm"/>
      <sheetName val="P. IVA"/>
      <sheetName val="Balance General"/>
      <sheetName val="CCPP"/>
      <sheetName val="P.Caja"/>
      <sheetName val="PyG"/>
      <sheetName val="Ingeniería Económica"/>
      <sheetName val="Punto de Equilibrio"/>
      <sheetName val="Indicadores Financieros"/>
    </sheetNames>
    <sheetDataSet>
      <sheetData sheetId="0">
        <row r="17">
          <cell r="B17" t="str">
            <v>US$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Corporación GODACH Cía.. Ltda.</v>
          </cell>
        </row>
      </sheetData>
      <sheetData sheetId="10"/>
      <sheetData sheetId="11"/>
      <sheetData sheetId="12"/>
      <sheetData sheetId="13">
        <row r="8">
          <cell r="A8" t="str">
            <v>Ingresos</v>
          </cell>
        </row>
      </sheetData>
      <sheetData sheetId="14">
        <row r="7">
          <cell r="I7" t="str">
            <v>Costos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D2281F-AB73-4047-B678-686CEC087A4A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8345327f-d876-41f6-9d9c-9a52dc96ad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showGridLines="0" topLeftCell="A10" zoomScaleNormal="100" workbookViewId="0">
      <selection activeCell="E18" sqref="E18"/>
    </sheetView>
  </sheetViews>
  <sheetFormatPr baseColWidth="10" defaultColWidth="11.44140625" defaultRowHeight="10.199999999999999" x14ac:dyDescent="0.3"/>
  <cols>
    <col min="1" max="1" width="36.6640625" style="48" customWidth="1"/>
    <col min="2" max="9" width="6.88671875" style="48" customWidth="1"/>
    <col min="10" max="10" width="10.5546875" style="48" customWidth="1"/>
    <col min="11" max="11" width="6.88671875" style="48" customWidth="1"/>
    <col min="12" max="12" width="31.44140625" style="48" customWidth="1"/>
    <col min="13" max="13" width="10" style="48" customWidth="1"/>
    <col min="14" max="16384" width="11.44140625" style="48"/>
  </cols>
  <sheetData>
    <row r="1" spans="1:25" ht="27" customHeight="1" thickBot="1" x14ac:dyDescent="0.35">
      <c r="A1" s="928" t="s">
        <v>0</v>
      </c>
      <c r="B1" s="902">
        <f>'2 Tasa de Retención'!C5</f>
        <v>1</v>
      </c>
      <c r="C1" s="717">
        <f>B1+'2 Tasa de Retención'!D5</f>
        <v>3</v>
      </c>
      <c r="D1" s="717">
        <f>C1+'2 Tasa de Retención'!$C$5</f>
        <v>4</v>
      </c>
      <c r="E1" s="717">
        <f>D1+'2 Tasa de Retención'!$D$5</f>
        <v>6</v>
      </c>
      <c r="F1" s="717">
        <f>E1+'2 Tasa de Retención'!$C$5</f>
        <v>7</v>
      </c>
      <c r="G1" s="717">
        <f>F1+'2 Tasa de Retención'!$D$5</f>
        <v>9</v>
      </c>
      <c r="H1" s="717">
        <f>G1+'2 Tasa de Retención'!$C$5</f>
        <v>10</v>
      </c>
      <c r="I1" s="717">
        <f>H1+'2 Tasa de Retención'!$D$5</f>
        <v>12</v>
      </c>
      <c r="J1" s="50"/>
      <c r="K1" s="50"/>
    </row>
    <row r="2" spans="1:25" ht="17.25" customHeight="1" thickBot="1" x14ac:dyDescent="0.35">
      <c r="A2" s="522"/>
      <c r="C2" s="523"/>
      <c r="D2" s="523"/>
      <c r="E2" s="523"/>
      <c r="F2" s="523"/>
      <c r="G2" s="523"/>
      <c r="H2" s="523"/>
      <c r="I2" s="523"/>
      <c r="J2" s="755"/>
      <c r="K2" s="755"/>
      <c r="L2" s="66"/>
    </row>
    <row r="3" spans="1:25" ht="23.25" customHeight="1" x14ac:dyDescent="0.3">
      <c r="A3" s="144" t="s">
        <v>1</v>
      </c>
      <c r="B3" s="145">
        <v>2023</v>
      </c>
      <c r="C3" s="145">
        <v>2023</v>
      </c>
      <c r="D3" s="145">
        <v>2024</v>
      </c>
      <c r="E3" s="145">
        <v>2024</v>
      </c>
      <c r="F3" s="145">
        <v>2025</v>
      </c>
      <c r="G3" s="145">
        <v>2025</v>
      </c>
      <c r="H3" s="145">
        <v>2026</v>
      </c>
      <c r="I3" s="146">
        <v>2026</v>
      </c>
      <c r="J3" s="756"/>
      <c r="K3" s="756"/>
    </row>
    <row r="4" spans="1:25" ht="18.75" customHeight="1" x14ac:dyDescent="0.3">
      <c r="A4" s="142" t="s">
        <v>2</v>
      </c>
      <c r="B4" s="896">
        <f>'2 Tasa de Retención'!C10*'2 Tasa de Retención'!C5</f>
        <v>30</v>
      </c>
      <c r="C4" s="716">
        <f>+'2 Tasa de Retención'!D10*'2 Tasa de Retención'!D5</f>
        <v>60</v>
      </c>
      <c r="D4" s="716">
        <f t="shared" ref="D4:I4" si="0">+B4</f>
        <v>30</v>
      </c>
      <c r="E4" s="716">
        <f t="shared" si="0"/>
        <v>60</v>
      </c>
      <c r="F4" s="716">
        <f t="shared" si="0"/>
        <v>30</v>
      </c>
      <c r="G4" s="716">
        <f t="shared" si="0"/>
        <v>60</v>
      </c>
      <c r="H4" s="716">
        <f t="shared" si="0"/>
        <v>30</v>
      </c>
      <c r="I4" s="899">
        <f t="shared" si="0"/>
        <v>60</v>
      </c>
      <c r="J4" s="48" t="s">
        <v>3</v>
      </c>
      <c r="K4" s="757"/>
      <c r="S4" s="48">
        <f>+K4/35</f>
        <v>0</v>
      </c>
      <c r="T4" s="48">
        <v>7</v>
      </c>
    </row>
    <row r="5" spans="1:25" ht="18.75" customHeight="1" x14ac:dyDescent="0.3">
      <c r="A5" s="142" t="s">
        <v>4</v>
      </c>
      <c r="B5" s="896"/>
      <c r="C5" s="897">
        <f>+'2 Tasa de Retención'!E10*'2 Tasa de Retención'!C5</f>
        <v>26.94</v>
      </c>
      <c r="D5" s="897">
        <f>+'2 Tasa de Retención'!F10*'2 Tasa de Retención'!D5</f>
        <v>53.88</v>
      </c>
      <c r="E5" s="897">
        <f>+C5</f>
        <v>26.94</v>
      </c>
      <c r="F5" s="897">
        <f>+D5</f>
        <v>53.88</v>
      </c>
      <c r="G5" s="897">
        <f>+E5</f>
        <v>26.94</v>
      </c>
      <c r="H5" s="897">
        <f>+F5</f>
        <v>53.88</v>
      </c>
      <c r="I5" s="718">
        <f>+E5</f>
        <v>26.94</v>
      </c>
      <c r="J5" s="758"/>
      <c r="K5" s="758"/>
      <c r="S5" s="48">
        <f t="shared" ref="S5:S11" si="1">+K5/35</f>
        <v>0</v>
      </c>
      <c r="T5" s="48">
        <v>3</v>
      </c>
      <c r="X5" s="48">
        <v>13565</v>
      </c>
      <c r="Y5" s="48">
        <v>15553</v>
      </c>
    </row>
    <row r="6" spans="1:25" ht="15.75" customHeight="1" x14ac:dyDescent="0.3">
      <c r="A6" s="142" t="s">
        <v>5</v>
      </c>
      <c r="B6" s="715"/>
      <c r="C6" s="898"/>
      <c r="D6" s="897">
        <f>+'2 Tasa de Retención'!G10*'2 Tasa de Retención'!C5</f>
        <v>24.192120000000003</v>
      </c>
      <c r="E6" s="897">
        <f>+'2 Tasa de Retención'!H10*'2 Tasa de Retención'!D5</f>
        <v>48.384240000000005</v>
      </c>
      <c r="F6" s="897">
        <f>+D6</f>
        <v>24.192120000000003</v>
      </c>
      <c r="G6" s="897">
        <f>+E6</f>
        <v>48.384240000000005</v>
      </c>
      <c r="H6" s="897">
        <f>+F6</f>
        <v>24.192120000000003</v>
      </c>
      <c r="I6" s="718">
        <f>+G6</f>
        <v>48.384240000000005</v>
      </c>
      <c r="J6" s="757"/>
      <c r="K6" s="757"/>
      <c r="S6" s="48">
        <f t="shared" si="1"/>
        <v>0</v>
      </c>
      <c r="T6" s="48">
        <v>3</v>
      </c>
      <c r="V6" s="48">
        <f>3*1.5</f>
        <v>4.5</v>
      </c>
      <c r="X6" s="48">
        <f>+X5*2.2%</f>
        <v>298.43</v>
      </c>
    </row>
    <row r="7" spans="1:25" ht="15.75" customHeight="1" x14ac:dyDescent="0.3">
      <c r="A7" s="142" t="s">
        <v>6</v>
      </c>
      <c r="B7" s="715"/>
      <c r="C7" s="716"/>
      <c r="D7" s="898"/>
      <c r="E7" s="897">
        <f>+'2 Tasa de Retención'!I10*'2 Tasa de Retención'!C5</f>
        <v>21.724523760000004</v>
      </c>
      <c r="F7" s="897">
        <f>+'2 Tasa de Retención'!J10*'2 Tasa de Retención'!D5</f>
        <v>43.449047520000008</v>
      </c>
      <c r="G7" s="897">
        <f>+E7</f>
        <v>21.724523760000004</v>
      </c>
      <c r="H7" s="897">
        <f>+F7</f>
        <v>43.449047520000008</v>
      </c>
      <c r="I7" s="718">
        <f>+G7</f>
        <v>21.724523760000004</v>
      </c>
      <c r="J7" s="757"/>
      <c r="K7" s="757"/>
      <c r="S7" s="48">
        <f t="shared" si="1"/>
        <v>0</v>
      </c>
      <c r="T7" s="48">
        <v>2</v>
      </c>
      <c r="V7" s="48">
        <f>+V6*16</f>
        <v>72</v>
      </c>
      <c r="X7" s="48">
        <f>+X6*15.7%</f>
        <v>46.85351</v>
      </c>
    </row>
    <row r="8" spans="1:25" ht="15.75" customHeight="1" x14ac:dyDescent="0.3">
      <c r="A8" s="142" t="s">
        <v>7</v>
      </c>
      <c r="B8" s="715"/>
      <c r="C8" s="716"/>
      <c r="D8" s="716"/>
      <c r="E8" s="898"/>
      <c r="F8" s="897">
        <f>+'2 Tasa de Retención'!K10*'2 Tasa de Retención'!C5</f>
        <v>19.508622336480006</v>
      </c>
      <c r="G8" s="897">
        <f>+'2 Tasa de Retención'!L10*'2 Tasa de Retención'!D5</f>
        <v>39.017244672960011</v>
      </c>
      <c r="H8" s="897">
        <f>+F8</f>
        <v>19.508622336480006</v>
      </c>
      <c r="I8" s="718">
        <f>+G8</f>
        <v>39.017244672960011</v>
      </c>
      <c r="J8" s="48" t="s">
        <v>498</v>
      </c>
      <c r="K8" s="757"/>
      <c r="S8" s="48">
        <f t="shared" si="1"/>
        <v>0</v>
      </c>
      <c r="T8" s="48">
        <v>4</v>
      </c>
    </row>
    <row r="9" spans="1:25" ht="15.75" customHeight="1" x14ac:dyDescent="0.3">
      <c r="A9" s="142" t="s">
        <v>8</v>
      </c>
      <c r="B9" s="898"/>
      <c r="C9" s="716"/>
      <c r="D9" s="716"/>
      <c r="E9" s="716"/>
      <c r="F9" s="898"/>
      <c r="G9" s="897">
        <f>+'2 Tasa de Retención'!M10*'2 Tasa de Retención'!C5</f>
        <v>18.482468801581156</v>
      </c>
      <c r="H9" s="897">
        <f>+'2 Tasa de Retención'!N10*'2 Tasa de Retención'!D5</f>
        <v>36.964937603162312</v>
      </c>
      <c r="I9" s="718">
        <f>+G9</f>
        <v>18.482468801581156</v>
      </c>
      <c r="K9" s="757"/>
    </row>
    <row r="10" spans="1:25" ht="15.75" customHeight="1" x14ac:dyDescent="0.3">
      <c r="A10" s="142" t="s">
        <v>9</v>
      </c>
      <c r="B10" s="715"/>
      <c r="C10" s="716"/>
      <c r="D10" s="716"/>
      <c r="E10" s="716"/>
      <c r="F10" s="716"/>
      <c r="G10" s="898"/>
      <c r="H10" s="897">
        <f>+'2 Tasa de Retención'!O10*'2 Tasa de Retención'!C5</f>
        <v>17.510290942617988</v>
      </c>
      <c r="I10" s="718">
        <f>+'2 Tasa de Retención'!P10*'2 Tasa de Retención'!D5</f>
        <v>35.020581885235977</v>
      </c>
      <c r="K10" s="757"/>
    </row>
    <row r="11" spans="1:25" ht="15.75" customHeight="1" x14ac:dyDescent="0.3">
      <c r="A11" s="142" t="s">
        <v>10</v>
      </c>
      <c r="B11" s="715"/>
      <c r="C11" s="716"/>
      <c r="D11" s="716"/>
      <c r="E11" s="716"/>
      <c r="F11" s="716"/>
      <c r="G11" s="716"/>
      <c r="H11" s="716"/>
      <c r="I11" s="718">
        <f>+'2 Tasa de Retención'!Q10*'2 Tasa de Retención'!C5</f>
        <v>17.510290942617988</v>
      </c>
      <c r="K11" s="757"/>
      <c r="S11" s="48">
        <f t="shared" si="1"/>
        <v>0</v>
      </c>
      <c r="T11" s="48">
        <v>2</v>
      </c>
    </row>
    <row r="12" spans="1:25" ht="16.2" thickBot="1" x14ac:dyDescent="0.35">
      <c r="A12" s="893" t="s">
        <v>11</v>
      </c>
      <c r="B12" s="894">
        <f t="shared" ref="B12:I12" si="2">SUM(B4:B11)</f>
        <v>30</v>
      </c>
      <c r="C12" s="894">
        <f t="shared" si="2"/>
        <v>86.94</v>
      </c>
      <c r="D12" s="894">
        <f t="shared" si="2"/>
        <v>108.07212</v>
      </c>
      <c r="E12" s="894">
        <f t="shared" si="2"/>
        <v>157.04876376000001</v>
      </c>
      <c r="F12" s="894">
        <f t="shared" si="2"/>
        <v>171.02978985648002</v>
      </c>
      <c r="G12" s="894">
        <f t="shared" si="2"/>
        <v>214.54847723454117</v>
      </c>
      <c r="H12" s="894">
        <f t="shared" si="2"/>
        <v>225.5050184022603</v>
      </c>
      <c r="I12" s="895">
        <f t="shared" si="2"/>
        <v>267.07935006239512</v>
      </c>
      <c r="K12" s="713"/>
    </row>
    <row r="13" spans="1:25" ht="15.6" x14ac:dyDescent="0.3">
      <c r="A13" s="746"/>
      <c r="B13" s="713"/>
      <c r="C13" s="713"/>
      <c r="D13" s="713"/>
      <c r="E13" s="713"/>
      <c r="F13" s="713"/>
      <c r="G13" s="713"/>
      <c r="H13" s="713"/>
      <c r="I13" s="713"/>
      <c r="K13" s="713"/>
    </row>
    <row r="14" spans="1:25" ht="12.75" customHeight="1" x14ac:dyDescent="0.3">
      <c r="A14" s="746"/>
      <c r="B14" s="713"/>
      <c r="C14" s="713"/>
      <c r="D14" s="713"/>
      <c r="E14" s="713"/>
      <c r="F14" s="713"/>
      <c r="G14" s="713"/>
      <c r="H14" s="713"/>
      <c r="I14" s="713"/>
      <c r="J14" s="122"/>
      <c r="K14" s="713"/>
    </row>
    <row r="15" spans="1:25" ht="12.75" customHeight="1" x14ac:dyDescent="0.3">
      <c r="A15" s="309" t="s">
        <v>12</v>
      </c>
      <c r="B15" s="747">
        <f>+B17</f>
        <v>18</v>
      </c>
      <c r="C15" s="747">
        <f>+B15+C17</f>
        <v>60</v>
      </c>
      <c r="D15" s="747">
        <f t="shared" ref="D15:I15" si="3">+C15+D17</f>
        <v>80</v>
      </c>
      <c r="E15" s="747">
        <f t="shared" si="3"/>
        <v>122</v>
      </c>
      <c r="F15" s="747">
        <f t="shared" si="3"/>
        <v>143</v>
      </c>
      <c r="G15" s="747">
        <f t="shared" si="3"/>
        <v>183</v>
      </c>
      <c r="H15" s="747">
        <f t="shared" si="3"/>
        <v>202</v>
      </c>
      <c r="I15" s="747">
        <f t="shared" si="3"/>
        <v>234</v>
      </c>
      <c r="J15" s="751"/>
      <c r="K15" s="713"/>
    </row>
    <row r="16" spans="1:25" ht="18" customHeight="1" x14ac:dyDescent="0.3">
      <c r="A16" s="826" t="s">
        <v>13</v>
      </c>
      <c r="B16" s="749">
        <v>288</v>
      </c>
      <c r="C16" s="749">
        <v>336</v>
      </c>
      <c r="D16" s="749">
        <v>320</v>
      </c>
      <c r="E16" s="749">
        <v>336</v>
      </c>
      <c r="F16" s="749">
        <v>336</v>
      </c>
      <c r="G16" s="749">
        <v>320</v>
      </c>
      <c r="H16" s="749">
        <v>304</v>
      </c>
      <c r="I16" s="749">
        <f>256</f>
        <v>256</v>
      </c>
      <c r="K16" s="951">
        <f>SUM(B16:I16)</f>
        <v>2496</v>
      </c>
    </row>
    <row r="17" spans="1:19" ht="16.5" customHeight="1" x14ac:dyDescent="0.3">
      <c r="A17" s="827" t="s">
        <v>14</v>
      </c>
      <c r="B17" s="747">
        <f>+B16/16*'2 Tasa de Retención'!$C$5</f>
        <v>18</v>
      </c>
      <c r="C17" s="747">
        <f>(+C16/16)*'2 Tasa de Retención'!$D$5</f>
        <v>42</v>
      </c>
      <c r="D17" s="747">
        <f>(+D16/16)*'2 Tasa de Retención'!$C$5</f>
        <v>20</v>
      </c>
      <c r="E17" s="747">
        <f>(+E16/16)*'2 Tasa de Retención'!$D$5</f>
        <v>42</v>
      </c>
      <c r="F17" s="747">
        <f>(+F16/16)*'2 Tasa de Retención'!$C$5</f>
        <v>21</v>
      </c>
      <c r="G17" s="747">
        <f>(+G16/16)*'2 Tasa de Retención'!$D$5</f>
        <v>40</v>
      </c>
      <c r="H17" s="747">
        <f>(+H16/16)*'2 Tasa de Retención'!$C$5</f>
        <v>19</v>
      </c>
      <c r="I17" s="747">
        <f>(+I16/16)*'2 Tasa de Retención'!$D$5</f>
        <v>32</v>
      </c>
      <c r="K17" s="712"/>
    </row>
    <row r="18" spans="1:19" ht="21.75" customHeight="1" x14ac:dyDescent="0.3">
      <c r="K18" s="712"/>
    </row>
    <row r="19" spans="1:19" ht="15" customHeight="1" x14ac:dyDescent="0.3">
      <c r="A19" s="309" t="s">
        <v>15</v>
      </c>
      <c r="B19" s="750">
        <f>+B21</f>
        <v>10</v>
      </c>
      <c r="C19" s="921">
        <f>+B19+C21</f>
        <v>32</v>
      </c>
      <c r="D19" s="921">
        <f t="shared" ref="D19:I19" si="4">+C19+D21</f>
        <v>44</v>
      </c>
      <c r="E19" s="921">
        <f t="shared" si="4"/>
        <v>70</v>
      </c>
      <c r="F19" s="921">
        <f t="shared" si="4"/>
        <v>85</v>
      </c>
      <c r="G19" s="921">
        <f t="shared" si="4"/>
        <v>118</v>
      </c>
      <c r="H19" s="921">
        <f t="shared" si="4"/>
        <v>139</v>
      </c>
      <c r="I19" s="921">
        <f t="shared" si="4"/>
        <v>189</v>
      </c>
      <c r="J19" s="751" t="s">
        <v>16</v>
      </c>
      <c r="K19" s="149"/>
    </row>
    <row r="20" spans="1:19" ht="17.25" customHeight="1" x14ac:dyDescent="0.3">
      <c r="A20" s="748" t="s">
        <v>17</v>
      </c>
      <c r="B20" s="887">
        <v>160</v>
      </c>
      <c r="C20" s="749">
        <v>176</v>
      </c>
      <c r="D20" s="887">
        <v>192</v>
      </c>
      <c r="E20" s="887">
        <v>208</v>
      </c>
      <c r="F20" s="887">
        <v>240</v>
      </c>
      <c r="G20" s="832">
        <f>224+16+24</f>
        <v>264</v>
      </c>
      <c r="H20" s="832">
        <f>240+96</f>
        <v>336</v>
      </c>
      <c r="I20" s="832">
        <f>160+240</f>
        <v>400</v>
      </c>
      <c r="J20" s="751">
        <v>0</v>
      </c>
      <c r="K20" s="951">
        <f>SUM(B20:I20)</f>
        <v>1976</v>
      </c>
      <c r="L20" s="833"/>
    </row>
    <row r="21" spans="1:19" ht="15.75" customHeight="1" x14ac:dyDescent="0.3">
      <c r="A21" s="827" t="s">
        <v>18</v>
      </c>
      <c r="B21" s="747">
        <f>+B20/16*'2 Tasa de Retención'!$C$5</f>
        <v>10</v>
      </c>
      <c r="C21" s="747">
        <f>(+C20/16)*'2 Tasa de Retención'!$D$5</f>
        <v>22</v>
      </c>
      <c r="D21" s="747">
        <f>(+D20/16)*'2 Tasa de Retención'!$C$5</f>
        <v>12</v>
      </c>
      <c r="E21" s="747">
        <f>(+E20/16)*'2 Tasa de Retención'!$D$5</f>
        <v>26</v>
      </c>
      <c r="F21" s="747">
        <f>(+F20/16)*'2 Tasa de Retención'!$C$5</f>
        <v>15</v>
      </c>
      <c r="G21" s="747">
        <f>(+G20/16)*'2 Tasa de Retención'!$D$5</f>
        <v>33</v>
      </c>
      <c r="H21" s="747">
        <f>(+H20/16)*'2 Tasa de Retención'!$C$5</f>
        <v>21</v>
      </c>
      <c r="I21" s="747">
        <f>(+I20/16)*'2 Tasa de Retención'!$D$5</f>
        <v>50</v>
      </c>
      <c r="K21" s="712"/>
    </row>
    <row r="22" spans="1:19" ht="15.6" x14ac:dyDescent="0.3">
      <c r="B22" s="847"/>
      <c r="K22" s="712"/>
    </row>
    <row r="23" spans="1:19" ht="15.75" customHeight="1" thickBot="1" x14ac:dyDescent="0.35">
      <c r="A23" s="148"/>
      <c r="B23" s="846"/>
      <c r="C23" s="149"/>
      <c r="D23" s="149"/>
      <c r="E23" s="149"/>
      <c r="F23" s="149"/>
      <c r="G23" s="149"/>
      <c r="H23" s="149"/>
      <c r="I23" s="149"/>
      <c r="J23" s="122" t="s">
        <v>19</v>
      </c>
      <c r="K23" s="149"/>
      <c r="S23" s="50"/>
    </row>
    <row r="24" spans="1:19" ht="18.75" customHeight="1" x14ac:dyDescent="0.3">
      <c r="A24" s="147" t="s">
        <v>20</v>
      </c>
      <c r="B24" s="835">
        <f>+B15/$J$24</f>
        <v>1</v>
      </c>
      <c r="C24" s="835">
        <f t="shared" ref="C24:I24" si="5">+C15/$J$24</f>
        <v>3.3333333333333335</v>
      </c>
      <c r="D24" s="835">
        <f t="shared" si="5"/>
        <v>4.4444444444444446</v>
      </c>
      <c r="E24" s="835">
        <f t="shared" si="5"/>
        <v>6.7777777777777777</v>
      </c>
      <c r="F24" s="835">
        <f t="shared" si="5"/>
        <v>7.9444444444444446</v>
      </c>
      <c r="G24" s="835">
        <f t="shared" si="5"/>
        <v>10.166666666666666</v>
      </c>
      <c r="H24" s="835">
        <f t="shared" si="5"/>
        <v>11.222222222222221</v>
      </c>
      <c r="I24" s="842">
        <f t="shared" si="5"/>
        <v>13</v>
      </c>
      <c r="J24" s="751">
        <v>18</v>
      </c>
      <c r="K24" s="752"/>
    </row>
    <row r="25" spans="1:19" ht="16.5" customHeight="1" x14ac:dyDescent="0.3">
      <c r="A25" s="54" t="s">
        <v>21</v>
      </c>
      <c r="B25" s="55">
        <f>+B26*0.4</f>
        <v>0.24</v>
      </c>
      <c r="C25" s="55">
        <f t="shared" ref="C25:I25" si="6">+C26*0.4</f>
        <v>0.8</v>
      </c>
      <c r="D25" s="55">
        <f t="shared" si="6"/>
        <v>1.0666666666666667</v>
      </c>
      <c r="E25" s="55">
        <f t="shared" si="6"/>
        <v>1.6266666666666667</v>
      </c>
      <c r="F25" s="55">
        <f t="shared" si="6"/>
        <v>1.9066666666666667</v>
      </c>
      <c r="G25" s="55">
        <f t="shared" si="6"/>
        <v>2.44</v>
      </c>
      <c r="H25" s="55">
        <f t="shared" si="6"/>
        <v>2.6933333333333334</v>
      </c>
      <c r="I25" s="56">
        <f t="shared" si="6"/>
        <v>3.12</v>
      </c>
      <c r="K25" s="150"/>
    </row>
    <row r="26" spans="1:19" ht="16.5" customHeight="1" x14ac:dyDescent="0.3">
      <c r="A26" s="54" t="s">
        <v>22</v>
      </c>
      <c r="B26" s="836">
        <f>+B24*0.6</f>
        <v>0.6</v>
      </c>
      <c r="C26" s="836">
        <f t="shared" ref="C26:I26" si="7">+C24*0.6</f>
        <v>2</v>
      </c>
      <c r="D26" s="836">
        <f t="shared" si="7"/>
        <v>2.6666666666666665</v>
      </c>
      <c r="E26" s="836">
        <f t="shared" si="7"/>
        <v>4.0666666666666664</v>
      </c>
      <c r="F26" s="836">
        <f t="shared" si="7"/>
        <v>4.7666666666666666</v>
      </c>
      <c r="G26" s="836">
        <f t="shared" si="7"/>
        <v>6.1</v>
      </c>
      <c r="H26" s="836">
        <f t="shared" si="7"/>
        <v>6.7333333333333325</v>
      </c>
      <c r="I26" s="837">
        <f t="shared" si="7"/>
        <v>7.8</v>
      </c>
      <c r="K26" s="753"/>
    </row>
    <row r="27" spans="1:19" ht="16.5" customHeight="1" x14ac:dyDescent="0.3">
      <c r="A27" s="54" t="s">
        <v>23</v>
      </c>
      <c r="B27" s="838"/>
      <c r="C27" s="838"/>
      <c r="D27" s="838"/>
      <c r="E27" s="838"/>
      <c r="F27" s="838"/>
      <c r="G27" s="838"/>
      <c r="H27" s="838"/>
      <c r="I27" s="839"/>
      <c r="K27" s="150"/>
    </row>
    <row r="28" spans="1:19" ht="16.5" customHeight="1" x14ac:dyDescent="0.3">
      <c r="A28" s="54" t="s">
        <v>24</v>
      </c>
      <c r="B28" s="836">
        <f>+B24-B26-B25</f>
        <v>0.16000000000000003</v>
      </c>
      <c r="C28" s="836">
        <f t="shared" ref="C28:I28" si="8">+C24-C26-C25</f>
        <v>0.53333333333333344</v>
      </c>
      <c r="D28" s="836">
        <f t="shared" si="8"/>
        <v>0.71111111111111147</v>
      </c>
      <c r="E28" s="836">
        <f t="shared" si="8"/>
        <v>1.0844444444444445</v>
      </c>
      <c r="F28" s="836">
        <f t="shared" si="8"/>
        <v>1.2711111111111113</v>
      </c>
      <c r="G28" s="836">
        <f t="shared" si="8"/>
        <v>1.6266666666666665</v>
      </c>
      <c r="H28" s="836">
        <f t="shared" si="8"/>
        <v>1.7955555555555556</v>
      </c>
      <c r="I28" s="837">
        <f t="shared" si="8"/>
        <v>2.08</v>
      </c>
      <c r="K28" s="753"/>
    </row>
    <row r="29" spans="1:19" ht="14.25" customHeight="1" thickBot="1" x14ac:dyDescent="0.35">
      <c r="A29" s="714"/>
      <c r="B29" s="150"/>
      <c r="C29" s="150"/>
      <c r="D29" s="150"/>
      <c r="E29" s="150"/>
      <c r="F29" s="150"/>
      <c r="G29" s="150"/>
      <c r="H29" s="150"/>
      <c r="I29" s="840"/>
      <c r="J29" s="751" t="s">
        <v>25</v>
      </c>
      <c r="K29" s="150"/>
    </row>
    <row r="30" spans="1:19" ht="16.5" customHeight="1" thickBot="1" x14ac:dyDescent="0.35">
      <c r="A30" s="151" t="s">
        <v>26</v>
      </c>
      <c r="B30" s="841">
        <f>+B19/$J$30</f>
        <v>0.25</v>
      </c>
      <c r="C30" s="841">
        <f t="shared" ref="C30:I30" si="9">+C19/$J$30</f>
        <v>0.8</v>
      </c>
      <c r="D30" s="841">
        <f t="shared" si="9"/>
        <v>1.1000000000000001</v>
      </c>
      <c r="E30" s="841">
        <f t="shared" si="9"/>
        <v>1.75</v>
      </c>
      <c r="F30" s="841">
        <f t="shared" si="9"/>
        <v>2.125</v>
      </c>
      <c r="G30" s="841">
        <f t="shared" si="9"/>
        <v>2.95</v>
      </c>
      <c r="H30" s="841">
        <f t="shared" si="9"/>
        <v>3.4750000000000001</v>
      </c>
      <c r="I30" s="843">
        <f t="shared" si="9"/>
        <v>4.7249999999999996</v>
      </c>
      <c r="J30" s="751">
        <v>40</v>
      </c>
      <c r="K30" s="754"/>
    </row>
    <row r="32" spans="1:19" ht="23.25" customHeight="1" x14ac:dyDescent="0.3">
      <c r="A32" s="160"/>
      <c r="B32" s="745"/>
      <c r="C32" s="745"/>
      <c r="D32" s="745"/>
      <c r="E32" s="745"/>
      <c r="F32" s="745"/>
      <c r="G32" s="745"/>
      <c r="H32" s="745"/>
      <c r="I32" s="745"/>
      <c r="J32" s="160"/>
      <c r="K32" s="160"/>
    </row>
    <row r="33" spans="1:11" ht="33" customHeight="1" x14ac:dyDescent="0.3">
      <c r="A33" s="148"/>
      <c r="B33" s="743"/>
      <c r="C33" s="743"/>
      <c r="D33" s="743"/>
      <c r="E33" s="743"/>
      <c r="F33" s="743"/>
      <c r="G33" s="743"/>
      <c r="H33" s="743"/>
      <c r="I33" s="743"/>
      <c r="J33" s="120"/>
      <c r="K33" s="120"/>
    </row>
    <row r="34" spans="1:11" x14ac:dyDescent="0.3">
      <c r="B34" s="744"/>
      <c r="C34" s="744"/>
      <c r="D34" s="744"/>
      <c r="E34" s="744"/>
      <c r="F34" s="744"/>
      <c r="G34" s="744"/>
      <c r="H34" s="744"/>
      <c r="I34" s="744"/>
    </row>
    <row r="35" spans="1:11" x14ac:dyDescent="0.3">
      <c r="B35" s="744"/>
      <c r="C35" s="744"/>
      <c r="D35" s="744"/>
      <c r="E35" s="744"/>
      <c r="F35" s="744"/>
      <c r="G35" s="744"/>
      <c r="H35" s="744"/>
      <c r="I35" s="744"/>
    </row>
    <row r="36" spans="1:11" x14ac:dyDescent="0.3">
      <c r="B36" s="744"/>
      <c r="C36" s="744"/>
      <c r="D36" s="744"/>
      <c r="E36" s="744"/>
      <c r="F36" s="744"/>
      <c r="G36" s="744"/>
      <c r="H36" s="744"/>
      <c r="I36" s="744"/>
    </row>
    <row r="37" spans="1:11" x14ac:dyDescent="0.3">
      <c r="B37" s="744"/>
      <c r="C37" s="744"/>
      <c r="D37" s="744"/>
      <c r="E37" s="744"/>
      <c r="F37" s="744"/>
      <c r="G37" s="744"/>
      <c r="H37" s="744"/>
      <c r="I37" s="744"/>
    </row>
    <row r="38" spans="1:11" x14ac:dyDescent="0.3">
      <c r="B38" s="744"/>
      <c r="C38" s="744"/>
      <c r="D38" s="744"/>
      <c r="E38" s="744"/>
      <c r="F38" s="744"/>
      <c r="G38" s="744"/>
      <c r="H38" s="744"/>
      <c r="I38" s="744"/>
    </row>
  </sheetData>
  <printOptions horizontalCentered="1" verticalCentered="1"/>
  <pageMargins left="0.9055118110236221" right="0.70866141732283472" top="1.5354330708661419" bottom="1.3385826771653544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9"/>
  <sheetViews>
    <sheetView topLeftCell="C1" workbookViewId="0">
      <selection activeCell="N9" sqref="N9"/>
    </sheetView>
  </sheetViews>
  <sheetFormatPr baseColWidth="10" defaultColWidth="10.6640625" defaultRowHeight="14.4" x14ac:dyDescent="0.3"/>
  <cols>
    <col min="2" max="2" width="30.109375" customWidth="1"/>
  </cols>
  <sheetData>
    <row r="1" spans="2:16" x14ac:dyDescent="0.3">
      <c r="B1" t="s">
        <v>27</v>
      </c>
    </row>
    <row r="2" spans="2:16" x14ac:dyDescent="0.3">
      <c r="B2" t="s">
        <v>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2:16" x14ac:dyDescent="0.3">
      <c r="B3" s="1" t="s">
        <v>34</v>
      </c>
      <c r="C3">
        <v>13</v>
      </c>
      <c r="D3">
        <v>9</v>
      </c>
      <c r="E3">
        <v>9</v>
      </c>
      <c r="F3">
        <v>9</v>
      </c>
      <c r="G3">
        <v>9</v>
      </c>
      <c r="H3">
        <v>9</v>
      </c>
    </row>
    <row r="4" spans="2:16" x14ac:dyDescent="0.3">
      <c r="B4" t="s">
        <v>35</v>
      </c>
      <c r="C4">
        <f>13*25</f>
        <v>325</v>
      </c>
      <c r="D4">
        <f>9*25</f>
        <v>225</v>
      </c>
      <c r="E4">
        <f>9*25</f>
        <v>225</v>
      </c>
      <c r="F4">
        <f>9*25</f>
        <v>225</v>
      </c>
      <c r="G4">
        <f>9*25</f>
        <v>225</v>
      </c>
      <c r="H4">
        <f>9*25</f>
        <v>225</v>
      </c>
    </row>
    <row r="5" spans="2:16" x14ac:dyDescent="0.3">
      <c r="B5" t="s">
        <v>36</v>
      </c>
      <c r="C5">
        <f t="shared" ref="C5:H5" si="0">+C4</f>
        <v>325</v>
      </c>
      <c r="D5">
        <f t="shared" si="0"/>
        <v>225</v>
      </c>
      <c r="E5">
        <f t="shared" si="0"/>
        <v>225</v>
      </c>
      <c r="F5">
        <f t="shared" si="0"/>
        <v>225</v>
      </c>
      <c r="G5">
        <f t="shared" si="0"/>
        <v>225</v>
      </c>
      <c r="H5">
        <f t="shared" si="0"/>
        <v>225</v>
      </c>
      <c r="L5">
        <f>54*6</f>
        <v>324</v>
      </c>
    </row>
    <row r="6" spans="2:16" x14ac:dyDescent="0.3">
      <c r="B6" t="s">
        <v>37</v>
      </c>
      <c r="C6">
        <v>13</v>
      </c>
      <c r="D6">
        <f>+D3</f>
        <v>9</v>
      </c>
      <c r="E6">
        <f>+E3</f>
        <v>9</v>
      </c>
      <c r="F6">
        <f>+F3</f>
        <v>9</v>
      </c>
      <c r="G6">
        <f>+G3</f>
        <v>9</v>
      </c>
      <c r="H6">
        <f>+H3</f>
        <v>9</v>
      </c>
    </row>
    <row r="7" spans="2:16" x14ac:dyDescent="0.3">
      <c r="B7" t="s">
        <v>38</v>
      </c>
      <c r="C7">
        <v>13</v>
      </c>
      <c r="D7">
        <f>+D3</f>
        <v>9</v>
      </c>
      <c r="E7">
        <f>+E3</f>
        <v>9</v>
      </c>
      <c r="F7">
        <f>+F3</f>
        <v>9</v>
      </c>
      <c r="G7">
        <f>+G3</f>
        <v>9</v>
      </c>
      <c r="H7">
        <f>+H3</f>
        <v>9</v>
      </c>
      <c r="L7">
        <f>800/50</f>
        <v>16</v>
      </c>
    </row>
    <row r="8" spans="2:16" x14ac:dyDescent="0.3">
      <c r="B8" t="s">
        <v>39</v>
      </c>
      <c r="C8">
        <v>13</v>
      </c>
      <c r="D8">
        <f>+D3</f>
        <v>9</v>
      </c>
      <c r="E8">
        <f>+E3</f>
        <v>9</v>
      </c>
      <c r="F8">
        <f>+F3</f>
        <v>9</v>
      </c>
      <c r="G8">
        <f>+G3</f>
        <v>9</v>
      </c>
      <c r="H8">
        <f>+H3</f>
        <v>9</v>
      </c>
      <c r="L8">
        <f>16*20</f>
        <v>320</v>
      </c>
      <c r="M8" t="s">
        <v>40</v>
      </c>
      <c r="N8">
        <f>320*9</f>
        <v>2880</v>
      </c>
    </row>
    <row r="9" spans="2:16" x14ac:dyDescent="0.3">
      <c r="B9" t="s">
        <v>41</v>
      </c>
      <c r="L9">
        <f>+L7*30</f>
        <v>480</v>
      </c>
      <c r="M9" t="s">
        <v>42</v>
      </c>
      <c r="N9">
        <f>+N8/13</f>
        <v>221.53846153846155</v>
      </c>
    </row>
    <row r="10" spans="2:16" x14ac:dyDescent="0.3">
      <c r="B10" s="1" t="s">
        <v>43</v>
      </c>
      <c r="L10">
        <f>SUM(L8:L9)</f>
        <v>800</v>
      </c>
      <c r="N10">
        <f>+N9/9</f>
        <v>24.615384615384617</v>
      </c>
    </row>
    <row r="11" spans="2:16" x14ac:dyDescent="0.3">
      <c r="B11" t="s">
        <v>44</v>
      </c>
      <c r="L11">
        <v>9</v>
      </c>
      <c r="N11">
        <f>+N10*60%</f>
        <v>14.76923076923077</v>
      </c>
      <c r="O11">
        <v>2180</v>
      </c>
      <c r="P11">
        <f>+O11*N11</f>
        <v>32196.923076923078</v>
      </c>
    </row>
    <row r="12" spans="2:16" x14ac:dyDescent="0.3">
      <c r="B12" t="s">
        <v>45</v>
      </c>
      <c r="L12">
        <f>+L10*L11</f>
        <v>7200</v>
      </c>
      <c r="N12">
        <f>+N10-N11</f>
        <v>9.8461538461538467</v>
      </c>
      <c r="O12">
        <f>+O11/2</f>
        <v>1090</v>
      </c>
      <c r="P12">
        <f>+O12*N12</f>
        <v>10732.307692307693</v>
      </c>
    </row>
    <row r="13" spans="2:16" x14ac:dyDescent="0.3">
      <c r="B13" t="s">
        <v>46</v>
      </c>
      <c r="P13">
        <f>SUM(P11:P12)</f>
        <v>42929.230769230773</v>
      </c>
    </row>
    <row r="14" spans="2:16" x14ac:dyDescent="0.3">
      <c r="B14" t="s">
        <v>47</v>
      </c>
      <c r="P14">
        <f>+P13*12</f>
        <v>515150.76923076925</v>
      </c>
    </row>
    <row r="15" spans="2:16" x14ac:dyDescent="0.3">
      <c r="B15" s="1" t="s">
        <v>48</v>
      </c>
      <c r="P15">
        <f>+P14*40%</f>
        <v>206060.30769230772</v>
      </c>
    </row>
    <row r="16" spans="2:16" x14ac:dyDescent="0.3">
      <c r="B16" t="s">
        <v>44</v>
      </c>
      <c r="P16" s="2">
        <f>SUM(P14:P15)</f>
        <v>721211.07692307699</v>
      </c>
    </row>
    <row r="17" spans="2:17" x14ac:dyDescent="0.3">
      <c r="B17" t="s">
        <v>45</v>
      </c>
      <c r="P17">
        <f>+P16*20%</f>
        <v>144242.21538461541</v>
      </c>
    </row>
    <row r="18" spans="2:17" x14ac:dyDescent="0.3">
      <c r="B18" t="s">
        <v>46</v>
      </c>
      <c r="P18">
        <f>SUM(P16:P17)</f>
        <v>865453.29230769235</v>
      </c>
      <c r="Q18" t="s">
        <v>49</v>
      </c>
    </row>
    <row r="19" spans="2:17" x14ac:dyDescent="0.3">
      <c r="B19" t="s">
        <v>47</v>
      </c>
      <c r="L19">
        <f>25*9</f>
        <v>225</v>
      </c>
      <c r="M19">
        <f>180*14</f>
        <v>2520</v>
      </c>
      <c r="N19">
        <f>+M19*L19</f>
        <v>567000</v>
      </c>
    </row>
    <row r="20" spans="2:17" x14ac:dyDescent="0.3">
      <c r="B20" t="s">
        <v>50</v>
      </c>
    </row>
    <row r="21" spans="2:17" x14ac:dyDescent="0.3">
      <c r="B21" t="s">
        <v>51</v>
      </c>
    </row>
    <row r="22" spans="2:17" x14ac:dyDescent="0.3">
      <c r="B22" s="1" t="s">
        <v>52</v>
      </c>
      <c r="L22">
        <f>320/15</f>
        <v>21.333333333333332</v>
      </c>
    </row>
    <row r="23" spans="2:17" x14ac:dyDescent="0.3">
      <c r="B23" t="s">
        <v>44</v>
      </c>
    </row>
    <row r="24" spans="2:17" x14ac:dyDescent="0.3">
      <c r="B24" t="s">
        <v>45</v>
      </c>
    </row>
    <row r="25" spans="2:17" x14ac:dyDescent="0.3">
      <c r="B25" t="s">
        <v>46</v>
      </c>
    </row>
    <row r="26" spans="2:17" x14ac:dyDescent="0.3">
      <c r="B26" t="s">
        <v>47</v>
      </c>
    </row>
    <row r="27" spans="2:17" x14ac:dyDescent="0.3">
      <c r="B27" t="s">
        <v>50</v>
      </c>
    </row>
    <row r="28" spans="2:17" x14ac:dyDescent="0.3">
      <c r="B28" t="s">
        <v>51</v>
      </c>
    </row>
    <row r="29" spans="2:17" x14ac:dyDescent="0.3">
      <c r="B29" s="1" t="s">
        <v>53</v>
      </c>
    </row>
    <row r="30" spans="2:17" x14ac:dyDescent="0.3">
      <c r="B30" t="s">
        <v>44</v>
      </c>
    </row>
    <row r="31" spans="2:17" x14ac:dyDescent="0.3">
      <c r="B31" t="s">
        <v>45</v>
      </c>
    </row>
    <row r="32" spans="2:17" x14ac:dyDescent="0.3">
      <c r="B32" t="s">
        <v>46</v>
      </c>
    </row>
    <row r="33" spans="2:2" x14ac:dyDescent="0.3">
      <c r="B33" t="s">
        <v>47</v>
      </c>
    </row>
    <row r="34" spans="2:2" x14ac:dyDescent="0.3">
      <c r="B34" t="s">
        <v>50</v>
      </c>
    </row>
    <row r="35" spans="2:2" x14ac:dyDescent="0.3">
      <c r="B35" t="s">
        <v>51</v>
      </c>
    </row>
    <row r="36" spans="2:2" x14ac:dyDescent="0.3">
      <c r="B36" s="1" t="s">
        <v>54</v>
      </c>
    </row>
    <row r="37" spans="2:2" x14ac:dyDescent="0.3">
      <c r="B37" t="s">
        <v>44</v>
      </c>
    </row>
    <row r="38" spans="2:2" x14ac:dyDescent="0.3">
      <c r="B38" t="s">
        <v>45</v>
      </c>
    </row>
    <row r="39" spans="2:2" x14ac:dyDescent="0.3">
      <c r="B39" t="s">
        <v>46</v>
      </c>
    </row>
    <row r="40" spans="2:2" x14ac:dyDescent="0.3">
      <c r="B40" t="s">
        <v>47</v>
      </c>
    </row>
    <row r="41" spans="2:2" x14ac:dyDescent="0.3">
      <c r="B41" t="s">
        <v>50</v>
      </c>
    </row>
    <row r="42" spans="2:2" x14ac:dyDescent="0.3">
      <c r="B42" t="s">
        <v>51</v>
      </c>
    </row>
    <row r="43" spans="2:2" x14ac:dyDescent="0.3">
      <c r="B43" s="1" t="s">
        <v>55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50</v>
      </c>
    </row>
    <row r="49" spans="2:2" x14ac:dyDescent="0.3">
      <c r="B49" t="s">
        <v>51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6"/>
  <sheetViews>
    <sheetView showGridLines="0" zoomScaleNormal="100" workbookViewId="0">
      <selection activeCell="O16" sqref="O16"/>
    </sheetView>
  </sheetViews>
  <sheetFormatPr baseColWidth="10" defaultColWidth="11.44140625" defaultRowHeight="10.199999999999999" x14ac:dyDescent="0.2"/>
  <cols>
    <col min="1" max="1" width="3.88671875" style="454" customWidth="1"/>
    <col min="2" max="2" width="8.88671875" style="454" customWidth="1"/>
    <col min="3" max="17" width="9.109375" style="454" customWidth="1"/>
    <col min="18" max="18" width="6.44140625" style="454" customWidth="1"/>
    <col min="19" max="19" width="3.6640625" style="454" customWidth="1"/>
    <col min="20" max="20" width="5.5546875" style="454" customWidth="1"/>
    <col min="21" max="23" width="8" style="454" hidden="1" customWidth="1"/>
    <col min="24" max="24" width="10.33203125" style="454" customWidth="1"/>
    <col min="25" max="26" width="8" style="454" customWidth="1"/>
    <col min="27" max="16384" width="11.44140625" style="454"/>
  </cols>
  <sheetData>
    <row r="1" spans="1:29" ht="20.399999999999999" x14ac:dyDescent="0.2">
      <c r="A1" s="465"/>
      <c r="B1" s="505" t="s">
        <v>56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V1" s="465" t="s">
        <v>57</v>
      </c>
      <c r="W1" s="465" t="s">
        <v>58</v>
      </c>
      <c r="X1" s="456" t="s">
        <v>59</v>
      </c>
    </row>
    <row r="2" spans="1:29" ht="10.8" thickBot="1" x14ac:dyDescent="0.25">
      <c r="A2" s="465" t="s">
        <v>60</v>
      </c>
      <c r="B2" s="465"/>
      <c r="C2" s="506" t="s">
        <v>61</v>
      </c>
      <c r="D2" s="506" t="s">
        <v>62</v>
      </c>
      <c r="E2" s="506" t="s">
        <v>63</v>
      </c>
      <c r="F2" s="506"/>
      <c r="G2" s="506"/>
      <c r="H2" s="506"/>
      <c r="I2" s="506"/>
      <c r="J2" s="506"/>
      <c r="K2" s="506" t="s">
        <v>64</v>
      </c>
      <c r="L2" s="506"/>
      <c r="M2" s="506" t="s">
        <v>65</v>
      </c>
      <c r="N2" s="506"/>
      <c r="O2" s="506"/>
      <c r="P2" s="506" t="s">
        <v>66</v>
      </c>
      <c r="Q2" s="506"/>
      <c r="R2" s="506"/>
      <c r="S2" s="506"/>
      <c r="T2" s="506"/>
      <c r="U2" s="457"/>
      <c r="V2" s="465"/>
      <c r="W2" s="465"/>
    </row>
    <row r="3" spans="1:29" ht="16.2" thickBot="1" x14ac:dyDescent="0.35">
      <c r="A3" s="507">
        <v>0.94740000000000002</v>
      </c>
      <c r="B3" s="465" t="s">
        <v>67</v>
      </c>
      <c r="C3" s="508">
        <v>35</v>
      </c>
      <c r="D3" s="508">
        <f>+C3*A3</f>
        <v>33.158999999999999</v>
      </c>
      <c r="E3" s="508">
        <f>+D3*A3</f>
        <v>31.414836600000001</v>
      </c>
      <c r="F3" s="508"/>
      <c r="G3" s="508"/>
      <c r="H3" s="508"/>
      <c r="I3" s="508"/>
      <c r="J3" s="508"/>
      <c r="K3" s="508">
        <f>+E3*A3</f>
        <v>29.76241619484</v>
      </c>
      <c r="L3" s="508"/>
      <c r="M3" s="508">
        <f>+K3*A3</f>
        <v>28.196913102991417</v>
      </c>
      <c r="N3" s="508"/>
      <c r="O3" s="508"/>
      <c r="P3" s="508">
        <f>+M3*A3</f>
        <v>26.713755473774068</v>
      </c>
      <c r="Q3" s="508"/>
      <c r="R3" s="508"/>
      <c r="S3" s="508"/>
      <c r="T3" s="509"/>
      <c r="U3" s="459"/>
      <c r="V3" s="466">
        <f>SUM(C3:T3)</f>
        <v>184.24692137160545</v>
      </c>
      <c r="W3" s="466">
        <f>+V3/9</f>
        <v>20.471880152400605</v>
      </c>
      <c r="X3" s="941">
        <v>0.66569999999999996</v>
      </c>
    </row>
    <row r="4" spans="1:29" x14ac:dyDescent="0.2">
      <c r="B4" s="458"/>
      <c r="C4" s="900" t="s">
        <v>69</v>
      </c>
      <c r="D4" s="900" t="s">
        <v>68</v>
      </c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59"/>
      <c r="U4" s="459"/>
      <c r="V4" s="466"/>
      <c r="W4" s="466"/>
      <c r="X4" s="452"/>
    </row>
    <row r="5" spans="1:29" x14ac:dyDescent="0.2">
      <c r="B5" s="922" t="s">
        <v>70</v>
      </c>
      <c r="C5" s="532">
        <v>1</v>
      </c>
      <c r="D5" s="901">
        <v>2</v>
      </c>
      <c r="E5" s="461"/>
      <c r="F5" s="461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59"/>
      <c r="U5" s="459"/>
      <c r="V5" s="460"/>
      <c r="W5" s="460"/>
      <c r="X5" s="452"/>
    </row>
    <row r="6" spans="1:29" ht="10.8" thickBot="1" x14ac:dyDescent="0.25">
      <c r="B6" s="455" t="s">
        <v>71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</row>
    <row r="7" spans="1:29" x14ac:dyDescent="0.2">
      <c r="C7" s="903" t="s">
        <v>61</v>
      </c>
      <c r="D7" s="904" t="s">
        <v>61</v>
      </c>
      <c r="E7" s="934" t="s">
        <v>62</v>
      </c>
      <c r="F7" s="935" t="s">
        <v>62</v>
      </c>
      <c r="G7" s="908" t="s">
        <v>63</v>
      </c>
      <c r="H7" s="909" t="s">
        <v>63</v>
      </c>
      <c r="I7" s="934" t="s">
        <v>64</v>
      </c>
      <c r="J7" s="908" t="s">
        <v>64</v>
      </c>
      <c r="K7" s="903" t="s">
        <v>65</v>
      </c>
      <c r="L7" s="909" t="s">
        <v>65</v>
      </c>
      <c r="M7" s="936" t="s">
        <v>66</v>
      </c>
      <c r="N7" s="936" t="s">
        <v>66</v>
      </c>
      <c r="O7" s="917" t="s">
        <v>72</v>
      </c>
      <c r="P7" s="918" t="s">
        <v>72</v>
      </c>
      <c r="Q7" s="937" t="s">
        <v>73</v>
      </c>
      <c r="R7" s="457"/>
      <c r="S7" s="457"/>
      <c r="T7" s="457"/>
      <c r="U7" s="457"/>
    </row>
    <row r="8" spans="1:29" x14ac:dyDescent="0.2">
      <c r="B8" s="458">
        <v>0.89800000000000002</v>
      </c>
      <c r="C8" s="463"/>
      <c r="D8" s="905"/>
      <c r="E8" s="668"/>
      <c r="F8" s="668"/>
      <c r="G8" s="910"/>
      <c r="H8" s="911"/>
      <c r="I8" s="668"/>
      <c r="J8" s="668"/>
      <c r="K8" s="942">
        <v>0.94740000000000002</v>
      </c>
      <c r="L8" s="915"/>
      <c r="M8" s="914"/>
      <c r="N8" s="500"/>
      <c r="O8" s="463"/>
      <c r="P8" s="919"/>
      <c r="Q8" s="503"/>
      <c r="R8" s="457"/>
      <c r="S8" s="457"/>
      <c r="T8" s="457"/>
      <c r="U8" s="457"/>
    </row>
    <row r="9" spans="1:29" ht="15" customHeight="1" thickBot="1" x14ac:dyDescent="0.25">
      <c r="C9" s="464"/>
      <c r="D9" s="711"/>
      <c r="E9" s="888"/>
      <c r="F9" s="501"/>
      <c r="G9" s="912"/>
      <c r="H9" s="711"/>
      <c r="I9" s="888"/>
      <c r="J9" s="888"/>
      <c r="K9" s="464"/>
      <c r="L9" s="504"/>
      <c r="M9" s="890"/>
      <c r="N9" s="501"/>
      <c r="O9" s="464"/>
      <c r="P9" s="711">
        <f>+M9*B8</f>
        <v>0</v>
      </c>
      <c r="Q9" s="504">
        <f>+P9*C8</f>
        <v>0</v>
      </c>
      <c r="R9" s="459"/>
      <c r="S9" s="459"/>
      <c r="T9" s="459"/>
      <c r="U9" s="459"/>
      <c r="W9" s="954" t="s">
        <v>74</v>
      </c>
      <c r="X9" s="954"/>
      <c r="Y9" s="954"/>
      <c r="AC9" s="454">
        <f>24/30</f>
        <v>0.8</v>
      </c>
    </row>
    <row r="10" spans="1:29" ht="16.2" thickBot="1" x14ac:dyDescent="0.35">
      <c r="B10" s="922" t="s">
        <v>75</v>
      </c>
      <c r="C10" s="906">
        <v>30</v>
      </c>
      <c r="D10" s="907">
        <v>30</v>
      </c>
      <c r="E10" s="946">
        <f>+C10*B8</f>
        <v>26.94</v>
      </c>
      <c r="F10" s="502">
        <f>+D10*B8</f>
        <v>26.94</v>
      </c>
      <c r="G10" s="947">
        <f>+E10*B8</f>
        <v>24.192120000000003</v>
      </c>
      <c r="H10" s="913">
        <f>+F10*B8</f>
        <v>24.192120000000003</v>
      </c>
      <c r="I10" s="946">
        <f>+G10*B8</f>
        <v>21.724523760000004</v>
      </c>
      <c r="J10" s="889">
        <f>+H10*B8</f>
        <v>21.724523760000004</v>
      </c>
      <c r="K10" s="948">
        <f>+B8*I10</f>
        <v>19.508622336480006</v>
      </c>
      <c r="L10" s="916">
        <f>+B8*J10</f>
        <v>19.508622336480006</v>
      </c>
      <c r="M10" s="949">
        <f>+K10*K8</f>
        <v>18.482468801581156</v>
      </c>
      <c r="N10" s="502">
        <f>+L10*K8</f>
        <v>18.482468801581156</v>
      </c>
      <c r="O10" s="948">
        <f>+M10*K8</f>
        <v>17.510290942617988</v>
      </c>
      <c r="P10" s="913">
        <f>+N10*K8</f>
        <v>17.510290942617988</v>
      </c>
      <c r="Q10" s="950">
        <f>+O10</f>
        <v>17.510290942617988</v>
      </c>
      <c r="R10" s="461"/>
      <c r="S10" s="461"/>
      <c r="T10" s="461"/>
      <c r="U10" s="460"/>
      <c r="V10" s="466">
        <f>SUM(C10:T10)</f>
        <v>334.22634262397628</v>
      </c>
      <c r="W10" s="466">
        <f>+V10/9</f>
        <v>37.136260291552922</v>
      </c>
      <c r="X10" s="848">
        <v>0.65</v>
      </c>
      <c r="Y10" s="454" t="s">
        <v>76</v>
      </c>
    </row>
    <row r="11" spans="1:29" ht="15" customHeight="1" thickBot="1" x14ac:dyDescent="0.25">
      <c r="C11" s="958" t="s">
        <v>77</v>
      </c>
      <c r="D11" s="959"/>
      <c r="E11" s="960"/>
      <c r="F11" s="960"/>
      <c r="G11" s="959"/>
      <c r="H11" s="959"/>
      <c r="I11" s="960"/>
      <c r="J11" s="961"/>
      <c r="K11" s="955" t="s">
        <v>78</v>
      </c>
      <c r="L11" s="955"/>
      <c r="M11" s="956"/>
      <c r="N11" s="956"/>
      <c r="O11" s="955"/>
      <c r="P11" s="955"/>
      <c r="Q11" s="957"/>
      <c r="R11" s="510"/>
      <c r="S11" s="510"/>
      <c r="T11" s="510"/>
      <c r="U11" s="460"/>
      <c r="V11" s="460"/>
      <c r="W11" s="460"/>
      <c r="Y11" s="452"/>
    </row>
    <row r="12" spans="1:29" x14ac:dyDescent="0.2">
      <c r="C12" s="461"/>
      <c r="D12" s="461"/>
      <c r="E12" s="461"/>
      <c r="F12" s="461"/>
      <c r="G12" s="461"/>
      <c r="H12" s="461"/>
      <c r="I12" s="461"/>
      <c r="J12" s="461"/>
      <c r="K12" s="943"/>
      <c r="L12" s="461"/>
      <c r="M12" s="461">
        <f>+C10*0.64</f>
        <v>19.2</v>
      </c>
      <c r="N12" s="461"/>
      <c r="O12" s="461"/>
      <c r="P12" s="461"/>
      <c r="Q12" s="461"/>
      <c r="R12" s="461"/>
      <c r="S12" s="461">
        <f>+M12*0.283</f>
        <v>5.4335999999999993</v>
      </c>
      <c r="T12" s="459"/>
      <c r="U12" s="460"/>
      <c r="V12" s="460"/>
      <c r="W12" s="460"/>
      <c r="X12" s="454">
        <v>51</v>
      </c>
      <c r="Y12" s="452"/>
    </row>
    <row r="13" spans="1:29" x14ac:dyDescent="0.2">
      <c r="B13" s="455" t="s">
        <v>79</v>
      </c>
      <c r="C13" s="461"/>
      <c r="D13" s="461"/>
      <c r="E13" s="461"/>
      <c r="F13" s="461"/>
      <c r="G13" s="461"/>
      <c r="H13" s="461"/>
      <c r="I13" s="461"/>
      <c r="J13" s="461"/>
      <c r="K13" s="944"/>
      <c r="L13" s="461"/>
      <c r="M13" s="461"/>
      <c r="N13" s="461"/>
      <c r="O13" s="461"/>
      <c r="P13" s="461"/>
      <c r="Q13" s="461"/>
      <c r="R13" s="461"/>
      <c r="S13" s="461">
        <f>+M10*0.33</f>
        <v>6.0992147045217822</v>
      </c>
      <c r="T13" s="459"/>
      <c r="U13" s="460"/>
      <c r="V13" s="460"/>
      <c r="W13" s="460"/>
      <c r="X13" s="454">
        <v>0</v>
      </c>
      <c r="Y13" s="452"/>
    </row>
    <row r="14" spans="1:29" x14ac:dyDescent="0.2">
      <c r="B14" s="455"/>
      <c r="C14" s="461"/>
      <c r="D14" s="461"/>
      <c r="E14" s="461"/>
      <c r="F14" s="461"/>
      <c r="G14" s="461"/>
      <c r="H14" s="461"/>
      <c r="I14" s="461"/>
      <c r="J14" s="461"/>
      <c r="K14" s="944"/>
      <c r="L14" s="461"/>
      <c r="M14" s="461"/>
      <c r="N14" s="461"/>
      <c r="O14" s="461"/>
      <c r="P14" s="461"/>
      <c r="Q14" s="461"/>
      <c r="R14" s="461"/>
      <c r="S14" s="461">
        <v>78</v>
      </c>
      <c r="T14" s="459"/>
      <c r="U14" s="460"/>
      <c r="V14" s="460"/>
      <c r="W14" s="460"/>
      <c r="X14" s="454">
        <v>78</v>
      </c>
      <c r="Y14" s="452"/>
    </row>
    <row r="15" spans="1:29" x14ac:dyDescent="0.2">
      <c r="C15" s="461"/>
      <c r="D15" s="461"/>
      <c r="E15" s="461"/>
      <c r="F15" s="461"/>
      <c r="G15" s="461"/>
      <c r="H15" s="461"/>
      <c r="I15" s="461"/>
      <c r="J15" s="892">
        <f>+K10/C10</f>
        <v>0.6502874112160002</v>
      </c>
      <c r="K15" s="945">
        <f>+Q10/K10</f>
        <v>0.89756676000000002</v>
      </c>
      <c r="L15" s="461"/>
      <c r="M15" s="461"/>
      <c r="N15" s="461"/>
      <c r="O15" s="461"/>
      <c r="P15" s="461"/>
      <c r="Q15" s="461"/>
      <c r="R15" s="461"/>
      <c r="S15" s="461"/>
      <c r="T15" s="459"/>
      <c r="U15" s="460"/>
      <c r="V15" s="460"/>
      <c r="W15" s="460"/>
      <c r="X15" s="454">
        <v>81</v>
      </c>
      <c r="Y15" s="452"/>
    </row>
    <row r="16" spans="1:29" x14ac:dyDescent="0.2">
      <c r="B16" s="455" t="s">
        <v>80</v>
      </c>
      <c r="C16" s="461"/>
      <c r="D16" s="461"/>
      <c r="E16" s="461"/>
      <c r="F16" s="461"/>
      <c r="G16" s="461"/>
      <c r="H16" s="461"/>
      <c r="I16" s="461"/>
      <c r="J16" s="892">
        <f>+L10/D10</f>
        <v>0.6502874112160002</v>
      </c>
      <c r="K16" s="945">
        <f>+P10/L10</f>
        <v>0.89756676000000002</v>
      </c>
      <c r="L16" s="461"/>
      <c r="M16" s="461"/>
      <c r="N16" s="461"/>
      <c r="O16" s="461"/>
      <c r="P16" s="461"/>
      <c r="Q16" s="461"/>
      <c r="R16" s="461"/>
      <c r="S16" s="461"/>
      <c r="T16" s="459"/>
      <c r="U16" s="460"/>
      <c r="V16" s="460"/>
      <c r="W16" s="460"/>
      <c r="Y16" s="452"/>
    </row>
    <row r="18" spans="3:15" x14ac:dyDescent="0.2">
      <c r="C18" s="454" t="s">
        <v>81</v>
      </c>
      <c r="K18" s="454" t="s">
        <v>82</v>
      </c>
    </row>
    <row r="20" spans="3:15" x14ac:dyDescent="0.2">
      <c r="C20" s="462" t="s">
        <v>83</v>
      </c>
      <c r="D20" s="462" t="s">
        <v>84</v>
      </c>
      <c r="E20" s="455"/>
      <c r="F20" s="455"/>
      <c r="G20" s="455"/>
      <c r="H20" s="455"/>
      <c r="I20" s="455"/>
      <c r="J20" s="455"/>
      <c r="K20" s="462" t="s">
        <v>83</v>
      </c>
      <c r="L20" s="462"/>
      <c r="M20" s="462" t="s">
        <v>84</v>
      </c>
      <c r="N20" s="891"/>
      <c r="O20" s="891"/>
    </row>
    <row r="21" spans="3:15" x14ac:dyDescent="0.2">
      <c r="C21" s="453">
        <v>1E-3</v>
      </c>
      <c r="D21" s="453">
        <v>0</v>
      </c>
      <c r="K21" s="453">
        <v>0.1</v>
      </c>
      <c r="L21" s="453"/>
      <c r="M21" s="453">
        <v>0.1</v>
      </c>
      <c r="N21" s="457">
        <v>0</v>
      </c>
      <c r="O21" s="457"/>
    </row>
    <row r="22" spans="3:15" x14ac:dyDescent="0.2">
      <c r="C22" s="453">
        <v>14.9</v>
      </c>
      <c r="D22" s="453">
        <v>0</v>
      </c>
      <c r="K22" s="453">
        <v>59</v>
      </c>
      <c r="L22" s="453"/>
      <c r="M22" s="453">
        <v>0.59</v>
      </c>
      <c r="N22" s="457"/>
      <c r="O22" s="457"/>
    </row>
    <row r="23" spans="3:15" x14ac:dyDescent="0.2">
      <c r="C23" s="453">
        <v>15</v>
      </c>
      <c r="D23" s="453">
        <v>1</v>
      </c>
      <c r="K23" s="453">
        <v>60</v>
      </c>
      <c r="L23" s="453"/>
      <c r="M23" s="453">
        <v>1</v>
      </c>
      <c r="N23" s="457"/>
      <c r="O23" s="457"/>
    </row>
    <row r="24" spans="3:15" x14ac:dyDescent="0.2">
      <c r="C24" s="453">
        <v>60</v>
      </c>
      <c r="D24" s="453">
        <v>1</v>
      </c>
      <c r="K24" s="453">
        <v>70</v>
      </c>
      <c r="L24" s="453"/>
      <c r="M24" s="453">
        <v>1</v>
      </c>
      <c r="N24" s="457"/>
      <c r="O24" s="457"/>
    </row>
    <row r="25" spans="3:15" x14ac:dyDescent="0.2">
      <c r="C25" s="453">
        <v>60.1</v>
      </c>
      <c r="D25" s="453">
        <v>0</v>
      </c>
      <c r="K25" s="453">
        <v>80</v>
      </c>
      <c r="L25" s="453"/>
      <c r="M25" s="453">
        <v>1</v>
      </c>
      <c r="N25" s="457"/>
      <c r="O25" s="457"/>
    </row>
    <row r="26" spans="3:15" x14ac:dyDescent="0.2">
      <c r="C26" s="453">
        <v>100</v>
      </c>
      <c r="D26" s="453">
        <v>0</v>
      </c>
      <c r="K26" s="453">
        <v>100</v>
      </c>
      <c r="L26" s="453"/>
      <c r="M26" s="453">
        <v>1</v>
      </c>
      <c r="N26" s="457"/>
      <c r="O26" s="457"/>
    </row>
  </sheetData>
  <mergeCells count="3">
    <mergeCell ref="W9:Y9"/>
    <mergeCell ref="K11:Q11"/>
    <mergeCell ref="C11:J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3"/>
  <sheetViews>
    <sheetView showGridLines="0" zoomScaleNormal="100" workbookViewId="0">
      <selection activeCell="B6" sqref="B6"/>
    </sheetView>
  </sheetViews>
  <sheetFormatPr baseColWidth="10" defaultColWidth="11.44140625" defaultRowHeight="10.199999999999999" x14ac:dyDescent="0.3"/>
  <cols>
    <col min="1" max="1" width="36.44140625" style="48" customWidth="1"/>
    <col min="2" max="2" width="11.109375" style="48" customWidth="1"/>
    <col min="3" max="3" width="10.6640625" style="48" bestFit="1" customWidth="1"/>
    <col min="4" max="4" width="11.88671875" style="48" customWidth="1"/>
    <col min="5" max="5" width="12.109375" style="48" bestFit="1" customWidth="1"/>
    <col min="6" max="6" width="11.88671875" style="48" customWidth="1"/>
    <col min="7" max="7" width="10.33203125" style="48" customWidth="1"/>
    <col min="8" max="8" width="11.6640625" style="48" customWidth="1"/>
    <col min="9" max="9" width="11.109375" style="48" customWidth="1"/>
    <col min="10" max="15" width="12" style="48" customWidth="1"/>
    <col min="16" max="16384" width="11.44140625" style="48"/>
  </cols>
  <sheetData>
    <row r="1" spans="1:16" ht="18" customHeight="1" thickBot="1" x14ac:dyDescent="0.35">
      <c r="A1" s="962" t="s">
        <v>85</v>
      </c>
      <c r="B1" s="963"/>
      <c r="C1" s="963"/>
      <c r="D1" s="963"/>
      <c r="E1" s="969"/>
    </row>
    <row r="2" spans="1:16" ht="24" customHeight="1" thickBot="1" x14ac:dyDescent="0.35">
      <c r="A2" s="962" t="s">
        <v>86</v>
      </c>
      <c r="B2" s="963"/>
      <c r="C2" s="963"/>
      <c r="D2" s="963"/>
      <c r="E2" s="969"/>
    </row>
    <row r="3" spans="1:16" ht="27.75" customHeight="1" thickBot="1" x14ac:dyDescent="0.35">
      <c r="A3" s="617" t="s">
        <v>87</v>
      </c>
      <c r="B3" s="618" t="s">
        <v>88</v>
      </c>
      <c r="C3" s="619" t="s">
        <v>89</v>
      </c>
      <c r="D3" s="615" t="s">
        <v>90</v>
      </c>
      <c r="E3" s="616" t="s">
        <v>91</v>
      </c>
    </row>
    <row r="4" spans="1:16" ht="24.75" customHeight="1" x14ac:dyDescent="0.3">
      <c r="A4" s="967" t="s">
        <v>92</v>
      </c>
      <c r="B4" s="968"/>
      <c r="C4" s="968"/>
      <c r="D4" s="974"/>
      <c r="E4" s="634">
        <f>SUM(E5:E21)</f>
        <v>0</v>
      </c>
      <c r="O4" s="278">
        <v>76853.06</v>
      </c>
      <c r="P4" s="740">
        <f>+O4/2</f>
        <v>38426.53</v>
      </c>
    </row>
    <row r="5" spans="1:16" x14ac:dyDescent="0.3">
      <c r="A5" s="121" t="s">
        <v>93</v>
      </c>
      <c r="B5" s="621">
        <v>0</v>
      </c>
      <c r="C5" s="122" t="s">
        <v>94</v>
      </c>
      <c r="D5" s="123">
        <v>192</v>
      </c>
      <c r="E5" s="113">
        <f>+D5*B5</f>
        <v>0</v>
      </c>
      <c r="F5" s="556"/>
      <c r="O5" s="278">
        <v>123000</v>
      </c>
      <c r="P5" s="48">
        <f>+O5/2</f>
        <v>61500</v>
      </c>
    </row>
    <row r="6" spans="1:16" x14ac:dyDescent="0.3">
      <c r="A6" s="124" t="s">
        <v>95</v>
      </c>
      <c r="B6" s="849">
        <f>+B5</f>
        <v>0</v>
      </c>
      <c r="C6" s="125" t="s">
        <v>94</v>
      </c>
      <c r="D6" s="123">
        <v>45</v>
      </c>
      <c r="E6" s="113">
        <f t="shared" ref="E6:E21" si="0">+D6*B6</f>
        <v>0</v>
      </c>
      <c r="F6" s="556"/>
    </row>
    <row r="7" spans="1:16" x14ac:dyDescent="0.3">
      <c r="A7" s="121" t="s">
        <v>96</v>
      </c>
      <c r="B7" s="621">
        <f>+B5</f>
        <v>0</v>
      </c>
      <c r="C7" s="122" t="s">
        <v>94</v>
      </c>
      <c r="D7" s="123">
        <v>150</v>
      </c>
      <c r="E7" s="113">
        <f t="shared" si="0"/>
        <v>0</v>
      </c>
      <c r="F7" s="556"/>
    </row>
    <row r="8" spans="1:16" x14ac:dyDescent="0.3">
      <c r="A8" s="121" t="s">
        <v>97</v>
      </c>
      <c r="B8" s="849">
        <f>+B5</f>
        <v>0</v>
      </c>
      <c r="C8" s="122" t="s">
        <v>94</v>
      </c>
      <c r="D8" s="123">
        <v>306</v>
      </c>
      <c r="E8" s="113">
        <f t="shared" si="0"/>
        <v>0</v>
      </c>
      <c r="F8" s="556"/>
    </row>
    <row r="9" spans="1:16" x14ac:dyDescent="0.3">
      <c r="A9" s="121" t="s">
        <v>98</v>
      </c>
      <c r="B9" s="125"/>
      <c r="C9" s="122" t="s">
        <v>94</v>
      </c>
      <c r="D9" s="123">
        <v>250</v>
      </c>
      <c r="E9" s="113">
        <f t="shared" si="0"/>
        <v>0</v>
      </c>
      <c r="F9" s="556"/>
    </row>
    <row r="10" spans="1:16" x14ac:dyDescent="0.3">
      <c r="A10" s="121" t="s">
        <v>99</v>
      </c>
      <c r="B10" s="125"/>
      <c r="C10" s="125" t="s">
        <v>94</v>
      </c>
      <c r="D10" s="123"/>
      <c r="E10" s="113">
        <f t="shared" si="0"/>
        <v>0</v>
      </c>
      <c r="F10" s="556"/>
    </row>
    <row r="11" spans="1:16" x14ac:dyDescent="0.3">
      <c r="A11" s="203"/>
      <c r="B11" s="694"/>
      <c r="C11" s="691" t="s">
        <v>94</v>
      </c>
      <c r="D11" s="695">
        <v>60</v>
      </c>
      <c r="E11" s="113">
        <f t="shared" si="0"/>
        <v>0</v>
      </c>
      <c r="F11" s="556"/>
    </row>
    <row r="12" spans="1:16" x14ac:dyDescent="0.3">
      <c r="A12" s="121"/>
      <c r="B12" s="125"/>
      <c r="C12" s="122" t="s">
        <v>94</v>
      </c>
      <c r="D12" s="123">
        <v>30</v>
      </c>
      <c r="E12" s="113">
        <f t="shared" si="0"/>
        <v>0</v>
      </c>
      <c r="F12" s="556"/>
    </row>
    <row r="13" spans="1:16" x14ac:dyDescent="0.3">
      <c r="A13" s="121"/>
      <c r="B13" s="125"/>
      <c r="C13" s="122" t="s">
        <v>94</v>
      </c>
      <c r="D13" s="123">
        <v>150</v>
      </c>
      <c r="E13" s="113">
        <f t="shared" si="0"/>
        <v>0</v>
      </c>
      <c r="F13" s="556"/>
    </row>
    <row r="14" spans="1:16" x14ac:dyDescent="0.3">
      <c r="A14" s="121"/>
      <c r="B14" s="125"/>
      <c r="C14" s="122"/>
      <c r="D14" s="123"/>
      <c r="E14" s="113">
        <f t="shared" si="0"/>
        <v>0</v>
      </c>
      <c r="F14" s="556"/>
    </row>
    <row r="15" spans="1:16" x14ac:dyDescent="0.3">
      <c r="A15" s="124"/>
      <c r="B15" s="125"/>
      <c r="C15" s="125"/>
      <c r="D15" s="123"/>
      <c r="E15" s="113">
        <f t="shared" si="0"/>
        <v>0</v>
      </c>
      <c r="F15" s="556"/>
    </row>
    <row r="16" spans="1:16" x14ac:dyDescent="0.3">
      <c r="A16" s="121"/>
      <c r="B16" s="125"/>
      <c r="C16" s="125"/>
      <c r="D16" s="123"/>
      <c r="E16" s="113">
        <f t="shared" si="0"/>
        <v>0</v>
      </c>
      <c r="F16" s="556"/>
    </row>
    <row r="17" spans="1:6" x14ac:dyDescent="0.3">
      <c r="A17" s="51"/>
      <c r="B17" s="51"/>
      <c r="C17" s="51"/>
      <c r="D17" s="51"/>
      <c r="E17" s="113">
        <f t="shared" si="0"/>
        <v>0</v>
      </c>
      <c r="F17" s="556"/>
    </row>
    <row r="18" spans="1:6" x14ac:dyDescent="0.3">
      <c r="A18" s="51"/>
      <c r="B18" s="51"/>
      <c r="C18" s="51"/>
      <c r="D18" s="51"/>
      <c r="E18" s="113">
        <f t="shared" si="0"/>
        <v>0</v>
      </c>
      <c r="F18" s="556"/>
    </row>
    <row r="19" spans="1:6" x14ac:dyDescent="0.3">
      <c r="A19" s="51"/>
      <c r="B19" s="51"/>
      <c r="C19" s="51"/>
      <c r="D19" s="51"/>
      <c r="E19" s="113">
        <f t="shared" si="0"/>
        <v>0</v>
      </c>
      <c r="F19" s="556"/>
    </row>
    <row r="20" spans="1:6" x14ac:dyDescent="0.3">
      <c r="A20" s="51"/>
      <c r="B20" s="51"/>
      <c r="C20" s="51"/>
      <c r="D20" s="51"/>
      <c r="E20" s="113">
        <f t="shared" si="0"/>
        <v>0</v>
      </c>
      <c r="F20" s="556"/>
    </row>
    <row r="21" spans="1:6" ht="10.8" thickBot="1" x14ac:dyDescent="0.35">
      <c r="A21" s="139"/>
      <c r="B21" s="139"/>
      <c r="C21" s="139"/>
      <c r="D21" s="139"/>
      <c r="E21" s="113">
        <f t="shared" si="0"/>
        <v>0</v>
      </c>
      <c r="F21" s="556"/>
    </row>
    <row r="22" spans="1:6" ht="21" customHeight="1" x14ac:dyDescent="0.3">
      <c r="A22" s="971" t="s">
        <v>100</v>
      </c>
      <c r="B22" s="972"/>
      <c r="C22" s="972"/>
      <c r="D22" s="973"/>
      <c r="E22" s="134">
        <f>SUM(E23:E39)</f>
        <v>376.875</v>
      </c>
    </row>
    <row r="23" spans="1:6" x14ac:dyDescent="0.3">
      <c r="A23" s="547" t="s">
        <v>101</v>
      </c>
      <c r="B23" s="849">
        <f>+'1 Estudiantes'!B12</f>
        <v>30</v>
      </c>
      <c r="C23" s="125" t="s">
        <v>94</v>
      </c>
      <c r="D23" s="123">
        <v>7.5</v>
      </c>
      <c r="E23" s="113">
        <f>+B23*D23</f>
        <v>225</v>
      </c>
      <c r="F23" s="556"/>
    </row>
    <row r="24" spans="1:6" x14ac:dyDescent="0.3">
      <c r="A24" s="124" t="s">
        <v>102</v>
      </c>
      <c r="B24" s="849">
        <f>+'5 Demanda'!B20+10</f>
        <v>11.25</v>
      </c>
      <c r="C24" s="125" t="s">
        <v>94</v>
      </c>
      <c r="D24" s="123">
        <v>13.5</v>
      </c>
      <c r="E24" s="113">
        <f t="shared" ref="E24:E38" si="1">+B24*D24</f>
        <v>151.875</v>
      </c>
      <c r="F24" s="556"/>
    </row>
    <row r="25" spans="1:6" x14ac:dyDescent="0.3">
      <c r="A25" s="124" t="s">
        <v>500</v>
      </c>
      <c r="B25" s="125"/>
      <c r="C25" s="125" t="s">
        <v>94</v>
      </c>
      <c r="D25" s="123">
        <v>25000</v>
      </c>
      <c r="E25" s="113">
        <f t="shared" si="1"/>
        <v>0</v>
      </c>
      <c r="F25" s="556"/>
    </row>
    <row r="26" spans="1:6" x14ac:dyDescent="0.3">
      <c r="A26" s="124" t="s">
        <v>500</v>
      </c>
      <c r="B26" s="125"/>
      <c r="C26" s="125" t="s">
        <v>94</v>
      </c>
      <c r="D26" s="123">
        <v>25000</v>
      </c>
      <c r="E26" s="113">
        <f t="shared" si="1"/>
        <v>0</v>
      </c>
      <c r="F26" s="556"/>
    </row>
    <row r="27" spans="1:6" x14ac:dyDescent="0.3">
      <c r="A27" s="51"/>
      <c r="B27" s="122"/>
      <c r="C27" s="125" t="s">
        <v>94</v>
      </c>
      <c r="D27" s="123">
        <v>1105</v>
      </c>
      <c r="E27" s="113">
        <f t="shared" si="1"/>
        <v>0</v>
      </c>
      <c r="F27" s="556"/>
    </row>
    <row r="28" spans="1:6" x14ac:dyDescent="0.3">
      <c r="A28" s="51"/>
      <c r="B28" s="122"/>
      <c r="C28" s="122" t="s">
        <v>94</v>
      </c>
      <c r="D28" s="123">
        <v>1100</v>
      </c>
      <c r="E28" s="113">
        <f t="shared" si="1"/>
        <v>0</v>
      </c>
      <c r="F28" s="556"/>
    </row>
    <row r="29" spans="1:6" x14ac:dyDescent="0.3">
      <c r="A29" s="124" t="s">
        <v>103</v>
      </c>
      <c r="B29" s="125"/>
      <c r="C29" s="125" t="s">
        <v>94</v>
      </c>
      <c r="D29" s="123">
        <v>80</v>
      </c>
      <c r="E29" s="113">
        <f t="shared" si="1"/>
        <v>0</v>
      </c>
      <c r="F29" s="556"/>
    </row>
    <row r="30" spans="1:6" x14ac:dyDescent="0.3">
      <c r="A30" s="124"/>
      <c r="B30" s="125"/>
      <c r="C30" s="125" t="s">
        <v>94</v>
      </c>
      <c r="D30" s="123">
        <v>1280</v>
      </c>
      <c r="E30" s="113">
        <f t="shared" si="1"/>
        <v>0</v>
      </c>
      <c r="F30" s="556"/>
    </row>
    <row r="31" spans="1:6" x14ac:dyDescent="0.3">
      <c r="A31" s="124"/>
      <c r="B31" s="125"/>
      <c r="C31" s="125"/>
      <c r="D31" s="123"/>
      <c r="E31" s="113">
        <f t="shared" si="1"/>
        <v>0</v>
      </c>
      <c r="F31" s="556"/>
    </row>
    <row r="32" spans="1:6" x14ac:dyDescent="0.3">
      <c r="A32" s="124"/>
      <c r="B32" s="125"/>
      <c r="C32" s="125"/>
      <c r="D32" s="123"/>
      <c r="E32" s="113">
        <f t="shared" si="1"/>
        <v>0</v>
      </c>
      <c r="F32" s="556"/>
    </row>
    <row r="33" spans="1:6" x14ac:dyDescent="0.3">
      <c r="A33" s="121"/>
      <c r="B33" s="125"/>
      <c r="C33" s="125"/>
      <c r="D33" s="123"/>
      <c r="E33" s="113">
        <f t="shared" si="1"/>
        <v>0</v>
      </c>
      <c r="F33" s="556"/>
    </row>
    <row r="34" spans="1:6" x14ac:dyDescent="0.3">
      <c r="A34" s="124"/>
      <c r="B34" s="125"/>
      <c r="C34" s="125"/>
      <c r="D34" s="123"/>
      <c r="E34" s="113">
        <f t="shared" si="1"/>
        <v>0</v>
      </c>
      <c r="F34" s="556"/>
    </row>
    <row r="35" spans="1:6" x14ac:dyDescent="0.3">
      <c r="A35" s="124"/>
      <c r="B35" s="125"/>
      <c r="C35" s="125"/>
      <c r="D35" s="123"/>
      <c r="E35" s="113">
        <f t="shared" si="1"/>
        <v>0</v>
      </c>
      <c r="F35" s="556"/>
    </row>
    <row r="36" spans="1:6" x14ac:dyDescent="0.3">
      <c r="A36" s="124"/>
      <c r="B36" s="125"/>
      <c r="C36" s="125"/>
      <c r="D36" s="123"/>
      <c r="E36" s="113">
        <f t="shared" si="1"/>
        <v>0</v>
      </c>
      <c r="F36" s="556"/>
    </row>
    <row r="37" spans="1:6" x14ac:dyDescent="0.3">
      <c r="A37" s="124"/>
      <c r="B37" s="125"/>
      <c r="C37" s="125"/>
      <c r="D37" s="123"/>
      <c r="E37" s="113">
        <f t="shared" si="1"/>
        <v>0</v>
      </c>
      <c r="F37" s="556"/>
    </row>
    <row r="38" spans="1:6" x14ac:dyDescent="0.3">
      <c r="A38" s="547"/>
      <c r="B38" s="542"/>
      <c r="C38" s="542"/>
      <c r="D38" s="93"/>
      <c r="E38" s="113">
        <f t="shared" si="1"/>
        <v>0</v>
      </c>
      <c r="F38" s="556"/>
    </row>
    <row r="39" spans="1:6" ht="10.8" thickBot="1" x14ac:dyDescent="0.35">
      <c r="A39" s="129"/>
      <c r="B39" s="126"/>
      <c r="C39" s="126"/>
      <c r="D39" s="127"/>
      <c r="E39" s="128">
        <f>+D39*B39*F39</f>
        <v>0</v>
      </c>
      <c r="F39" s="556"/>
    </row>
    <row r="40" spans="1:6" ht="24" customHeight="1" thickBot="1" x14ac:dyDescent="0.35">
      <c r="A40" s="962" t="s">
        <v>104</v>
      </c>
      <c r="B40" s="963"/>
      <c r="C40" s="963"/>
      <c r="D40" s="970"/>
      <c r="E40" s="327">
        <f>SUM(E41:E55)</f>
        <v>1200</v>
      </c>
      <c r="F40" s="556"/>
    </row>
    <row r="41" spans="1:6" x14ac:dyDescent="0.3">
      <c r="A41" s="203" t="s">
        <v>105</v>
      </c>
      <c r="B41" s="694"/>
      <c r="C41" s="691" t="s">
        <v>94</v>
      </c>
      <c r="D41" s="695">
        <v>952</v>
      </c>
      <c r="E41" s="690">
        <f>+D41*B41</f>
        <v>0</v>
      </c>
      <c r="F41" s="556"/>
    </row>
    <row r="42" spans="1:6" x14ac:dyDescent="0.3">
      <c r="A42" s="121" t="s">
        <v>106</v>
      </c>
      <c r="B42" s="621">
        <f>+B5</f>
        <v>0</v>
      </c>
      <c r="C42" s="122" t="s">
        <v>94</v>
      </c>
      <c r="D42" s="123">
        <v>66</v>
      </c>
      <c r="E42" s="113">
        <f t="shared" ref="E42:E55" si="2">+D42*B42</f>
        <v>0</v>
      </c>
      <c r="F42" s="556"/>
    </row>
    <row r="43" spans="1:6" x14ac:dyDescent="0.3">
      <c r="A43" s="121" t="s">
        <v>107</v>
      </c>
      <c r="B43" s="125">
        <v>0</v>
      </c>
      <c r="C43" s="122" t="s">
        <v>94</v>
      </c>
      <c r="D43" s="123">
        <v>750</v>
      </c>
      <c r="E43" s="113">
        <f t="shared" si="2"/>
        <v>0</v>
      </c>
      <c r="F43" s="556"/>
    </row>
    <row r="44" spans="1:6" x14ac:dyDescent="0.3">
      <c r="A44" s="121" t="s">
        <v>108</v>
      </c>
      <c r="B44" s="125">
        <v>0</v>
      </c>
      <c r="C44" s="122" t="s">
        <v>94</v>
      </c>
      <c r="D44" s="123">
        <v>675</v>
      </c>
      <c r="E44" s="113">
        <f t="shared" si="2"/>
        <v>0</v>
      </c>
      <c r="F44" s="556"/>
    </row>
    <row r="45" spans="1:6" x14ac:dyDescent="0.3">
      <c r="A45" s="121" t="s">
        <v>109</v>
      </c>
      <c r="B45" s="621"/>
      <c r="C45" s="122" t="s">
        <v>94</v>
      </c>
      <c r="D45" s="123"/>
      <c r="E45" s="113">
        <f t="shared" si="2"/>
        <v>0</v>
      </c>
      <c r="F45" s="556"/>
    </row>
    <row r="46" spans="1:6" x14ac:dyDescent="0.3">
      <c r="A46" s="121" t="s">
        <v>110</v>
      </c>
      <c r="B46" s="849">
        <v>1</v>
      </c>
      <c r="C46" s="122" t="s">
        <v>94</v>
      </c>
      <c r="D46" s="123">
        <v>1200</v>
      </c>
      <c r="E46" s="113">
        <f t="shared" si="2"/>
        <v>1200</v>
      </c>
      <c r="F46" s="556"/>
    </row>
    <row r="47" spans="1:6" x14ac:dyDescent="0.3">
      <c r="A47" s="124" t="s">
        <v>111</v>
      </c>
      <c r="B47" s="125"/>
      <c r="C47" s="122" t="s">
        <v>94</v>
      </c>
      <c r="D47" s="123">
        <v>1500</v>
      </c>
      <c r="E47" s="113">
        <f t="shared" si="2"/>
        <v>0</v>
      </c>
      <c r="F47" s="556"/>
    </row>
    <row r="48" spans="1:6" x14ac:dyDescent="0.3">
      <c r="A48" s="121" t="s">
        <v>112</v>
      </c>
      <c r="B48" s="125"/>
      <c r="C48" s="122" t="s">
        <v>94</v>
      </c>
      <c r="D48" s="123"/>
      <c r="E48" s="113">
        <f t="shared" si="2"/>
        <v>0</v>
      </c>
      <c r="F48" s="556"/>
    </row>
    <row r="49" spans="1:11" x14ac:dyDescent="0.3">
      <c r="A49" s="121"/>
      <c r="B49" s="125"/>
      <c r="C49" s="122"/>
      <c r="D49" s="123"/>
      <c r="E49" s="113">
        <f t="shared" si="2"/>
        <v>0</v>
      </c>
      <c r="F49" s="556"/>
    </row>
    <row r="50" spans="1:11" x14ac:dyDescent="0.3">
      <c r="A50" s="121"/>
      <c r="B50" s="125"/>
      <c r="C50" s="122"/>
      <c r="D50" s="123"/>
      <c r="E50" s="113">
        <f t="shared" si="2"/>
        <v>0</v>
      </c>
      <c r="F50" s="556"/>
    </row>
    <row r="51" spans="1:11" x14ac:dyDescent="0.3">
      <c r="A51" s="121"/>
      <c r="B51" s="125"/>
      <c r="C51" s="122"/>
      <c r="D51" s="123"/>
      <c r="E51" s="113">
        <f t="shared" si="2"/>
        <v>0</v>
      </c>
      <c r="F51" s="556"/>
    </row>
    <row r="52" spans="1:11" x14ac:dyDescent="0.3">
      <c r="A52" s="121"/>
      <c r="B52" s="125"/>
      <c r="C52" s="122"/>
      <c r="D52" s="123"/>
      <c r="E52" s="113">
        <f t="shared" si="2"/>
        <v>0</v>
      </c>
      <c r="F52" s="556"/>
    </row>
    <row r="53" spans="1:11" x14ac:dyDescent="0.3">
      <c r="A53" s="121"/>
      <c r="B53" s="125"/>
      <c r="C53" s="122"/>
      <c r="D53" s="123"/>
      <c r="E53" s="113">
        <f t="shared" si="2"/>
        <v>0</v>
      </c>
      <c r="F53" s="556"/>
    </row>
    <row r="54" spans="1:11" x14ac:dyDescent="0.3">
      <c r="A54" s="124"/>
      <c r="B54" s="125"/>
      <c r="C54" s="125"/>
      <c r="D54" s="123"/>
      <c r="E54" s="113">
        <f t="shared" si="2"/>
        <v>0</v>
      </c>
      <c r="F54" s="556"/>
    </row>
    <row r="55" spans="1:11" ht="10.8" thickBot="1" x14ac:dyDescent="0.35">
      <c r="A55" s="129"/>
      <c r="B55" s="126"/>
      <c r="C55" s="126"/>
      <c r="D55" s="127"/>
      <c r="E55" s="113">
        <f t="shared" si="2"/>
        <v>0</v>
      </c>
      <c r="F55" s="556"/>
    </row>
    <row r="56" spans="1:11" ht="21.75" customHeight="1" thickBot="1" x14ac:dyDescent="0.35">
      <c r="A56" s="962" t="s">
        <v>113</v>
      </c>
      <c r="B56" s="963"/>
      <c r="C56" s="963"/>
      <c r="D56" s="970"/>
      <c r="E56" s="327">
        <f>SUM(E57:E58)</f>
        <v>0</v>
      </c>
      <c r="F56" s="556"/>
    </row>
    <row r="57" spans="1:11" x14ac:dyDescent="0.3">
      <c r="A57" s="203" t="s">
        <v>114</v>
      </c>
      <c r="B57" s="697"/>
      <c r="C57" s="691" t="s">
        <v>94</v>
      </c>
      <c r="D57" s="695">
        <v>100</v>
      </c>
      <c r="E57" s="690">
        <f>+D57*B57</f>
        <v>0</v>
      </c>
      <c r="F57" s="556"/>
    </row>
    <row r="58" spans="1:11" x14ac:dyDescent="0.3">
      <c r="A58" s="121"/>
      <c r="B58" s="122"/>
      <c r="C58" s="122" t="s">
        <v>94</v>
      </c>
      <c r="D58" s="123"/>
      <c r="E58" s="113">
        <f>+D58*B58</f>
        <v>0</v>
      </c>
      <c r="F58" s="556"/>
    </row>
    <row r="59" spans="1:11" x14ac:dyDescent="0.3">
      <c r="A59" s="131"/>
      <c r="B59" s="696"/>
      <c r="C59" s="122"/>
      <c r="D59" s="693"/>
      <c r="E59" s="113">
        <f>+D59*B59</f>
        <v>0</v>
      </c>
      <c r="F59" s="549"/>
    </row>
    <row r="60" spans="1:11" ht="10.8" thickBot="1" x14ac:dyDescent="0.35">
      <c r="A60" s="131"/>
      <c r="B60" s="696"/>
      <c r="C60" s="122"/>
      <c r="D60" s="693"/>
      <c r="E60" s="113">
        <f>+D60*B60</f>
        <v>0</v>
      </c>
      <c r="F60" s="549"/>
    </row>
    <row r="61" spans="1:11" ht="24" customHeight="1" thickBot="1" x14ac:dyDescent="0.35">
      <c r="A61" s="856" t="s">
        <v>115</v>
      </c>
      <c r="B61" s="857"/>
      <c r="C61" s="857"/>
      <c r="D61" s="858"/>
      <c r="E61" s="551">
        <f>+E56+E40+E22+E4</f>
        <v>1576.875</v>
      </c>
      <c r="F61" s="550"/>
    </row>
    <row r="62" spans="1:11" x14ac:dyDescent="0.3">
      <c r="A62" s="58"/>
      <c r="B62" s="117"/>
      <c r="C62" s="118"/>
      <c r="D62" s="119"/>
    </row>
    <row r="63" spans="1:11" ht="10.8" thickBot="1" x14ac:dyDescent="0.35">
      <c r="D63" s="650"/>
      <c r="E63" s="650"/>
      <c r="F63" s="650"/>
      <c r="G63" s="650"/>
      <c r="H63" s="650"/>
      <c r="I63" s="650"/>
    </row>
    <row r="64" spans="1:11" ht="27" customHeight="1" x14ac:dyDescent="0.3">
      <c r="A64" s="967" t="s">
        <v>116</v>
      </c>
      <c r="B64" s="968"/>
      <c r="C64" s="968"/>
      <c r="D64" s="968"/>
      <c r="E64" s="968"/>
      <c r="F64" s="968"/>
      <c r="G64" s="968"/>
      <c r="H64" s="968"/>
      <c r="I64" s="968"/>
      <c r="J64" s="120"/>
      <c r="K64" s="120"/>
    </row>
    <row r="65" spans="1:14" ht="24.75" customHeight="1" thickBot="1" x14ac:dyDescent="0.35">
      <c r="A65" s="541" t="s">
        <v>87</v>
      </c>
      <c r="B65" s="141">
        <f>+'1 Estudiantes'!B3</f>
        <v>2023</v>
      </c>
      <c r="C65" s="141">
        <f>+'1 Estudiantes'!C3</f>
        <v>2023</v>
      </c>
      <c r="D65" s="141">
        <f>+'1 Estudiantes'!D3</f>
        <v>2024</v>
      </c>
      <c r="E65" s="141">
        <f>+'1 Estudiantes'!E3</f>
        <v>2024</v>
      </c>
      <c r="F65" s="141">
        <f>+'1 Estudiantes'!F3</f>
        <v>2025</v>
      </c>
      <c r="G65" s="141">
        <f>+'1 Estudiantes'!G3</f>
        <v>2025</v>
      </c>
      <c r="H65" s="141">
        <f>+'1 Estudiantes'!H3</f>
        <v>2026</v>
      </c>
      <c r="I65" s="867">
        <f>+'1 Estudiantes'!I3</f>
        <v>2026</v>
      </c>
      <c r="J65" s="764"/>
      <c r="K65" s="764"/>
      <c r="L65" s="764"/>
      <c r="M65" s="764"/>
      <c r="N65" s="764"/>
    </row>
    <row r="66" spans="1:14" ht="27.75" customHeight="1" thickBot="1" x14ac:dyDescent="0.35">
      <c r="A66" s="962" t="str">
        <f t="shared" ref="A66:A97" si="3">+A4</f>
        <v>Muebles y enseres</v>
      </c>
      <c r="B66" s="963"/>
      <c r="C66" s="963"/>
      <c r="D66" s="963"/>
      <c r="E66" s="963"/>
      <c r="F66" s="963"/>
      <c r="G66" s="963"/>
      <c r="H66" s="963"/>
      <c r="I66" s="963"/>
      <c r="J66" s="964"/>
      <c r="K66" s="964"/>
    </row>
    <row r="67" spans="1:14" x14ac:dyDescent="0.3">
      <c r="A67" s="203" t="str">
        <f t="shared" si="3"/>
        <v xml:space="preserve">Silla giratoria </v>
      </c>
      <c r="B67" s="633"/>
      <c r="C67" s="649">
        <v>0</v>
      </c>
      <c r="D67" s="649">
        <v>0</v>
      </c>
      <c r="E67" s="649">
        <v>0</v>
      </c>
      <c r="F67" s="649">
        <v>0</v>
      </c>
      <c r="G67" s="649">
        <v>0</v>
      </c>
      <c r="H67" s="649">
        <v>0</v>
      </c>
      <c r="I67" s="880">
        <v>0</v>
      </c>
      <c r="J67" s="140"/>
      <c r="K67" s="140"/>
      <c r="L67" s="140"/>
      <c r="M67" s="140"/>
      <c r="N67" s="140"/>
    </row>
    <row r="68" spans="1:14" x14ac:dyDescent="0.3">
      <c r="A68" s="121" t="str">
        <f t="shared" si="3"/>
        <v xml:space="preserve">Silla de espera </v>
      </c>
      <c r="B68" s="91"/>
      <c r="C68" s="620">
        <f>+C67</f>
        <v>0</v>
      </c>
      <c r="D68" s="620">
        <f t="shared" ref="D68:I70" si="4">+D67</f>
        <v>0</v>
      </c>
      <c r="E68" s="620">
        <f t="shared" si="4"/>
        <v>0</v>
      </c>
      <c r="F68" s="620">
        <f t="shared" si="4"/>
        <v>0</v>
      </c>
      <c r="G68" s="620">
        <f t="shared" si="4"/>
        <v>0</v>
      </c>
      <c r="H68" s="620">
        <f t="shared" si="4"/>
        <v>0</v>
      </c>
      <c r="I68" s="621">
        <f t="shared" si="4"/>
        <v>0</v>
      </c>
      <c r="J68" s="140"/>
      <c r="K68" s="140"/>
      <c r="L68" s="140"/>
      <c r="M68" s="140"/>
      <c r="N68" s="140"/>
    </row>
    <row r="69" spans="1:14" x14ac:dyDescent="0.3">
      <c r="A69" s="121" t="str">
        <f t="shared" si="3"/>
        <v xml:space="preserve">Archivador de madera </v>
      </c>
      <c r="B69" s="91"/>
      <c r="C69" s="620">
        <f>+C68</f>
        <v>0</v>
      </c>
      <c r="D69" s="620">
        <f t="shared" si="4"/>
        <v>0</v>
      </c>
      <c r="E69" s="620">
        <f t="shared" si="4"/>
        <v>0</v>
      </c>
      <c r="F69" s="620">
        <f t="shared" si="4"/>
        <v>0</v>
      </c>
      <c r="G69" s="620">
        <f t="shared" si="4"/>
        <v>0</v>
      </c>
      <c r="H69" s="620">
        <f t="shared" si="4"/>
        <v>0</v>
      </c>
      <c r="I69" s="621">
        <f t="shared" si="4"/>
        <v>0</v>
      </c>
      <c r="J69" s="140"/>
      <c r="K69" s="140"/>
      <c r="L69" s="140"/>
      <c r="M69" s="140"/>
      <c r="N69" s="140"/>
    </row>
    <row r="70" spans="1:14" x14ac:dyDescent="0.3">
      <c r="A70" s="121" t="str">
        <f t="shared" si="3"/>
        <v xml:space="preserve">Escritorio docentes </v>
      </c>
      <c r="B70" s="91"/>
      <c r="C70" s="620">
        <f>+C69</f>
        <v>0</v>
      </c>
      <c r="D70" s="620">
        <f t="shared" si="4"/>
        <v>0</v>
      </c>
      <c r="E70" s="620">
        <f t="shared" si="4"/>
        <v>0</v>
      </c>
      <c r="F70" s="620">
        <f t="shared" si="4"/>
        <v>0</v>
      </c>
      <c r="G70" s="620">
        <f t="shared" si="4"/>
        <v>0</v>
      </c>
      <c r="H70" s="620">
        <f t="shared" si="4"/>
        <v>0</v>
      </c>
      <c r="I70" s="621">
        <f t="shared" si="4"/>
        <v>0</v>
      </c>
      <c r="J70" s="140"/>
      <c r="K70" s="140"/>
      <c r="L70" s="140"/>
      <c r="M70" s="140"/>
      <c r="N70" s="140"/>
    </row>
    <row r="71" spans="1:14" x14ac:dyDescent="0.3">
      <c r="A71" s="121" t="str">
        <f t="shared" si="3"/>
        <v xml:space="preserve">Mesas de laboratorio </v>
      </c>
      <c r="B71" s="91"/>
      <c r="C71" s="620"/>
      <c r="D71" s="620"/>
      <c r="E71" s="620"/>
      <c r="F71" s="620"/>
      <c r="G71" s="620"/>
      <c r="H71" s="620"/>
      <c r="I71" s="621"/>
      <c r="J71" s="140"/>
      <c r="K71" s="140"/>
      <c r="L71" s="140"/>
      <c r="M71" s="140"/>
      <c r="N71" s="140"/>
    </row>
    <row r="72" spans="1:14" x14ac:dyDescent="0.3">
      <c r="A72" s="121" t="str">
        <f t="shared" si="3"/>
        <v>Libros</v>
      </c>
      <c r="B72" s="91"/>
      <c r="C72" s="620"/>
      <c r="D72" s="620"/>
      <c r="E72" s="620"/>
      <c r="F72" s="620"/>
      <c r="G72" s="620"/>
      <c r="H72" s="620"/>
      <c r="I72" s="621"/>
      <c r="J72" s="140"/>
      <c r="K72" s="140"/>
      <c r="L72" s="140"/>
      <c r="M72" s="140"/>
      <c r="N72" s="140"/>
    </row>
    <row r="73" spans="1:14" x14ac:dyDescent="0.3">
      <c r="A73" s="121">
        <f t="shared" si="3"/>
        <v>0</v>
      </c>
      <c r="B73" s="91"/>
      <c r="C73" s="620"/>
      <c r="D73" s="620"/>
      <c r="E73" s="620"/>
      <c r="F73" s="620"/>
      <c r="G73" s="620"/>
      <c r="H73" s="620"/>
      <c r="I73" s="621"/>
      <c r="J73" s="140"/>
      <c r="K73" s="140"/>
      <c r="L73" s="140"/>
      <c r="M73" s="140"/>
      <c r="N73" s="140"/>
    </row>
    <row r="74" spans="1:14" x14ac:dyDescent="0.3">
      <c r="A74" s="121">
        <f t="shared" si="3"/>
        <v>0</v>
      </c>
      <c r="B74" s="91"/>
      <c r="C74" s="620"/>
      <c r="D74" s="620"/>
      <c r="E74" s="620"/>
      <c r="F74" s="620"/>
      <c r="G74" s="620"/>
      <c r="H74" s="620"/>
      <c r="I74" s="621"/>
      <c r="J74" s="140"/>
      <c r="K74" s="140"/>
      <c r="L74" s="140"/>
      <c r="M74" s="140"/>
      <c r="N74" s="140"/>
    </row>
    <row r="75" spans="1:14" x14ac:dyDescent="0.3">
      <c r="A75" s="121">
        <f t="shared" si="3"/>
        <v>0</v>
      </c>
      <c r="B75" s="91"/>
      <c r="C75" s="620"/>
      <c r="D75" s="620"/>
      <c r="E75" s="620"/>
      <c r="F75" s="620"/>
      <c r="G75" s="620"/>
      <c r="H75" s="620"/>
      <c r="I75" s="621"/>
      <c r="J75" s="140"/>
      <c r="K75" s="140"/>
      <c r="L75" s="140"/>
      <c r="M75" s="140"/>
      <c r="N75" s="140"/>
    </row>
    <row r="76" spans="1:14" x14ac:dyDescent="0.3">
      <c r="A76" s="121">
        <f t="shared" si="3"/>
        <v>0</v>
      </c>
      <c r="B76" s="91"/>
      <c r="C76" s="620"/>
      <c r="D76" s="620"/>
      <c r="E76" s="620"/>
      <c r="F76" s="620"/>
      <c r="G76" s="620"/>
      <c r="H76" s="620"/>
      <c r="I76" s="621"/>
      <c r="J76" s="140"/>
      <c r="K76" s="140"/>
      <c r="L76" s="140"/>
      <c r="M76" s="140"/>
      <c r="N76" s="140"/>
    </row>
    <row r="77" spans="1:14" x14ac:dyDescent="0.3">
      <c r="A77" s="121">
        <f t="shared" si="3"/>
        <v>0</v>
      </c>
      <c r="B77" s="91"/>
      <c r="C77" s="620"/>
      <c r="D77" s="620"/>
      <c r="E77" s="620"/>
      <c r="F77" s="620"/>
      <c r="G77" s="620"/>
      <c r="H77" s="620"/>
      <c r="I77" s="621"/>
      <c r="J77" s="140"/>
      <c r="K77" s="140"/>
      <c r="L77" s="140"/>
      <c r="M77" s="140"/>
      <c r="N77" s="140"/>
    </row>
    <row r="78" spans="1:14" x14ac:dyDescent="0.3">
      <c r="A78" s="121">
        <f t="shared" si="3"/>
        <v>0</v>
      </c>
      <c r="B78" s="91"/>
      <c r="C78" s="620"/>
      <c r="D78" s="620"/>
      <c r="E78" s="620"/>
      <c r="F78" s="620"/>
      <c r="G78" s="620"/>
      <c r="H78" s="620"/>
      <c r="I78" s="621"/>
      <c r="J78" s="140"/>
      <c r="K78" s="140"/>
      <c r="L78" s="140"/>
      <c r="M78" s="140"/>
      <c r="N78" s="140"/>
    </row>
    <row r="79" spans="1:14" x14ac:dyDescent="0.3">
      <c r="A79" s="121">
        <f t="shared" si="3"/>
        <v>0</v>
      </c>
      <c r="B79" s="91"/>
      <c r="C79" s="620"/>
      <c r="D79" s="620"/>
      <c r="E79" s="620"/>
      <c r="F79" s="620"/>
      <c r="G79" s="620"/>
      <c r="H79" s="620"/>
      <c r="I79" s="621"/>
      <c r="J79" s="140"/>
      <c r="K79" s="140"/>
      <c r="L79" s="140"/>
      <c r="M79" s="140"/>
      <c r="N79" s="140"/>
    </row>
    <row r="80" spans="1:14" x14ac:dyDescent="0.3">
      <c r="A80" s="121">
        <f t="shared" si="3"/>
        <v>0</v>
      </c>
      <c r="B80" s="91"/>
      <c r="C80" s="620"/>
      <c r="D80" s="620"/>
      <c r="E80" s="620"/>
      <c r="F80" s="620"/>
      <c r="G80" s="620"/>
      <c r="H80" s="620"/>
      <c r="I80" s="621"/>
      <c r="J80" s="140"/>
      <c r="K80" s="140"/>
      <c r="L80" s="140"/>
      <c r="M80" s="140"/>
      <c r="N80" s="140"/>
    </row>
    <row r="81" spans="1:14" x14ac:dyDescent="0.3">
      <c r="A81" s="121">
        <f t="shared" si="3"/>
        <v>0</v>
      </c>
      <c r="B81" s="91"/>
      <c r="C81" s="620"/>
      <c r="D81" s="620"/>
      <c r="E81" s="620"/>
      <c r="F81" s="620"/>
      <c r="G81" s="620"/>
      <c r="H81" s="620"/>
      <c r="I81" s="621"/>
      <c r="J81" s="140"/>
      <c r="K81" s="140"/>
      <c r="L81" s="140"/>
      <c r="M81" s="140"/>
      <c r="N81" s="140"/>
    </row>
    <row r="82" spans="1:14" x14ac:dyDescent="0.3">
      <c r="A82" s="121">
        <f t="shared" si="3"/>
        <v>0</v>
      </c>
      <c r="B82" s="91"/>
      <c r="C82" s="620"/>
      <c r="D82" s="620"/>
      <c r="E82" s="620"/>
      <c r="F82" s="620"/>
      <c r="G82" s="620"/>
      <c r="H82" s="620"/>
      <c r="I82" s="621"/>
      <c r="J82" s="140"/>
      <c r="K82" s="140"/>
      <c r="L82" s="140"/>
      <c r="M82" s="140"/>
      <c r="N82" s="140"/>
    </row>
    <row r="83" spans="1:14" ht="10.8" thickBot="1" x14ac:dyDescent="0.35">
      <c r="A83" s="121">
        <f t="shared" si="3"/>
        <v>0</v>
      </c>
      <c r="B83" s="161"/>
      <c r="C83" s="687"/>
      <c r="D83" s="687"/>
      <c r="E83" s="687"/>
      <c r="F83" s="687"/>
      <c r="G83" s="687"/>
      <c r="H83" s="687"/>
      <c r="I83" s="881"/>
      <c r="J83" s="140"/>
      <c r="K83" s="140"/>
      <c r="L83" s="140"/>
      <c r="M83" s="140"/>
      <c r="N83" s="140"/>
    </row>
    <row r="84" spans="1:14" ht="28.5" customHeight="1" thickBot="1" x14ac:dyDescent="0.35">
      <c r="A84" s="965" t="str">
        <f t="shared" si="3"/>
        <v>Laboratorios y Equipos</v>
      </c>
      <c r="B84" s="966"/>
      <c r="C84" s="966"/>
      <c r="D84" s="966"/>
      <c r="E84" s="966"/>
      <c r="F84" s="966"/>
      <c r="G84" s="966"/>
      <c r="H84" s="966"/>
      <c r="I84" s="966"/>
      <c r="J84" s="120"/>
      <c r="K84" s="120"/>
      <c r="L84" s="120"/>
      <c r="M84" s="120"/>
      <c r="N84" s="120"/>
    </row>
    <row r="85" spans="1:14" x14ac:dyDescent="0.3">
      <c r="A85" s="135" t="str">
        <f t="shared" si="3"/>
        <v>Operatividad EVEA</v>
      </c>
      <c r="B85" s="162"/>
      <c r="C85" s="850">
        <f>+'1 Estudiantes'!C12</f>
        <v>86.94</v>
      </c>
      <c r="D85" s="850">
        <f>+'1 Estudiantes'!D12</f>
        <v>108.07212</v>
      </c>
      <c r="E85" s="850">
        <f>+'1 Estudiantes'!E12</f>
        <v>157.04876376000001</v>
      </c>
      <c r="F85" s="850">
        <f>+'1 Estudiantes'!F12</f>
        <v>171.02978985648002</v>
      </c>
      <c r="G85" s="850">
        <f>+'1 Estudiantes'!G12</f>
        <v>214.54847723454117</v>
      </c>
      <c r="H85" s="850">
        <f>+'1 Estudiantes'!H12</f>
        <v>225.5050184022603</v>
      </c>
      <c r="I85" s="880">
        <f>+'1 Estudiantes'!I12</f>
        <v>267.07935006239512</v>
      </c>
      <c r="J85" s="140"/>
      <c r="K85" s="140"/>
      <c r="L85" s="140"/>
      <c r="M85" s="140"/>
      <c r="N85" s="140"/>
    </row>
    <row r="86" spans="1:14" x14ac:dyDescent="0.3">
      <c r="A86" s="121" t="str">
        <f t="shared" si="3"/>
        <v>Licencias, almacenamiento y webninar ZOOM</v>
      </c>
      <c r="B86" s="91"/>
      <c r="C86" s="620">
        <f>+'5 Demanda'!C20</f>
        <v>4.1333333333333329</v>
      </c>
      <c r="D86" s="620">
        <f>+'5 Demanda'!D20</f>
        <v>5.5444444444444443</v>
      </c>
      <c r="E86" s="620">
        <f>+'5 Demanda'!E20</f>
        <v>8.5277777777777786</v>
      </c>
      <c r="F86" s="620">
        <f>+'5 Demanda'!F20</f>
        <v>10.069444444444445</v>
      </c>
      <c r="G86" s="620">
        <f>+'5 Demanda'!G20</f>
        <v>13.116666666666667</v>
      </c>
      <c r="H86" s="620">
        <f>+'5 Demanda'!H20</f>
        <v>14.697222222222221</v>
      </c>
      <c r="I86" s="621">
        <f>+'5 Demanda'!I20</f>
        <v>17.725000000000001</v>
      </c>
      <c r="J86" s="140"/>
      <c r="K86" s="140"/>
      <c r="L86" s="140"/>
      <c r="M86" s="140"/>
      <c r="N86" s="140"/>
    </row>
    <row r="87" spans="1:14" x14ac:dyDescent="0.3">
      <c r="A87" s="121" t="str">
        <f t="shared" si="3"/>
        <v>Laboratorio de  Redes</v>
      </c>
      <c r="B87" s="91"/>
      <c r="C87" s="620"/>
      <c r="D87" s="620">
        <v>1</v>
      </c>
      <c r="E87" s="620"/>
      <c r="F87" s="620"/>
      <c r="G87" s="620"/>
      <c r="H87" s="620"/>
      <c r="I87" s="621"/>
      <c r="J87" s="140"/>
      <c r="K87" s="140"/>
      <c r="L87" s="140"/>
      <c r="M87" s="140"/>
      <c r="N87" s="140"/>
    </row>
    <row r="88" spans="1:14" x14ac:dyDescent="0.3">
      <c r="A88" s="121" t="str">
        <f t="shared" si="3"/>
        <v>Laboratorio de  Redes</v>
      </c>
      <c r="B88" s="91"/>
      <c r="C88" s="620"/>
      <c r="D88" s="620"/>
      <c r="E88" s="620">
        <v>1</v>
      </c>
      <c r="F88" s="620"/>
      <c r="G88" s="620"/>
      <c r="H88" s="620"/>
      <c r="I88" s="621"/>
      <c r="J88" s="140"/>
      <c r="K88" s="140"/>
      <c r="L88" s="140"/>
      <c r="M88" s="140"/>
      <c r="N88" s="140"/>
    </row>
    <row r="89" spans="1:14" x14ac:dyDescent="0.3">
      <c r="A89" s="121">
        <f t="shared" si="3"/>
        <v>0</v>
      </c>
      <c r="B89" s="91"/>
      <c r="C89" s="620"/>
      <c r="D89" s="620"/>
      <c r="E89" s="620"/>
      <c r="F89" s="620"/>
      <c r="G89" s="620"/>
      <c r="H89" s="620"/>
      <c r="I89" s="621"/>
      <c r="J89" s="140"/>
      <c r="K89" s="140"/>
      <c r="L89" s="140"/>
      <c r="M89" s="140"/>
      <c r="N89" s="140"/>
    </row>
    <row r="90" spans="1:14" x14ac:dyDescent="0.3">
      <c r="A90" s="121">
        <f t="shared" si="3"/>
        <v>0</v>
      </c>
      <c r="B90" s="91"/>
      <c r="C90" s="620"/>
      <c r="D90" s="620"/>
      <c r="E90" s="620"/>
      <c r="F90" s="620"/>
      <c r="G90" s="620"/>
      <c r="H90" s="620"/>
      <c r="I90" s="621"/>
      <c r="J90" s="140"/>
      <c r="K90" s="140"/>
      <c r="L90" s="140"/>
      <c r="M90" s="140"/>
      <c r="N90" s="140"/>
    </row>
    <row r="91" spans="1:14" x14ac:dyDescent="0.3">
      <c r="A91" s="121" t="str">
        <f t="shared" si="3"/>
        <v>Equipo de audio</v>
      </c>
      <c r="B91" s="91"/>
      <c r="C91" s="620"/>
      <c r="D91" s="620"/>
      <c r="E91" s="620"/>
      <c r="F91" s="620"/>
      <c r="G91" s="620"/>
      <c r="H91" s="620"/>
      <c r="I91" s="621"/>
      <c r="J91" s="140"/>
      <c r="K91" s="140"/>
      <c r="L91" s="140"/>
      <c r="M91" s="140"/>
      <c r="N91" s="140"/>
    </row>
    <row r="92" spans="1:14" x14ac:dyDescent="0.3">
      <c r="A92" s="121">
        <f t="shared" si="3"/>
        <v>0</v>
      </c>
      <c r="B92" s="91"/>
      <c r="C92" s="620"/>
      <c r="D92" s="620"/>
      <c r="E92" s="620"/>
      <c r="F92" s="620"/>
      <c r="G92" s="620"/>
      <c r="H92" s="620"/>
      <c r="I92" s="621"/>
      <c r="J92" s="140"/>
      <c r="K92" s="140"/>
      <c r="L92" s="140"/>
      <c r="M92" s="140"/>
      <c r="N92" s="140"/>
    </row>
    <row r="93" spans="1:14" x14ac:dyDescent="0.3">
      <c r="A93" s="121">
        <f t="shared" si="3"/>
        <v>0</v>
      </c>
      <c r="B93" s="91"/>
      <c r="C93" s="620"/>
      <c r="D93" s="620"/>
      <c r="E93" s="620"/>
      <c r="F93" s="620"/>
      <c r="G93" s="620"/>
      <c r="H93" s="620"/>
      <c r="I93" s="621"/>
      <c r="J93" s="140"/>
      <c r="K93" s="140"/>
      <c r="L93" s="140"/>
      <c r="M93" s="140"/>
      <c r="N93" s="140"/>
    </row>
    <row r="94" spans="1:14" x14ac:dyDescent="0.3">
      <c r="A94" s="121">
        <f t="shared" si="3"/>
        <v>0</v>
      </c>
      <c r="B94" s="91"/>
      <c r="C94" s="620"/>
      <c r="D94" s="620"/>
      <c r="E94" s="620"/>
      <c r="F94" s="620"/>
      <c r="G94" s="620"/>
      <c r="H94" s="620"/>
      <c r="I94" s="621"/>
      <c r="J94" s="140"/>
      <c r="K94" s="140"/>
      <c r="L94" s="140"/>
      <c r="M94" s="140"/>
      <c r="N94" s="140"/>
    </row>
    <row r="95" spans="1:14" x14ac:dyDescent="0.3">
      <c r="A95" s="121">
        <f t="shared" si="3"/>
        <v>0</v>
      </c>
      <c r="B95" s="91"/>
      <c r="C95" s="620"/>
      <c r="D95" s="620"/>
      <c r="E95" s="620"/>
      <c r="F95" s="620"/>
      <c r="G95" s="620"/>
      <c r="H95" s="620"/>
      <c r="I95" s="621"/>
      <c r="J95" s="140"/>
      <c r="K95" s="140"/>
      <c r="L95" s="140"/>
      <c r="M95" s="140"/>
      <c r="N95" s="140"/>
    </row>
    <row r="96" spans="1:14" x14ac:dyDescent="0.3">
      <c r="A96" s="121">
        <f t="shared" si="3"/>
        <v>0</v>
      </c>
      <c r="B96" s="91"/>
      <c r="C96" s="620"/>
      <c r="D96" s="620"/>
      <c r="E96" s="620"/>
      <c r="F96" s="620"/>
      <c r="G96" s="620"/>
      <c r="H96" s="620"/>
      <c r="I96" s="621"/>
      <c r="J96" s="140"/>
      <c r="K96" s="140"/>
      <c r="L96" s="140"/>
      <c r="M96" s="140"/>
      <c r="N96" s="140"/>
    </row>
    <row r="97" spans="1:14" x14ac:dyDescent="0.3">
      <c r="A97" s="121">
        <f t="shared" si="3"/>
        <v>0</v>
      </c>
      <c r="B97" s="91"/>
      <c r="C97" s="620"/>
      <c r="D97" s="620"/>
      <c r="E97" s="620"/>
      <c r="F97" s="620"/>
      <c r="G97" s="620"/>
      <c r="H97" s="620"/>
      <c r="I97" s="621"/>
      <c r="J97" s="140"/>
      <c r="K97" s="140"/>
      <c r="L97" s="140"/>
      <c r="M97" s="140"/>
      <c r="N97" s="140"/>
    </row>
    <row r="98" spans="1:14" x14ac:dyDescent="0.3">
      <c r="A98" s="121">
        <f t="shared" ref="A98:A122" si="5">+A36</f>
        <v>0</v>
      </c>
      <c r="B98" s="91"/>
      <c r="C98" s="620"/>
      <c r="D98" s="620"/>
      <c r="E98" s="620"/>
      <c r="F98" s="620"/>
      <c r="G98" s="620"/>
      <c r="H98" s="620"/>
      <c r="I98" s="621"/>
      <c r="J98" s="140"/>
      <c r="K98" s="140"/>
      <c r="L98" s="140"/>
      <c r="M98" s="140"/>
      <c r="N98" s="140"/>
    </row>
    <row r="99" spans="1:14" x14ac:dyDescent="0.3">
      <c r="A99" s="121">
        <f t="shared" si="5"/>
        <v>0</v>
      </c>
      <c r="B99" s="91"/>
      <c r="C99" s="620"/>
      <c r="D99" s="620"/>
      <c r="E99" s="620"/>
      <c r="F99" s="620"/>
      <c r="G99" s="620"/>
      <c r="H99" s="620"/>
      <c r="I99" s="621"/>
      <c r="J99" s="140"/>
      <c r="K99" s="140"/>
      <c r="L99" s="140"/>
      <c r="M99" s="140"/>
      <c r="N99" s="140"/>
    </row>
    <row r="100" spans="1:14" x14ac:dyDescent="0.3">
      <c r="A100" s="121">
        <f t="shared" si="5"/>
        <v>0</v>
      </c>
      <c r="B100" s="91"/>
      <c r="C100" s="688"/>
      <c r="D100" s="688"/>
      <c r="E100" s="688"/>
      <c r="F100" s="688"/>
      <c r="G100" s="688"/>
      <c r="H100" s="688"/>
      <c r="I100" s="122"/>
      <c r="J100" s="117"/>
      <c r="K100" s="117"/>
      <c r="L100" s="117"/>
      <c r="M100" s="117"/>
      <c r="N100" s="117"/>
    </row>
    <row r="101" spans="1:14" ht="10.8" thickBot="1" x14ac:dyDescent="0.35">
      <c r="A101" s="136">
        <f t="shared" si="5"/>
        <v>0</v>
      </c>
      <c r="B101" s="161"/>
      <c r="C101" s="687"/>
      <c r="D101" s="687"/>
      <c r="E101" s="687"/>
      <c r="F101" s="687"/>
      <c r="G101" s="687"/>
      <c r="H101" s="687"/>
      <c r="I101" s="881"/>
      <c r="J101" s="140"/>
      <c r="K101" s="140"/>
      <c r="L101" s="140"/>
      <c r="M101" s="140"/>
      <c r="N101" s="140"/>
    </row>
    <row r="102" spans="1:14" ht="24.75" customHeight="1" thickBot="1" x14ac:dyDescent="0.35">
      <c r="A102" s="962" t="str">
        <f t="shared" si="5"/>
        <v>Equipo de Computo</v>
      </c>
      <c r="B102" s="963"/>
      <c r="C102" s="963"/>
      <c r="D102" s="963"/>
      <c r="E102" s="963"/>
      <c r="F102" s="963"/>
      <c r="G102" s="963"/>
      <c r="H102" s="963"/>
      <c r="I102" s="963"/>
      <c r="J102" s="120"/>
      <c r="K102" s="120"/>
      <c r="L102" s="120"/>
      <c r="M102" s="120"/>
      <c r="N102" s="120"/>
    </row>
    <row r="103" spans="1:14" x14ac:dyDescent="0.3">
      <c r="A103" s="203" t="str">
        <f t="shared" si="5"/>
        <v>Pizarra digital</v>
      </c>
      <c r="B103" s="633"/>
      <c r="C103" s="649"/>
      <c r="D103" s="649"/>
      <c r="E103" s="649"/>
      <c r="F103" s="649"/>
      <c r="G103" s="649"/>
      <c r="H103" s="649"/>
      <c r="I103" s="880"/>
      <c r="J103" s="140"/>
      <c r="K103" s="140"/>
      <c r="L103" s="140"/>
      <c r="M103" s="140"/>
      <c r="N103" s="140"/>
    </row>
    <row r="104" spans="1:14" x14ac:dyDescent="0.3">
      <c r="A104" s="121" t="str">
        <f t="shared" si="5"/>
        <v xml:space="preserve">Perifericos </v>
      </c>
      <c r="B104" s="91"/>
      <c r="C104" s="620"/>
      <c r="D104" s="620"/>
      <c r="E104" s="620"/>
      <c r="F104" s="620"/>
      <c r="G104" s="620"/>
      <c r="H104" s="620"/>
      <c r="I104" s="621"/>
      <c r="J104" s="140"/>
      <c r="K104" s="140"/>
      <c r="L104" s="140"/>
      <c r="M104" s="140"/>
      <c r="N104" s="140"/>
    </row>
    <row r="105" spans="1:14" x14ac:dyDescent="0.3">
      <c r="A105" s="121" t="str">
        <f t="shared" si="5"/>
        <v xml:space="preserve">Proyectores </v>
      </c>
      <c r="B105" s="91"/>
      <c r="C105" s="620"/>
      <c r="D105" s="620"/>
      <c r="E105" s="620"/>
      <c r="F105" s="620"/>
      <c r="G105" s="620"/>
      <c r="H105" s="620"/>
      <c r="I105" s="621"/>
      <c r="J105" s="140"/>
      <c r="K105" s="140"/>
      <c r="L105" s="140"/>
      <c r="M105" s="140"/>
      <c r="N105" s="140"/>
    </row>
    <row r="106" spans="1:14" x14ac:dyDescent="0.3">
      <c r="A106" s="121" t="str">
        <f t="shared" si="5"/>
        <v xml:space="preserve">Computador escritorio </v>
      </c>
      <c r="B106" s="91"/>
      <c r="C106" s="620"/>
      <c r="D106" s="620"/>
      <c r="E106" s="620"/>
      <c r="F106" s="620"/>
      <c r="G106" s="620"/>
      <c r="H106" s="620"/>
      <c r="I106" s="621"/>
      <c r="J106" s="140"/>
      <c r="K106" s="140"/>
      <c r="L106" s="140"/>
      <c r="M106" s="140"/>
      <c r="N106" s="140"/>
    </row>
    <row r="107" spans="1:14" x14ac:dyDescent="0.3">
      <c r="A107" s="121" t="str">
        <f t="shared" si="5"/>
        <v xml:space="preserve">Software </v>
      </c>
      <c r="B107" s="91"/>
      <c r="C107" s="620"/>
      <c r="D107" s="620"/>
      <c r="E107" s="620"/>
      <c r="F107" s="620"/>
      <c r="G107" s="620"/>
      <c r="H107" s="620"/>
      <c r="I107" s="621"/>
      <c r="J107" s="140"/>
      <c r="K107" s="140"/>
      <c r="L107" s="140"/>
      <c r="M107" s="140"/>
      <c r="N107" s="140"/>
    </row>
    <row r="108" spans="1:14" x14ac:dyDescent="0.3">
      <c r="A108" s="121" t="str">
        <f t="shared" si="5"/>
        <v xml:space="preserve">Computador portátil </v>
      </c>
      <c r="B108" s="91"/>
      <c r="C108" s="620">
        <v>0</v>
      </c>
      <c r="D108" s="620">
        <v>0</v>
      </c>
      <c r="E108" s="620">
        <v>0</v>
      </c>
      <c r="F108" s="620">
        <v>0</v>
      </c>
      <c r="G108" s="620">
        <v>0</v>
      </c>
      <c r="H108" s="620">
        <v>0</v>
      </c>
      <c r="I108" s="621">
        <v>0</v>
      </c>
      <c r="J108" s="140"/>
      <c r="K108" s="140"/>
      <c r="L108" s="140"/>
      <c r="M108" s="140"/>
      <c r="N108" s="140"/>
    </row>
    <row r="109" spans="1:14" x14ac:dyDescent="0.3">
      <c r="A109" s="121" t="str">
        <f t="shared" si="5"/>
        <v xml:space="preserve">Switch </v>
      </c>
      <c r="B109" s="91"/>
      <c r="C109" s="620"/>
      <c r="D109" s="620"/>
      <c r="E109" s="620"/>
      <c r="F109" s="620"/>
      <c r="G109" s="620"/>
      <c r="H109" s="620"/>
      <c r="I109" s="621"/>
      <c r="J109" s="140"/>
      <c r="K109" s="140"/>
      <c r="L109" s="140"/>
      <c r="M109" s="140"/>
      <c r="N109" s="140"/>
    </row>
    <row r="110" spans="1:14" x14ac:dyDescent="0.3">
      <c r="A110" s="121" t="str">
        <f t="shared" si="5"/>
        <v>Software (mantenimiento)</v>
      </c>
      <c r="B110" s="91"/>
      <c r="C110" s="620"/>
      <c r="D110" s="620"/>
      <c r="E110" s="620"/>
      <c r="F110" s="620"/>
      <c r="G110" s="620"/>
      <c r="H110" s="620"/>
      <c r="I110" s="621"/>
      <c r="J110" s="140"/>
      <c r="K110" s="140"/>
      <c r="L110" s="140"/>
      <c r="M110" s="140"/>
      <c r="N110" s="140"/>
    </row>
    <row r="111" spans="1:14" x14ac:dyDescent="0.3">
      <c r="A111" s="121">
        <f t="shared" si="5"/>
        <v>0</v>
      </c>
      <c r="B111" s="91"/>
      <c r="C111" s="620"/>
      <c r="D111" s="620"/>
      <c r="E111" s="620"/>
      <c r="F111" s="620"/>
      <c r="G111" s="620"/>
      <c r="H111" s="620"/>
      <c r="I111" s="621"/>
      <c r="J111" s="140"/>
      <c r="K111" s="140"/>
      <c r="L111" s="140"/>
      <c r="M111" s="140"/>
      <c r="N111" s="140"/>
    </row>
    <row r="112" spans="1:14" x14ac:dyDescent="0.3">
      <c r="A112" s="121">
        <f t="shared" si="5"/>
        <v>0</v>
      </c>
      <c r="B112" s="91"/>
      <c r="C112" s="620"/>
      <c r="D112" s="620"/>
      <c r="E112" s="620"/>
      <c r="F112" s="620"/>
      <c r="G112" s="620"/>
      <c r="H112" s="620"/>
      <c r="I112" s="621"/>
      <c r="J112" s="140"/>
      <c r="K112" s="140"/>
      <c r="L112" s="140"/>
      <c r="M112" s="140"/>
      <c r="N112" s="140"/>
    </row>
    <row r="113" spans="1:14" x14ac:dyDescent="0.3">
      <c r="A113" s="121">
        <f t="shared" si="5"/>
        <v>0</v>
      </c>
      <c r="B113" s="91"/>
      <c r="C113" s="620"/>
      <c r="D113" s="620"/>
      <c r="E113" s="620"/>
      <c r="F113" s="620"/>
      <c r="G113" s="620"/>
      <c r="H113" s="620"/>
      <c r="I113" s="621"/>
      <c r="J113" s="140"/>
      <c r="K113" s="140"/>
      <c r="L113" s="140"/>
      <c r="M113" s="140"/>
      <c r="N113" s="140"/>
    </row>
    <row r="114" spans="1:14" x14ac:dyDescent="0.3">
      <c r="A114" s="121">
        <f t="shared" si="5"/>
        <v>0</v>
      </c>
      <c r="B114" s="91"/>
      <c r="C114" s="620"/>
      <c r="D114" s="620"/>
      <c r="E114" s="620"/>
      <c r="F114" s="620"/>
      <c r="G114" s="620"/>
      <c r="H114" s="620"/>
      <c r="I114" s="621"/>
      <c r="J114" s="140"/>
      <c r="K114" s="140"/>
      <c r="L114" s="140"/>
      <c r="M114" s="140"/>
      <c r="N114" s="140"/>
    </row>
    <row r="115" spans="1:14" x14ac:dyDescent="0.3">
      <c r="A115" s="121">
        <f t="shared" si="5"/>
        <v>0</v>
      </c>
      <c r="B115" s="91"/>
      <c r="C115" s="620"/>
      <c r="D115" s="620"/>
      <c r="E115" s="620"/>
      <c r="F115" s="620"/>
      <c r="G115" s="620"/>
      <c r="H115" s="620"/>
      <c r="I115" s="621"/>
      <c r="J115" s="140"/>
      <c r="K115" s="140"/>
      <c r="L115" s="140"/>
      <c r="M115" s="140"/>
      <c r="N115" s="140"/>
    </row>
    <row r="116" spans="1:14" x14ac:dyDescent="0.3">
      <c r="A116" s="121">
        <f t="shared" si="5"/>
        <v>0</v>
      </c>
      <c r="B116" s="91"/>
      <c r="C116" s="620"/>
      <c r="D116" s="620"/>
      <c r="E116" s="620"/>
      <c r="F116" s="620"/>
      <c r="G116" s="620"/>
      <c r="H116" s="620"/>
      <c r="I116" s="621"/>
      <c r="J116" s="140"/>
      <c r="K116" s="140"/>
      <c r="L116" s="140"/>
      <c r="M116" s="140"/>
      <c r="N116" s="140"/>
    </row>
    <row r="117" spans="1:14" ht="10.8" thickBot="1" x14ac:dyDescent="0.35">
      <c r="A117" s="136">
        <f t="shared" si="5"/>
        <v>0</v>
      </c>
      <c r="B117" s="161"/>
      <c r="C117" s="687"/>
      <c r="D117" s="687"/>
      <c r="E117" s="687"/>
      <c r="F117" s="687"/>
      <c r="G117" s="687"/>
      <c r="H117" s="687"/>
      <c r="I117" s="881"/>
      <c r="J117" s="140"/>
      <c r="K117" s="140"/>
      <c r="L117" s="140"/>
      <c r="M117" s="140"/>
      <c r="N117" s="140"/>
    </row>
    <row r="118" spans="1:14" ht="20.25" customHeight="1" thickBot="1" x14ac:dyDescent="0.35">
      <c r="A118" s="962" t="str">
        <f t="shared" si="5"/>
        <v>Equipo de Oficina</v>
      </c>
      <c r="B118" s="963"/>
      <c r="C118" s="963"/>
      <c r="D118" s="963"/>
      <c r="E118" s="963"/>
      <c r="F118" s="963"/>
      <c r="G118" s="963"/>
      <c r="H118" s="963"/>
      <c r="I118" s="963"/>
      <c r="J118" s="120"/>
      <c r="K118" s="120"/>
      <c r="L118" s="120"/>
      <c r="M118" s="120"/>
      <c r="N118" s="120"/>
    </row>
    <row r="119" spans="1:14" x14ac:dyDescent="0.3">
      <c r="A119" s="203" t="str">
        <f t="shared" si="5"/>
        <v xml:space="preserve">Teléfono </v>
      </c>
      <c r="B119" s="651"/>
      <c r="C119" s="649"/>
      <c r="D119" s="649"/>
      <c r="E119" s="649"/>
      <c r="F119" s="649"/>
      <c r="G119" s="649"/>
      <c r="H119" s="649"/>
      <c r="I119" s="880"/>
      <c r="J119" s="140"/>
      <c r="K119" s="140"/>
      <c r="L119" s="140"/>
      <c r="M119" s="140"/>
      <c r="N119" s="140"/>
    </row>
    <row r="120" spans="1:14" ht="9.75" customHeight="1" x14ac:dyDescent="0.3">
      <c r="A120" s="121">
        <f t="shared" si="5"/>
        <v>0</v>
      </c>
      <c r="B120" s="91"/>
      <c r="C120" s="620"/>
      <c r="D120" s="620"/>
      <c r="E120" s="620"/>
      <c r="F120" s="620"/>
      <c r="G120" s="620"/>
      <c r="H120" s="620"/>
      <c r="I120" s="621"/>
      <c r="J120" s="140"/>
      <c r="K120" s="140"/>
      <c r="L120" s="140"/>
      <c r="M120" s="140"/>
      <c r="N120" s="140"/>
    </row>
    <row r="121" spans="1:14" x14ac:dyDescent="0.3">
      <c r="A121" s="121">
        <f t="shared" si="5"/>
        <v>0</v>
      </c>
      <c r="B121" s="91"/>
      <c r="C121" s="620"/>
      <c r="D121" s="620"/>
      <c r="E121" s="620"/>
      <c r="F121" s="620"/>
      <c r="G121" s="620"/>
      <c r="H121" s="620"/>
      <c r="I121" s="621"/>
      <c r="J121" s="140"/>
      <c r="K121" s="140"/>
      <c r="L121" s="140"/>
      <c r="M121" s="140"/>
      <c r="N121" s="140"/>
    </row>
    <row r="122" spans="1:14" x14ac:dyDescent="0.3">
      <c r="A122" s="121">
        <f t="shared" si="5"/>
        <v>0</v>
      </c>
      <c r="B122" s="91"/>
      <c r="C122" s="620"/>
      <c r="D122" s="620"/>
      <c r="E122" s="620"/>
      <c r="F122" s="620"/>
      <c r="G122" s="620"/>
      <c r="H122" s="620"/>
      <c r="I122" s="621"/>
      <c r="J122" s="140"/>
      <c r="K122" s="140"/>
      <c r="L122" s="140"/>
      <c r="M122" s="140"/>
      <c r="N122" s="140"/>
    </row>
    <row r="123" spans="1:14" ht="26.25" customHeight="1" thickBot="1" x14ac:dyDescent="0.35"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</row>
    <row r="124" spans="1:14" ht="21.75" customHeight="1" thickBot="1" x14ac:dyDescent="0.35">
      <c r="A124" s="962" t="s">
        <v>117</v>
      </c>
      <c r="B124" s="963"/>
      <c r="C124" s="963"/>
      <c r="D124" s="963"/>
      <c r="E124" s="963"/>
      <c r="F124" s="963"/>
      <c r="G124" s="963"/>
      <c r="H124" s="963"/>
      <c r="I124" s="963"/>
      <c r="J124" s="120"/>
      <c r="K124" s="120"/>
      <c r="L124" s="120"/>
      <c r="M124" s="120"/>
      <c r="N124" s="120"/>
    </row>
    <row r="125" spans="1:14" ht="19.5" customHeight="1" x14ac:dyDescent="0.3">
      <c r="A125" s="863" t="str">
        <f t="shared" ref="A125:I125" si="6">+A65</f>
        <v>DESCRIPCIÓN</v>
      </c>
      <c r="B125" s="864">
        <f t="shared" si="6"/>
        <v>2023</v>
      </c>
      <c r="C125" s="865">
        <f t="shared" si="6"/>
        <v>2023</v>
      </c>
      <c r="D125" s="862">
        <f t="shared" si="6"/>
        <v>2024</v>
      </c>
      <c r="E125" s="862">
        <f t="shared" si="6"/>
        <v>2024</v>
      </c>
      <c r="F125" s="862">
        <f t="shared" si="6"/>
        <v>2025</v>
      </c>
      <c r="G125" s="862">
        <f t="shared" si="6"/>
        <v>2025</v>
      </c>
      <c r="H125" s="862">
        <f t="shared" si="6"/>
        <v>2026</v>
      </c>
      <c r="I125" s="158">
        <f t="shared" si="6"/>
        <v>2026</v>
      </c>
      <c r="J125" s="764"/>
      <c r="K125" s="764"/>
      <c r="L125" s="764"/>
      <c r="M125" s="764"/>
      <c r="N125" s="764"/>
    </row>
    <row r="126" spans="1:14" ht="15.6" x14ac:dyDescent="0.3">
      <c r="A126" s="871" t="str">
        <f t="shared" ref="A126:A157" si="7">+A66</f>
        <v>Muebles y enseres</v>
      </c>
      <c r="B126" s="698">
        <f t="shared" ref="B126:I126" si="8">SUM(B127:B143)</f>
        <v>0</v>
      </c>
      <c r="C126" s="652">
        <f t="shared" si="8"/>
        <v>0</v>
      </c>
      <c r="D126" s="652">
        <f t="shared" si="8"/>
        <v>0</v>
      </c>
      <c r="E126" s="652">
        <f t="shared" si="8"/>
        <v>0</v>
      </c>
      <c r="F126" s="652">
        <f t="shared" si="8"/>
        <v>0</v>
      </c>
      <c r="G126" s="652">
        <f t="shared" si="8"/>
        <v>0</v>
      </c>
      <c r="H126" s="652">
        <f t="shared" si="8"/>
        <v>0</v>
      </c>
      <c r="I126" s="882">
        <f t="shared" si="8"/>
        <v>0</v>
      </c>
      <c r="J126" s="878"/>
      <c r="K126" s="878"/>
      <c r="L126" s="878"/>
      <c r="M126" s="878"/>
      <c r="N126" s="878"/>
    </row>
    <row r="127" spans="1:14" x14ac:dyDescent="0.3">
      <c r="A127" s="121" t="str">
        <f t="shared" si="7"/>
        <v xml:space="preserve">Silla giratoria </v>
      </c>
      <c r="B127" s="699">
        <f>+$D5*'7 Sueldos'!$F$20*'3 Recursos físicos'!B67*E5</f>
        <v>0</v>
      </c>
      <c r="C127" s="629">
        <f>+$D5*'7 Sueldos'!$F$20*'3 Recursos físicos'!C67</f>
        <v>0</v>
      </c>
      <c r="D127" s="629">
        <f>+$D5*'7 Sueldos'!$F$39*'3 Recursos físicos'!D67</f>
        <v>0</v>
      </c>
      <c r="E127" s="629">
        <f>+$D5*'7 Sueldos'!$F$58*'3 Recursos físicos'!E67</f>
        <v>0</v>
      </c>
      <c r="F127" s="629">
        <f>+$D5*'7 Sueldos'!$F$77*'3 Recursos físicos'!F67</f>
        <v>0</v>
      </c>
      <c r="G127" s="629">
        <f>+$D5*'7 Sueldos'!$F$96*'3 Recursos físicos'!G67</f>
        <v>0</v>
      </c>
      <c r="H127" s="629">
        <f>+$D5*'7 Sueldos'!$F$115*'3 Recursos físicos'!H67</f>
        <v>0</v>
      </c>
      <c r="I127" s="137">
        <f>+$D5*'7 Sueldos'!$F$134*'3 Recursos físicos'!I67</f>
        <v>0</v>
      </c>
      <c r="J127" s="811"/>
      <c r="K127" s="811"/>
      <c r="L127" s="811"/>
      <c r="M127" s="811"/>
      <c r="N127" s="811"/>
    </row>
    <row r="128" spans="1:14" x14ac:dyDescent="0.3">
      <c r="A128" s="121" t="str">
        <f t="shared" si="7"/>
        <v xml:space="preserve">Silla de espera </v>
      </c>
      <c r="B128" s="699">
        <f>+$D6*'7 Sueldos'!$F$20*'3 Recursos físicos'!B68*E6</f>
        <v>0</v>
      </c>
      <c r="C128" s="629">
        <f>+$D6*'7 Sueldos'!$F$20*'3 Recursos físicos'!C68</f>
        <v>0</v>
      </c>
      <c r="D128" s="629">
        <f>+$D6*'7 Sueldos'!$F$39*'3 Recursos físicos'!D68</f>
        <v>0</v>
      </c>
      <c r="E128" s="629">
        <f>+$D6*'7 Sueldos'!$F$58*'3 Recursos físicos'!E68</f>
        <v>0</v>
      </c>
      <c r="F128" s="629">
        <f>+$D6*'7 Sueldos'!$F$77*'3 Recursos físicos'!F68</f>
        <v>0</v>
      </c>
      <c r="G128" s="629">
        <f>+$D6*'7 Sueldos'!$F$96*'3 Recursos físicos'!G68</f>
        <v>0</v>
      </c>
      <c r="H128" s="629">
        <f>+$D6*'7 Sueldos'!$F$115*'3 Recursos físicos'!H68</f>
        <v>0</v>
      </c>
      <c r="I128" s="137">
        <f>+$D6*'7 Sueldos'!$F$134*'3 Recursos físicos'!I68</f>
        <v>0</v>
      </c>
      <c r="J128" s="811"/>
      <c r="K128" s="811"/>
      <c r="L128" s="811"/>
      <c r="M128" s="811"/>
      <c r="N128" s="811"/>
    </row>
    <row r="129" spans="1:14" x14ac:dyDescent="0.3">
      <c r="A129" s="121" t="str">
        <f t="shared" si="7"/>
        <v xml:space="preserve">Archivador de madera </v>
      </c>
      <c r="B129" s="699">
        <f>+$D7*'7 Sueldos'!$F$20*'3 Recursos físicos'!B69*E7</f>
        <v>0</v>
      </c>
      <c r="C129" s="629">
        <f>+$D7*'7 Sueldos'!$F$20*'3 Recursos físicos'!C69</f>
        <v>0</v>
      </c>
      <c r="D129" s="629">
        <f>+$D7*'7 Sueldos'!$F$39*'3 Recursos físicos'!D69</f>
        <v>0</v>
      </c>
      <c r="E129" s="629">
        <f>+$D7*'7 Sueldos'!$F$58*'3 Recursos físicos'!E69</f>
        <v>0</v>
      </c>
      <c r="F129" s="629">
        <f>+$D7*'7 Sueldos'!$F$77*'3 Recursos físicos'!F69</f>
        <v>0</v>
      </c>
      <c r="G129" s="629">
        <f>+$D7*'7 Sueldos'!$F$96*'3 Recursos físicos'!G69</f>
        <v>0</v>
      </c>
      <c r="H129" s="629">
        <f>+$D7*'7 Sueldos'!$F$115*'3 Recursos físicos'!H69</f>
        <v>0</v>
      </c>
      <c r="I129" s="137">
        <f>+$D7*'7 Sueldos'!$F$134*'3 Recursos físicos'!I69</f>
        <v>0</v>
      </c>
      <c r="J129" s="811"/>
      <c r="K129" s="811"/>
      <c r="L129" s="811"/>
      <c r="M129" s="811"/>
      <c r="N129" s="811"/>
    </row>
    <row r="130" spans="1:14" x14ac:dyDescent="0.3">
      <c r="A130" s="121" t="str">
        <f t="shared" si="7"/>
        <v xml:space="preserve">Escritorio docentes </v>
      </c>
      <c r="B130" s="699">
        <f>+$D8*'7 Sueldos'!$F$20*'3 Recursos físicos'!B70*E8</f>
        <v>0</v>
      </c>
      <c r="C130" s="629">
        <f>+$D8*'7 Sueldos'!$F$20*'3 Recursos físicos'!C70</f>
        <v>0</v>
      </c>
      <c r="D130" s="629">
        <f>+$D8*'7 Sueldos'!$F$39*'3 Recursos físicos'!D70</f>
        <v>0</v>
      </c>
      <c r="E130" s="629">
        <f>+$D8*'7 Sueldos'!$F$58*'3 Recursos físicos'!E70</f>
        <v>0</v>
      </c>
      <c r="F130" s="629">
        <f>+$D8*'7 Sueldos'!$F$77*'3 Recursos físicos'!F70</f>
        <v>0</v>
      </c>
      <c r="G130" s="629">
        <f>+$D8*'7 Sueldos'!$F$96*'3 Recursos físicos'!G70</f>
        <v>0</v>
      </c>
      <c r="H130" s="629">
        <f>+$D8*'7 Sueldos'!$F$115*'3 Recursos físicos'!H70</f>
        <v>0</v>
      </c>
      <c r="I130" s="137">
        <f>+$D8*'7 Sueldos'!$F$134*'3 Recursos físicos'!I70</f>
        <v>0</v>
      </c>
      <c r="J130" s="811"/>
      <c r="K130" s="811"/>
      <c r="L130" s="811"/>
      <c r="M130" s="811"/>
      <c r="N130" s="811"/>
    </row>
    <row r="131" spans="1:14" x14ac:dyDescent="0.3">
      <c r="A131" s="121" t="str">
        <f t="shared" si="7"/>
        <v xml:space="preserve">Mesas de laboratorio </v>
      </c>
      <c r="B131" s="699">
        <f>+$D9*'7 Sueldos'!$F$20*'3 Recursos físicos'!B71*E9</f>
        <v>0</v>
      </c>
      <c r="C131" s="629">
        <f>+$D9*'7 Sueldos'!$F$20*'3 Recursos físicos'!C71</f>
        <v>0</v>
      </c>
      <c r="D131" s="629">
        <f>+$D9*'7 Sueldos'!$F$39*'3 Recursos físicos'!D71</f>
        <v>0</v>
      </c>
      <c r="E131" s="629">
        <f>+$D9*'7 Sueldos'!$F$58*'3 Recursos físicos'!E71</f>
        <v>0</v>
      </c>
      <c r="F131" s="629">
        <f>+$D9*'7 Sueldos'!$F$77*'3 Recursos físicos'!F71</f>
        <v>0</v>
      </c>
      <c r="G131" s="629">
        <f>+$D9*'7 Sueldos'!$F$96*'3 Recursos físicos'!G71</f>
        <v>0</v>
      </c>
      <c r="H131" s="629">
        <f>+$D9*'7 Sueldos'!$F$115*'3 Recursos físicos'!H71</f>
        <v>0</v>
      </c>
      <c r="I131" s="137">
        <f>+$D9*'7 Sueldos'!$F$134*'3 Recursos físicos'!I71</f>
        <v>0</v>
      </c>
      <c r="J131" s="811"/>
      <c r="K131" s="811"/>
      <c r="L131" s="811"/>
      <c r="M131" s="811"/>
      <c r="N131" s="811"/>
    </row>
    <row r="132" spans="1:14" x14ac:dyDescent="0.3">
      <c r="A132" s="121" t="str">
        <f t="shared" si="7"/>
        <v>Libros</v>
      </c>
      <c r="B132" s="699">
        <f>+$D10*'7 Sueldos'!$F$20*'3 Recursos físicos'!B72*E10</f>
        <v>0</v>
      </c>
      <c r="C132" s="629">
        <f>+$D10*'7 Sueldos'!$F$20*'3 Recursos físicos'!C72</f>
        <v>0</v>
      </c>
      <c r="D132" s="629">
        <f>+$D10*'7 Sueldos'!$F$39*'3 Recursos físicos'!D72</f>
        <v>0</v>
      </c>
      <c r="E132" s="629">
        <f>+$D10*'7 Sueldos'!$F$58*'3 Recursos físicos'!E72</f>
        <v>0</v>
      </c>
      <c r="F132" s="629">
        <f>+$D10*'7 Sueldos'!$F$77*'3 Recursos físicos'!F72</f>
        <v>0</v>
      </c>
      <c r="G132" s="629">
        <f>+$D10*'7 Sueldos'!$F$96*'3 Recursos físicos'!G72</f>
        <v>0</v>
      </c>
      <c r="H132" s="629">
        <f>+$D10*'7 Sueldos'!$F$115*'3 Recursos físicos'!H72</f>
        <v>0</v>
      </c>
      <c r="I132" s="137">
        <f>+$D10*'7 Sueldos'!$F$134*'3 Recursos físicos'!I72</f>
        <v>0</v>
      </c>
      <c r="J132" s="811"/>
      <c r="K132" s="811"/>
      <c r="L132" s="811"/>
      <c r="M132" s="811"/>
      <c r="N132" s="811"/>
    </row>
    <row r="133" spans="1:14" x14ac:dyDescent="0.3">
      <c r="A133" s="121">
        <f t="shared" si="7"/>
        <v>0</v>
      </c>
      <c r="B133" s="699">
        <f>+$D11*'7 Sueldos'!$F$20*'3 Recursos físicos'!B73*E11</f>
        <v>0</v>
      </c>
      <c r="C133" s="629">
        <f>+$D11*'7 Sueldos'!$F$20*'3 Recursos físicos'!C73</f>
        <v>0</v>
      </c>
      <c r="D133" s="629">
        <f>+$D11*'7 Sueldos'!$F$39*'3 Recursos físicos'!D73</f>
        <v>0</v>
      </c>
      <c r="E133" s="629">
        <f>+$D11*'7 Sueldos'!$F$58*'3 Recursos físicos'!E73</f>
        <v>0</v>
      </c>
      <c r="F133" s="629">
        <f>+$D11*'7 Sueldos'!$F$77*'3 Recursos físicos'!F73</f>
        <v>0</v>
      </c>
      <c r="G133" s="629">
        <f>+$D11*'7 Sueldos'!$F$96*'3 Recursos físicos'!G73</f>
        <v>0</v>
      </c>
      <c r="H133" s="629">
        <f>+$D11*'7 Sueldos'!$F$115*'3 Recursos físicos'!H73</f>
        <v>0</v>
      </c>
      <c r="I133" s="137">
        <f>+$D11*'7 Sueldos'!$F$134*'3 Recursos físicos'!I73</f>
        <v>0</v>
      </c>
      <c r="J133" s="811"/>
      <c r="K133" s="811"/>
      <c r="L133" s="811"/>
      <c r="M133" s="811"/>
      <c r="N133" s="811"/>
    </row>
    <row r="134" spans="1:14" x14ac:dyDescent="0.3">
      <c r="A134" s="121">
        <f t="shared" si="7"/>
        <v>0</v>
      </c>
      <c r="B134" s="699">
        <f>+$D12*'7 Sueldos'!$F$20*'3 Recursos físicos'!B74*E12</f>
        <v>0</v>
      </c>
      <c r="C134" s="629">
        <f>+$D12*'7 Sueldos'!$F$20*'3 Recursos físicos'!C74</f>
        <v>0</v>
      </c>
      <c r="D134" s="629">
        <f>+$D12*'7 Sueldos'!$F$39*'3 Recursos físicos'!D74</f>
        <v>0</v>
      </c>
      <c r="E134" s="629">
        <f>+$D12*'7 Sueldos'!$F$58*'3 Recursos físicos'!E74</f>
        <v>0</v>
      </c>
      <c r="F134" s="629">
        <f>+$D12*'7 Sueldos'!$F$77*'3 Recursos físicos'!F74</f>
        <v>0</v>
      </c>
      <c r="G134" s="629">
        <f>+$D12*'7 Sueldos'!$F$96*'3 Recursos físicos'!G74</f>
        <v>0</v>
      </c>
      <c r="H134" s="629">
        <f>+$D12*'7 Sueldos'!$F$115*'3 Recursos físicos'!H74</f>
        <v>0</v>
      </c>
      <c r="I134" s="137">
        <f>+$D12*'7 Sueldos'!$F$134*'3 Recursos físicos'!I74</f>
        <v>0</v>
      </c>
      <c r="J134" s="811"/>
      <c r="K134" s="811"/>
      <c r="L134" s="811"/>
      <c r="M134" s="811"/>
      <c r="N134" s="811"/>
    </row>
    <row r="135" spans="1:14" x14ac:dyDescent="0.3">
      <c r="A135" s="121">
        <f t="shared" si="7"/>
        <v>0</v>
      </c>
      <c r="B135" s="699">
        <f>+$D13*'7 Sueldos'!$F$20*'3 Recursos físicos'!B75*E13</f>
        <v>0</v>
      </c>
      <c r="C135" s="629">
        <f>+$D13*'7 Sueldos'!$F$20*'3 Recursos físicos'!C75</f>
        <v>0</v>
      </c>
      <c r="D135" s="629">
        <f>+$D13*'7 Sueldos'!$F$39*'3 Recursos físicos'!D75</f>
        <v>0</v>
      </c>
      <c r="E135" s="629">
        <f>+$D13*'7 Sueldos'!$F$58*'3 Recursos físicos'!E75</f>
        <v>0</v>
      </c>
      <c r="F135" s="629">
        <f>+$D13*'7 Sueldos'!$F$77*'3 Recursos físicos'!F75</f>
        <v>0</v>
      </c>
      <c r="G135" s="629">
        <f>+$D13*'7 Sueldos'!$F$96*'3 Recursos físicos'!G75</f>
        <v>0</v>
      </c>
      <c r="H135" s="629">
        <f>+$D13*'7 Sueldos'!$F$115*'3 Recursos físicos'!H75</f>
        <v>0</v>
      </c>
      <c r="I135" s="137">
        <f>+$D13*'7 Sueldos'!$F$134*'3 Recursos físicos'!I75</f>
        <v>0</v>
      </c>
      <c r="J135" s="811"/>
      <c r="K135" s="811"/>
      <c r="L135" s="811"/>
      <c r="M135" s="811"/>
      <c r="N135" s="811"/>
    </row>
    <row r="136" spans="1:14" x14ac:dyDescent="0.3">
      <c r="A136" s="121">
        <f t="shared" si="7"/>
        <v>0</v>
      </c>
      <c r="B136" s="699">
        <f>+$D14*'7 Sueldos'!$F$20*'3 Recursos físicos'!B76*E14</f>
        <v>0</v>
      </c>
      <c r="C136" s="629">
        <f>+$D14*'7 Sueldos'!$F$20*'3 Recursos físicos'!C76</f>
        <v>0</v>
      </c>
      <c r="D136" s="629">
        <f>+$D14*'7 Sueldos'!$F$39*'3 Recursos físicos'!D76</f>
        <v>0</v>
      </c>
      <c r="E136" s="629">
        <f>+$D14*'7 Sueldos'!$F$58*'3 Recursos físicos'!E76</f>
        <v>0</v>
      </c>
      <c r="F136" s="629">
        <f>+$D14*'7 Sueldos'!$F$77*'3 Recursos físicos'!F76</f>
        <v>0</v>
      </c>
      <c r="G136" s="629">
        <f>+$D14*'7 Sueldos'!$F$96*'3 Recursos físicos'!G76</f>
        <v>0</v>
      </c>
      <c r="H136" s="629">
        <f>+$D14*'7 Sueldos'!$F$115*'3 Recursos físicos'!H76</f>
        <v>0</v>
      </c>
      <c r="I136" s="137">
        <f>+$D14*'7 Sueldos'!$F$134*'3 Recursos físicos'!I76</f>
        <v>0</v>
      </c>
      <c r="J136" s="811"/>
      <c r="K136" s="811"/>
      <c r="L136" s="811"/>
      <c r="M136" s="811"/>
      <c r="N136" s="811"/>
    </row>
    <row r="137" spans="1:14" x14ac:dyDescent="0.3">
      <c r="A137" s="121">
        <f t="shared" si="7"/>
        <v>0</v>
      </c>
      <c r="B137" s="699">
        <f>+$D15*'7 Sueldos'!$F$20*'3 Recursos físicos'!B77*E15</f>
        <v>0</v>
      </c>
      <c r="C137" s="629">
        <f>+$D15*'7 Sueldos'!$F$20*'3 Recursos físicos'!C77</f>
        <v>0</v>
      </c>
      <c r="D137" s="629">
        <f>+$D15*'7 Sueldos'!$F$39*'3 Recursos físicos'!D77</f>
        <v>0</v>
      </c>
      <c r="E137" s="629">
        <f>+$D15*'7 Sueldos'!$F$58*'3 Recursos físicos'!E77</f>
        <v>0</v>
      </c>
      <c r="F137" s="629">
        <f>+$D15*'7 Sueldos'!$F$77*'3 Recursos físicos'!F77</f>
        <v>0</v>
      </c>
      <c r="G137" s="629">
        <f>+$D15*'7 Sueldos'!$F$96*'3 Recursos físicos'!G77</f>
        <v>0</v>
      </c>
      <c r="H137" s="629">
        <f>+$D15*'7 Sueldos'!$F$115*'3 Recursos físicos'!H77</f>
        <v>0</v>
      </c>
      <c r="I137" s="137">
        <f>+$D15*'7 Sueldos'!$F$134*'3 Recursos físicos'!I77</f>
        <v>0</v>
      </c>
      <c r="J137" s="811"/>
      <c r="K137" s="811"/>
      <c r="L137" s="811"/>
      <c r="M137" s="811"/>
      <c r="N137" s="811"/>
    </row>
    <row r="138" spans="1:14" x14ac:dyDescent="0.3">
      <c r="A138" s="121">
        <f t="shared" si="7"/>
        <v>0</v>
      </c>
      <c r="B138" s="699">
        <f>+$D16*'7 Sueldos'!$F$20*'3 Recursos físicos'!B78*E16</f>
        <v>0</v>
      </c>
      <c r="C138" s="629">
        <f>+$D16*'7 Sueldos'!$F$20*'3 Recursos físicos'!C78</f>
        <v>0</v>
      </c>
      <c r="D138" s="629">
        <f>+$D16*'7 Sueldos'!$F$39*'3 Recursos físicos'!D78</f>
        <v>0</v>
      </c>
      <c r="E138" s="629">
        <f>+$D16*'7 Sueldos'!$F$58*'3 Recursos físicos'!E78</f>
        <v>0</v>
      </c>
      <c r="F138" s="629">
        <f>+$D16*'7 Sueldos'!$F$77*'3 Recursos físicos'!F78</f>
        <v>0</v>
      </c>
      <c r="G138" s="629">
        <f>+$D16*'7 Sueldos'!$F$96*'3 Recursos físicos'!G78</f>
        <v>0</v>
      </c>
      <c r="H138" s="629">
        <f>+$D16*'7 Sueldos'!$F$115*'3 Recursos físicos'!H78</f>
        <v>0</v>
      </c>
      <c r="I138" s="137">
        <f>+$D16*'7 Sueldos'!$F$134*'3 Recursos físicos'!I78</f>
        <v>0</v>
      </c>
      <c r="J138" s="811"/>
      <c r="K138" s="811"/>
      <c r="L138" s="811"/>
      <c r="M138" s="811"/>
      <c r="N138" s="811"/>
    </row>
    <row r="139" spans="1:14" x14ac:dyDescent="0.3">
      <c r="A139" s="121">
        <f t="shared" si="7"/>
        <v>0</v>
      </c>
      <c r="B139" s="699">
        <f>+$D17*'7 Sueldos'!$F$20*'3 Recursos físicos'!B79*E17</f>
        <v>0</v>
      </c>
      <c r="C139" s="629">
        <f>+$D17*'7 Sueldos'!$F$20*'3 Recursos físicos'!C79</f>
        <v>0</v>
      </c>
      <c r="D139" s="629">
        <f>+$D17*'7 Sueldos'!$F$39*'3 Recursos físicos'!D79</f>
        <v>0</v>
      </c>
      <c r="E139" s="629">
        <f>+$D17*'7 Sueldos'!$F$58*'3 Recursos físicos'!E79</f>
        <v>0</v>
      </c>
      <c r="F139" s="629">
        <f>+$D17*'7 Sueldos'!$F$77*'3 Recursos físicos'!F79</f>
        <v>0</v>
      </c>
      <c r="G139" s="629">
        <f>+$D17*'7 Sueldos'!$F$96*'3 Recursos físicos'!G79</f>
        <v>0</v>
      </c>
      <c r="H139" s="629">
        <f>+$D17*'7 Sueldos'!$F$115*'3 Recursos físicos'!H79</f>
        <v>0</v>
      </c>
      <c r="I139" s="137">
        <f>+$D17*'7 Sueldos'!$F$134*'3 Recursos físicos'!I79</f>
        <v>0</v>
      </c>
      <c r="J139" s="811"/>
      <c r="K139" s="811"/>
      <c r="L139" s="811"/>
      <c r="M139" s="811"/>
      <c r="N139" s="811"/>
    </row>
    <row r="140" spans="1:14" x14ac:dyDescent="0.3">
      <c r="A140" s="121">
        <f t="shared" si="7"/>
        <v>0</v>
      </c>
      <c r="B140" s="699">
        <f>+$D18*'7 Sueldos'!$F$20*'3 Recursos físicos'!B80*E18</f>
        <v>0</v>
      </c>
      <c r="C140" s="629">
        <f>+$D18*'7 Sueldos'!$F$20*'3 Recursos físicos'!C80</f>
        <v>0</v>
      </c>
      <c r="D140" s="629">
        <f>+$D18*'7 Sueldos'!$F$39*'3 Recursos físicos'!D80</f>
        <v>0</v>
      </c>
      <c r="E140" s="629">
        <f>+$D18*'7 Sueldos'!$F$58*'3 Recursos físicos'!E80</f>
        <v>0</v>
      </c>
      <c r="F140" s="629">
        <f>+$D18*'7 Sueldos'!$F$77*'3 Recursos físicos'!F80</f>
        <v>0</v>
      </c>
      <c r="G140" s="629">
        <f>+$D18*'7 Sueldos'!$F$96*'3 Recursos físicos'!G80</f>
        <v>0</v>
      </c>
      <c r="H140" s="629">
        <f>+$D18*'7 Sueldos'!$F$115*'3 Recursos físicos'!H80</f>
        <v>0</v>
      </c>
      <c r="I140" s="137">
        <f>+$D18*'7 Sueldos'!$F$134*'3 Recursos físicos'!I80</f>
        <v>0</v>
      </c>
      <c r="J140" s="811"/>
      <c r="K140" s="811"/>
      <c r="L140" s="811"/>
      <c r="M140" s="811"/>
      <c r="N140" s="811"/>
    </row>
    <row r="141" spans="1:14" x14ac:dyDescent="0.3">
      <c r="A141" s="121">
        <f t="shared" si="7"/>
        <v>0</v>
      </c>
      <c r="B141" s="699">
        <f>+$D19*'7 Sueldos'!$F$20*'3 Recursos físicos'!B81*E19</f>
        <v>0</v>
      </c>
      <c r="C141" s="629">
        <f>+$D19*'7 Sueldos'!$F$20*'3 Recursos físicos'!C81</f>
        <v>0</v>
      </c>
      <c r="D141" s="629">
        <f>+$D19*'7 Sueldos'!$F$39*'3 Recursos físicos'!D81</f>
        <v>0</v>
      </c>
      <c r="E141" s="629">
        <f>+$D19*'7 Sueldos'!$F$58*'3 Recursos físicos'!E81</f>
        <v>0</v>
      </c>
      <c r="F141" s="629">
        <f>+$D19*'7 Sueldos'!$F$77*'3 Recursos físicos'!F81</f>
        <v>0</v>
      </c>
      <c r="G141" s="629">
        <f>+$D19*'7 Sueldos'!$F$96*'3 Recursos físicos'!G81</f>
        <v>0</v>
      </c>
      <c r="H141" s="629">
        <f>+$D19*'7 Sueldos'!$F$115*'3 Recursos físicos'!H81</f>
        <v>0</v>
      </c>
      <c r="I141" s="137">
        <f>+$D19*'7 Sueldos'!$F$134*'3 Recursos físicos'!I81</f>
        <v>0</v>
      </c>
      <c r="J141" s="811"/>
      <c r="K141" s="811"/>
      <c r="L141" s="811"/>
      <c r="M141" s="811"/>
      <c r="N141" s="811"/>
    </row>
    <row r="142" spans="1:14" x14ac:dyDescent="0.3">
      <c r="A142" s="121">
        <f t="shared" si="7"/>
        <v>0</v>
      </c>
      <c r="B142" s="699">
        <f>+$D20*'7 Sueldos'!$F$20*'3 Recursos físicos'!B82*E20</f>
        <v>0</v>
      </c>
      <c r="C142" s="629">
        <f>+$D20*'7 Sueldos'!$F$20*'3 Recursos físicos'!C82</f>
        <v>0</v>
      </c>
      <c r="D142" s="629">
        <f>+$D20*'7 Sueldos'!$F$39*'3 Recursos físicos'!D82</f>
        <v>0</v>
      </c>
      <c r="E142" s="629">
        <f>+$D20*'7 Sueldos'!$F$58*'3 Recursos físicos'!E82</f>
        <v>0</v>
      </c>
      <c r="F142" s="629">
        <f>+$D20*'7 Sueldos'!$F$77*'3 Recursos físicos'!F82</f>
        <v>0</v>
      </c>
      <c r="G142" s="629">
        <f>+$D20*'7 Sueldos'!$F$96*'3 Recursos físicos'!G82</f>
        <v>0</v>
      </c>
      <c r="H142" s="629">
        <f>+$D20*'7 Sueldos'!$F$115*'3 Recursos físicos'!H82</f>
        <v>0</v>
      </c>
      <c r="I142" s="137">
        <f>+$D20*'7 Sueldos'!$F$134*'3 Recursos físicos'!I82</f>
        <v>0</v>
      </c>
      <c r="J142" s="811"/>
      <c r="K142" s="811"/>
      <c r="L142" s="811"/>
      <c r="M142" s="811"/>
      <c r="N142" s="811"/>
    </row>
    <row r="143" spans="1:14" ht="10.8" thickBot="1" x14ac:dyDescent="0.35">
      <c r="A143" s="131">
        <f t="shared" si="7"/>
        <v>0</v>
      </c>
      <c r="B143" s="699">
        <f>+$D21*'7 Sueldos'!$F$20*'3 Recursos físicos'!B83*E21</f>
        <v>0</v>
      </c>
      <c r="C143" s="629">
        <f>+$D21*'7 Sueldos'!$F$20*'3 Recursos físicos'!C83</f>
        <v>0</v>
      </c>
      <c r="D143" s="629">
        <f>+$D21*'7 Sueldos'!$F$39*'3 Recursos físicos'!D83</f>
        <v>0</v>
      </c>
      <c r="E143" s="629">
        <f>+$D21*'7 Sueldos'!$F$58*'3 Recursos físicos'!E83</f>
        <v>0</v>
      </c>
      <c r="F143" s="629">
        <f>+$D21*'7 Sueldos'!$F$77*'3 Recursos físicos'!F83</f>
        <v>0</v>
      </c>
      <c r="G143" s="629">
        <f>+$D21*'7 Sueldos'!$F$96*'3 Recursos físicos'!G83</f>
        <v>0</v>
      </c>
      <c r="H143" s="629">
        <f>+$D21*'7 Sueldos'!$F$115*'3 Recursos físicos'!H83</f>
        <v>0</v>
      </c>
      <c r="I143" s="884">
        <f>+$D21*'7 Sueldos'!$F$134*'3 Recursos físicos'!I83</f>
        <v>0</v>
      </c>
      <c r="J143" s="811"/>
      <c r="K143" s="811"/>
      <c r="L143" s="811"/>
      <c r="M143" s="811"/>
      <c r="N143" s="811"/>
    </row>
    <row r="144" spans="1:14" ht="16.2" thickBot="1" x14ac:dyDescent="0.35">
      <c r="A144" s="630" t="str">
        <f t="shared" si="7"/>
        <v>Laboratorios y Equipos</v>
      </c>
      <c r="B144" s="701">
        <f t="shared" ref="B144:I144" si="9">SUM(B145:B161)</f>
        <v>0</v>
      </c>
      <c r="C144" s="632">
        <f t="shared" si="9"/>
        <v>717.33519000000001</v>
      </c>
      <c r="D144" s="632">
        <f t="shared" si="9"/>
        <v>26255.55198987</v>
      </c>
      <c r="E144" s="632">
        <f t="shared" si="9"/>
        <v>26668.980495613261</v>
      </c>
      <c r="F144" s="632">
        <f t="shared" si="9"/>
        <v>1465.6186005054712</v>
      </c>
      <c r="G144" s="632">
        <f t="shared" si="9"/>
        <v>1845.3114212325336</v>
      </c>
      <c r="H144" s="632">
        <f t="shared" si="9"/>
        <v>1915.2110898801811</v>
      </c>
      <c r="I144" s="883">
        <f t="shared" si="9"/>
        <v>2272.6547909117808</v>
      </c>
      <c r="J144" s="878"/>
      <c r="K144" s="878"/>
      <c r="L144" s="878"/>
      <c r="M144" s="878"/>
      <c r="N144" s="878"/>
    </row>
    <row r="145" spans="1:14" x14ac:dyDescent="0.3">
      <c r="A145" s="203" t="str">
        <f t="shared" si="7"/>
        <v>Operatividad EVEA</v>
      </c>
      <c r="B145" s="702">
        <f>+$D23*'7 Sueldos'!$F$20*'3 Recursos físicos'!B85*E23</f>
        <v>0</v>
      </c>
      <c r="C145" s="629">
        <f>+$D23*'7 Sueldos'!$F$20*'3 Recursos físicos'!C85</f>
        <v>660.78746999999998</v>
      </c>
      <c r="D145" s="629">
        <f>+$D23*'7 Sueldos'!$F$39*'3 Recursos físicos'!D85</f>
        <v>822.13163486999997</v>
      </c>
      <c r="E145" s="629">
        <f>+$D23*'7 Sueldos'!$F$58*'3 Recursos físicos'!E85</f>
        <v>1194.70920811326</v>
      </c>
      <c r="F145" s="629">
        <f>+$D23*'7 Sueldos'!$F$77*'3 Recursos físicos'!F85</f>
        <v>1325.1815692554712</v>
      </c>
      <c r="G145" s="629">
        <f>+$D23*'7 Sueldos'!$F$96*'3 Recursos físicos'!G85</f>
        <v>1662.3752387325335</v>
      </c>
      <c r="H145" s="629">
        <f>+$D23*'7 Sueldos'!$F$115*'3 Recursos físicos'!H85</f>
        <v>1714.1200211301812</v>
      </c>
      <c r="I145" s="221">
        <f>+$D23*'7 Sueldos'!$F$134*'3 Recursos físicos'!I85</f>
        <v>2030.1369096617809</v>
      </c>
      <c r="J145" s="811"/>
      <c r="K145" s="811"/>
      <c r="L145" s="811"/>
      <c r="M145" s="811"/>
      <c r="N145" s="811"/>
    </row>
    <row r="146" spans="1:14" x14ac:dyDescent="0.3">
      <c r="A146" s="203" t="str">
        <f t="shared" si="7"/>
        <v>Licencias, almacenamiento y webninar ZOOM</v>
      </c>
      <c r="B146" s="699">
        <f>+$D24*'7 Sueldos'!$F$20*'3 Recursos físicos'!B86*E24</f>
        <v>0</v>
      </c>
      <c r="C146" s="629">
        <f>+$D24*'7 Sueldos'!$F$20*'3 Recursos físicos'!C86</f>
        <v>56.547719999999998</v>
      </c>
      <c r="D146" s="629">
        <f>+$D24*'7 Sueldos'!$F$39*'3 Recursos físicos'!D86</f>
        <v>75.920355000000001</v>
      </c>
      <c r="E146" s="629">
        <f>+$D24*'7 Sueldos'!$F$58*'3 Recursos físicos'!E86</f>
        <v>116.7712875</v>
      </c>
      <c r="F146" s="629">
        <f>+$D24*'7 Sueldos'!$F$77*'3 Recursos físicos'!F86</f>
        <v>140.43703124999999</v>
      </c>
      <c r="G146" s="629">
        <f>+$D24*'7 Sueldos'!$F$96*'3 Recursos físicos'!G86</f>
        <v>182.9361825</v>
      </c>
      <c r="H146" s="629">
        <f>+$D24*'7 Sueldos'!$F$115*'3 Recursos físicos'!H86</f>
        <v>201.09106875000001</v>
      </c>
      <c r="I146" s="137">
        <f>+$D24*'7 Sueldos'!$F$134*'3 Recursos físicos'!I86</f>
        <v>242.51788125000004</v>
      </c>
      <c r="J146" s="811"/>
      <c r="K146" s="811"/>
      <c r="L146" s="811"/>
      <c r="M146" s="811"/>
      <c r="N146" s="811"/>
    </row>
    <row r="147" spans="1:14" x14ac:dyDescent="0.3">
      <c r="A147" s="203" t="str">
        <f t="shared" si="7"/>
        <v>Laboratorio de  Redes</v>
      </c>
      <c r="B147" s="699">
        <f>+$D25*'7 Sueldos'!$F$20*'3 Recursos físicos'!B87*E25</f>
        <v>0</v>
      </c>
      <c r="C147" s="629">
        <f>+$D25*'7 Sueldos'!$F$20*'3 Recursos físicos'!C87</f>
        <v>0</v>
      </c>
      <c r="D147" s="629">
        <f>+$D25*'7 Sueldos'!$F$39*'3 Recursos físicos'!D87</f>
        <v>25357.5</v>
      </c>
      <c r="E147" s="629">
        <f>+$D25*'7 Sueldos'!$F$58*'3 Recursos físicos'!E87</f>
        <v>0</v>
      </c>
      <c r="F147" s="629">
        <f>+$D25*'7 Sueldos'!$F$77*'3 Recursos físicos'!F87</f>
        <v>0</v>
      </c>
      <c r="G147" s="629">
        <f>+$D25*'7 Sueldos'!$F$96*'3 Recursos físicos'!G87</f>
        <v>0</v>
      </c>
      <c r="H147" s="629">
        <f>+$D25*'7 Sueldos'!$F$115*'3 Recursos físicos'!H87</f>
        <v>0</v>
      </c>
      <c r="I147" s="137">
        <f>+$D25*'7 Sueldos'!$F$134*'3 Recursos físicos'!I87</f>
        <v>0</v>
      </c>
      <c r="J147" s="811"/>
      <c r="K147" s="811"/>
      <c r="L147" s="811"/>
      <c r="M147" s="811"/>
      <c r="N147" s="811"/>
    </row>
    <row r="148" spans="1:14" x14ac:dyDescent="0.3">
      <c r="A148" s="203" t="str">
        <f t="shared" si="7"/>
        <v>Laboratorio de  Redes</v>
      </c>
      <c r="B148" s="699">
        <f>+$D26*'7 Sueldos'!$F$20*'3 Recursos físicos'!B88*E26</f>
        <v>0</v>
      </c>
      <c r="C148" s="629">
        <f>+$D26*'7 Sueldos'!$F$20*'3 Recursos físicos'!C88</f>
        <v>0</v>
      </c>
      <c r="D148" s="629">
        <f>+$D26*'7 Sueldos'!$F$39*'3 Recursos físicos'!D88</f>
        <v>0</v>
      </c>
      <c r="E148" s="629">
        <f>+$D26*'7 Sueldos'!$F$58*'3 Recursos físicos'!E88</f>
        <v>25357.5</v>
      </c>
      <c r="F148" s="629">
        <f>+$D26*'7 Sueldos'!$F$77*'3 Recursos físicos'!F88</f>
        <v>0</v>
      </c>
      <c r="G148" s="629">
        <f>+$D26*'7 Sueldos'!$F$96*'3 Recursos físicos'!G88</f>
        <v>0</v>
      </c>
      <c r="H148" s="629">
        <f>+$D26*'7 Sueldos'!$F$115*'3 Recursos físicos'!H88</f>
        <v>0</v>
      </c>
      <c r="I148" s="137">
        <f>+$D26*'7 Sueldos'!$F$134*'3 Recursos físicos'!I88</f>
        <v>0</v>
      </c>
      <c r="J148" s="811"/>
      <c r="K148" s="811"/>
      <c r="L148" s="811"/>
      <c r="M148" s="811"/>
      <c r="N148" s="811"/>
    </row>
    <row r="149" spans="1:14" x14ac:dyDescent="0.3">
      <c r="A149" s="203">
        <f t="shared" si="7"/>
        <v>0</v>
      </c>
      <c r="B149" s="699"/>
      <c r="C149" s="629">
        <f>+$D27*'7 Sueldos'!$F$20*'3 Recursos físicos'!C89</f>
        <v>0</v>
      </c>
      <c r="D149" s="629">
        <f>+$D27*'7 Sueldos'!$F$39*'3 Recursos físicos'!D89</f>
        <v>0</v>
      </c>
      <c r="E149" s="629">
        <f>+$D27*'7 Sueldos'!$F$58*'3 Recursos físicos'!E89</f>
        <v>0</v>
      </c>
      <c r="F149" s="629">
        <f>+$D27*'7 Sueldos'!$F$77*'3 Recursos físicos'!F89</f>
        <v>0</v>
      </c>
      <c r="G149" s="629">
        <f>+$D27*'7 Sueldos'!$F$96*'3 Recursos físicos'!G89</f>
        <v>0</v>
      </c>
      <c r="H149" s="629">
        <f>+$D27*'7 Sueldos'!$F$115*'3 Recursos físicos'!H89</f>
        <v>0</v>
      </c>
      <c r="I149" s="137">
        <f>+$D27*'7 Sueldos'!$F$134*'3 Recursos físicos'!I89</f>
        <v>0</v>
      </c>
      <c r="J149" s="811"/>
      <c r="K149" s="811"/>
      <c r="L149" s="811"/>
      <c r="M149" s="811"/>
      <c r="N149" s="811"/>
    </row>
    <row r="150" spans="1:14" x14ac:dyDescent="0.3">
      <c r="A150" s="203">
        <f t="shared" si="7"/>
        <v>0</v>
      </c>
      <c r="B150" s="699"/>
      <c r="C150" s="629">
        <f>+$D28*'7 Sueldos'!$F$20*'3 Recursos físicos'!C90</f>
        <v>0</v>
      </c>
      <c r="D150" s="629">
        <f>+$D28*'7 Sueldos'!$F$39*'3 Recursos físicos'!D90</f>
        <v>0</v>
      </c>
      <c r="E150" s="629">
        <f>+$D28*'7 Sueldos'!$F$58*'3 Recursos físicos'!E90</f>
        <v>0</v>
      </c>
      <c r="F150" s="629">
        <f>+$D28*'7 Sueldos'!$F$77*'3 Recursos físicos'!F90</f>
        <v>0</v>
      </c>
      <c r="G150" s="629">
        <f>+$D28*'7 Sueldos'!$F$96*'3 Recursos físicos'!G90</f>
        <v>0</v>
      </c>
      <c r="H150" s="629">
        <f>+$D28*'7 Sueldos'!$F$115*'3 Recursos físicos'!H90</f>
        <v>0</v>
      </c>
      <c r="I150" s="137">
        <f>+$D28*'7 Sueldos'!$F$134*'3 Recursos físicos'!I90</f>
        <v>0</v>
      </c>
      <c r="J150" s="811"/>
      <c r="K150" s="811"/>
      <c r="L150" s="811"/>
      <c r="M150" s="811"/>
      <c r="N150" s="811"/>
    </row>
    <row r="151" spans="1:14" x14ac:dyDescent="0.3">
      <c r="A151" s="203" t="str">
        <f t="shared" si="7"/>
        <v>Equipo de audio</v>
      </c>
      <c r="B151" s="699"/>
      <c r="C151" s="629">
        <f>+$D29*'7 Sueldos'!$F$20*'3 Recursos físicos'!C91</f>
        <v>0</v>
      </c>
      <c r="D151" s="629">
        <f>+$D29*'7 Sueldos'!$F$39*'3 Recursos físicos'!D91</f>
        <v>0</v>
      </c>
      <c r="E151" s="629">
        <f>+$D29*'7 Sueldos'!$F$58*'3 Recursos físicos'!E91</f>
        <v>0</v>
      </c>
      <c r="F151" s="629">
        <f>+$D29*'7 Sueldos'!$F$77*'3 Recursos físicos'!F91</f>
        <v>0</v>
      </c>
      <c r="G151" s="629">
        <f>+$D29*'7 Sueldos'!$F$96*'3 Recursos físicos'!G91</f>
        <v>0</v>
      </c>
      <c r="H151" s="629">
        <f>+$D29*'7 Sueldos'!$F$115*'3 Recursos físicos'!H91</f>
        <v>0</v>
      </c>
      <c r="I151" s="137">
        <f>+$D29*'7 Sueldos'!$F$134*'3 Recursos físicos'!I91</f>
        <v>0</v>
      </c>
      <c r="J151" s="811"/>
      <c r="K151" s="811"/>
      <c r="L151" s="811"/>
      <c r="M151" s="811"/>
      <c r="N151" s="811"/>
    </row>
    <row r="152" spans="1:14" x14ac:dyDescent="0.3">
      <c r="A152" s="203">
        <f t="shared" si="7"/>
        <v>0</v>
      </c>
      <c r="B152" s="699"/>
      <c r="C152" s="629">
        <f>+$D30*'7 Sueldos'!$F$20*'3 Recursos físicos'!C92</f>
        <v>0</v>
      </c>
      <c r="D152" s="629">
        <f>+$D30*'7 Sueldos'!$F$39*'3 Recursos físicos'!D92</f>
        <v>0</v>
      </c>
      <c r="E152" s="629">
        <f>+$D30*'7 Sueldos'!$F$58*'3 Recursos físicos'!E92</f>
        <v>0</v>
      </c>
      <c r="F152" s="629">
        <f>+$D30*'7 Sueldos'!$F$77*'3 Recursos físicos'!F92</f>
        <v>0</v>
      </c>
      <c r="G152" s="629">
        <f>+$D30*'7 Sueldos'!$F$96*'3 Recursos físicos'!G92</f>
        <v>0</v>
      </c>
      <c r="H152" s="629">
        <f>+$D30*'7 Sueldos'!$F$115*'3 Recursos físicos'!H92</f>
        <v>0</v>
      </c>
      <c r="I152" s="137">
        <f>+$D30*'7 Sueldos'!$F$134*'3 Recursos físicos'!I92</f>
        <v>0</v>
      </c>
      <c r="J152" s="811"/>
      <c r="K152" s="811"/>
      <c r="L152" s="811"/>
      <c r="M152" s="811"/>
      <c r="N152" s="811"/>
    </row>
    <row r="153" spans="1:14" x14ac:dyDescent="0.3">
      <c r="A153" s="203">
        <f t="shared" si="7"/>
        <v>0</v>
      </c>
      <c r="B153" s="699"/>
      <c r="C153" s="629">
        <f>+$D31*'7 Sueldos'!$F$20*'3 Recursos físicos'!C93</f>
        <v>0</v>
      </c>
      <c r="D153" s="629">
        <f>+$D31*'7 Sueldos'!$F$39*'3 Recursos físicos'!D93</f>
        <v>0</v>
      </c>
      <c r="E153" s="629">
        <f>+$D31*'7 Sueldos'!$F$58*'3 Recursos físicos'!E93</f>
        <v>0</v>
      </c>
      <c r="F153" s="629">
        <f>+$D31*'7 Sueldos'!$F$77*'3 Recursos físicos'!F93</f>
        <v>0</v>
      </c>
      <c r="G153" s="629">
        <f>+$D31*'7 Sueldos'!$F$96*'3 Recursos físicos'!G93</f>
        <v>0</v>
      </c>
      <c r="H153" s="629">
        <f>+$D31*'7 Sueldos'!$F$115*'3 Recursos físicos'!H93</f>
        <v>0</v>
      </c>
      <c r="I153" s="137">
        <f>+$D31*'7 Sueldos'!$F$134*'3 Recursos físicos'!I93</f>
        <v>0</v>
      </c>
      <c r="J153" s="811"/>
      <c r="K153" s="811"/>
      <c r="L153" s="811"/>
      <c r="M153" s="811"/>
      <c r="N153" s="811"/>
    </row>
    <row r="154" spans="1:14" x14ac:dyDescent="0.3">
      <c r="A154" s="203">
        <f t="shared" si="7"/>
        <v>0</v>
      </c>
      <c r="B154" s="699"/>
      <c r="C154" s="629">
        <f>+$D32*'7 Sueldos'!$F$20*'3 Recursos físicos'!C94</f>
        <v>0</v>
      </c>
      <c r="D154" s="629">
        <f>+$D32*'7 Sueldos'!$F$39*'3 Recursos físicos'!D94</f>
        <v>0</v>
      </c>
      <c r="E154" s="629">
        <f>+$D32*'7 Sueldos'!$F$58*'3 Recursos físicos'!E94</f>
        <v>0</v>
      </c>
      <c r="F154" s="629">
        <f>+$D32*'7 Sueldos'!$F$77*'3 Recursos físicos'!F94</f>
        <v>0</v>
      </c>
      <c r="G154" s="629">
        <f>+$D32*'7 Sueldos'!$F$96*'3 Recursos físicos'!G94</f>
        <v>0</v>
      </c>
      <c r="H154" s="629">
        <f>+$D32*'7 Sueldos'!$F$115*'3 Recursos físicos'!H94</f>
        <v>0</v>
      </c>
      <c r="I154" s="137">
        <f>+$D32*'7 Sueldos'!$F$134*'3 Recursos físicos'!I94</f>
        <v>0</v>
      </c>
      <c r="J154" s="811"/>
      <c r="K154" s="811"/>
      <c r="L154" s="811"/>
      <c r="M154" s="811"/>
      <c r="N154" s="811"/>
    </row>
    <row r="155" spans="1:14" x14ac:dyDescent="0.3">
      <c r="A155" s="203">
        <f t="shared" si="7"/>
        <v>0</v>
      </c>
      <c r="B155" s="699"/>
      <c r="C155" s="629">
        <f>+$D33*'7 Sueldos'!$F$20*'3 Recursos físicos'!C95</f>
        <v>0</v>
      </c>
      <c r="D155" s="629">
        <f>+$D33*'7 Sueldos'!$F$39*'3 Recursos físicos'!D95</f>
        <v>0</v>
      </c>
      <c r="E155" s="629">
        <f>+$D33*'7 Sueldos'!$F$58*'3 Recursos físicos'!E95</f>
        <v>0</v>
      </c>
      <c r="F155" s="629">
        <f>+$D33*'7 Sueldos'!$F$77*'3 Recursos físicos'!F95</f>
        <v>0</v>
      </c>
      <c r="G155" s="629">
        <f>+$D33*'7 Sueldos'!$F$96*'3 Recursos físicos'!G95</f>
        <v>0</v>
      </c>
      <c r="H155" s="629">
        <f>+$D33*'7 Sueldos'!$F$115*'3 Recursos físicos'!H95</f>
        <v>0</v>
      </c>
      <c r="I155" s="137">
        <f>+$D33*'7 Sueldos'!$F$134*'3 Recursos físicos'!I95</f>
        <v>0</v>
      </c>
      <c r="J155" s="811"/>
      <c r="K155" s="811"/>
      <c r="L155" s="811"/>
      <c r="M155" s="811"/>
      <c r="N155" s="811"/>
    </row>
    <row r="156" spans="1:14" x14ac:dyDescent="0.3">
      <c r="A156" s="203">
        <f t="shared" si="7"/>
        <v>0</v>
      </c>
      <c r="B156" s="699"/>
      <c r="C156" s="629">
        <f>+$D34*'7 Sueldos'!$F$20*'3 Recursos físicos'!C96</f>
        <v>0</v>
      </c>
      <c r="D156" s="629">
        <f>+$D34*'7 Sueldos'!$F$39*'3 Recursos físicos'!D96</f>
        <v>0</v>
      </c>
      <c r="E156" s="629">
        <f>+$D34*'7 Sueldos'!$F$58*'3 Recursos físicos'!E96</f>
        <v>0</v>
      </c>
      <c r="F156" s="629">
        <f>+$D34*'7 Sueldos'!$F$77*'3 Recursos físicos'!F96</f>
        <v>0</v>
      </c>
      <c r="G156" s="629">
        <f>+$D34*'7 Sueldos'!$F$96*'3 Recursos físicos'!G96</f>
        <v>0</v>
      </c>
      <c r="H156" s="629">
        <f>+$D34*'7 Sueldos'!$F$115*'3 Recursos físicos'!H96</f>
        <v>0</v>
      </c>
      <c r="I156" s="137">
        <f>+$D34*'7 Sueldos'!$F$134*'3 Recursos físicos'!I96</f>
        <v>0</v>
      </c>
      <c r="J156" s="811"/>
      <c r="K156" s="811"/>
      <c r="L156" s="811"/>
      <c r="M156" s="811"/>
      <c r="N156" s="811"/>
    </row>
    <row r="157" spans="1:14" x14ac:dyDescent="0.3">
      <c r="A157" s="203">
        <f t="shared" si="7"/>
        <v>0</v>
      </c>
      <c r="B157" s="699"/>
      <c r="C157" s="629">
        <f>+$D35*'7 Sueldos'!$F$20*'3 Recursos físicos'!C97</f>
        <v>0</v>
      </c>
      <c r="D157" s="629">
        <f>+$D35*'7 Sueldos'!$F$39*'3 Recursos físicos'!D97</f>
        <v>0</v>
      </c>
      <c r="E157" s="629">
        <f>+$D35*'7 Sueldos'!$F$58*'3 Recursos físicos'!E97</f>
        <v>0</v>
      </c>
      <c r="F157" s="629">
        <f>+$D35*'7 Sueldos'!$F$77*'3 Recursos físicos'!F97</f>
        <v>0</v>
      </c>
      <c r="G157" s="629">
        <f>+$D35*'7 Sueldos'!$F$96*'3 Recursos físicos'!G97</f>
        <v>0</v>
      </c>
      <c r="H157" s="629">
        <f>+$D35*'7 Sueldos'!$F$115*'3 Recursos físicos'!H97</f>
        <v>0</v>
      </c>
      <c r="I157" s="137">
        <f>+$D35*'7 Sueldos'!$F$134*'3 Recursos físicos'!I97</f>
        <v>0</v>
      </c>
      <c r="J157" s="811"/>
      <c r="K157" s="811"/>
      <c r="L157" s="811"/>
      <c r="M157" s="811"/>
      <c r="N157" s="811"/>
    </row>
    <row r="158" spans="1:14" x14ac:dyDescent="0.3">
      <c r="A158" s="203">
        <f t="shared" ref="A158:A182" si="10">+A98</f>
        <v>0</v>
      </c>
      <c r="B158" s="699"/>
      <c r="C158" s="629">
        <f>+$D36*'7 Sueldos'!$F$20*'3 Recursos físicos'!C98</f>
        <v>0</v>
      </c>
      <c r="D158" s="629">
        <f>+$D36*'7 Sueldos'!$F$39*'3 Recursos físicos'!D98</f>
        <v>0</v>
      </c>
      <c r="E158" s="629">
        <f>+$D36*'7 Sueldos'!$F$58*'3 Recursos físicos'!E98</f>
        <v>0</v>
      </c>
      <c r="F158" s="629">
        <f>+$D36*'7 Sueldos'!$F$77*'3 Recursos físicos'!F98</f>
        <v>0</v>
      </c>
      <c r="G158" s="629">
        <f>+$D36*'7 Sueldos'!$F$96*'3 Recursos físicos'!G98</f>
        <v>0</v>
      </c>
      <c r="H158" s="629">
        <f>+$D36*'7 Sueldos'!$F$115*'3 Recursos físicos'!H98</f>
        <v>0</v>
      </c>
      <c r="I158" s="137">
        <f>+$D36*'7 Sueldos'!$F$134*'3 Recursos físicos'!I98</f>
        <v>0</v>
      </c>
      <c r="J158" s="811"/>
      <c r="K158" s="811"/>
      <c r="L158" s="811"/>
      <c r="M158" s="811"/>
      <c r="N158" s="811"/>
    </row>
    <row r="159" spans="1:14" x14ac:dyDescent="0.3">
      <c r="A159" s="203">
        <f t="shared" si="10"/>
        <v>0</v>
      </c>
      <c r="B159" s="699"/>
      <c r="C159" s="629">
        <f>+$D37*'7 Sueldos'!$F$20*'3 Recursos físicos'!C99</f>
        <v>0</v>
      </c>
      <c r="D159" s="629">
        <f>+$D37*'7 Sueldos'!$F$39*'3 Recursos físicos'!D99</f>
        <v>0</v>
      </c>
      <c r="E159" s="629">
        <f>+$D37*'7 Sueldos'!$F$58*'3 Recursos físicos'!E99</f>
        <v>0</v>
      </c>
      <c r="F159" s="629">
        <f>+$D37*'7 Sueldos'!$F$77*'3 Recursos físicos'!F99</f>
        <v>0</v>
      </c>
      <c r="G159" s="629">
        <f>+$D37*'7 Sueldos'!$F$96*'3 Recursos físicos'!G99</f>
        <v>0</v>
      </c>
      <c r="H159" s="629">
        <f>+$D37*'7 Sueldos'!$F$115*'3 Recursos físicos'!H99</f>
        <v>0</v>
      </c>
      <c r="I159" s="137">
        <f>+$D37*'7 Sueldos'!$F$134*'3 Recursos físicos'!I99</f>
        <v>0</v>
      </c>
      <c r="J159" s="811"/>
      <c r="K159" s="811"/>
      <c r="L159" s="811"/>
      <c r="M159" s="811"/>
      <c r="N159" s="811"/>
    </row>
    <row r="160" spans="1:14" x14ac:dyDescent="0.3">
      <c r="A160" s="203">
        <f t="shared" si="10"/>
        <v>0</v>
      </c>
      <c r="B160" s="699"/>
      <c r="C160" s="629">
        <f>+$D38*'7 Sueldos'!$F$20*'3 Recursos físicos'!C100</f>
        <v>0</v>
      </c>
      <c r="D160" s="629">
        <f>+$D38*'7 Sueldos'!$F$39*'3 Recursos físicos'!D100</f>
        <v>0</v>
      </c>
      <c r="E160" s="629">
        <f>+$D38*'7 Sueldos'!$F$58*'3 Recursos físicos'!E100</f>
        <v>0</v>
      </c>
      <c r="F160" s="629">
        <f>+$D38*'7 Sueldos'!$F$77*'3 Recursos físicos'!F100</f>
        <v>0</v>
      </c>
      <c r="G160" s="629">
        <f>+$D38*'7 Sueldos'!$F$96*'3 Recursos físicos'!G100</f>
        <v>0</v>
      </c>
      <c r="H160" s="629">
        <f>+$D38*'7 Sueldos'!$F$115*'3 Recursos físicos'!H100</f>
        <v>0</v>
      </c>
      <c r="I160" s="137">
        <f>+$D38*'7 Sueldos'!$F$134*'3 Recursos físicos'!I100</f>
        <v>0</v>
      </c>
      <c r="J160" s="811"/>
      <c r="K160" s="811"/>
      <c r="L160" s="811"/>
      <c r="M160" s="811"/>
      <c r="N160" s="811"/>
    </row>
    <row r="161" spans="1:14" ht="10.8" thickBot="1" x14ac:dyDescent="0.35">
      <c r="A161" s="203">
        <f t="shared" si="10"/>
        <v>0</v>
      </c>
      <c r="B161" s="699">
        <f>+$D25*'7 Sueldos'!$F$20*'3 Recursos físicos'!B89*E27</f>
        <v>0</v>
      </c>
      <c r="C161" s="629">
        <f>+$D39*'7 Sueldos'!$F$20*'3 Recursos físicos'!C101</f>
        <v>0</v>
      </c>
      <c r="D161" s="629">
        <f>+$D39*'7 Sueldos'!$F$39*'3 Recursos físicos'!D101</f>
        <v>0</v>
      </c>
      <c r="E161" s="629">
        <f>+$D39*'7 Sueldos'!$F$58*'3 Recursos físicos'!E101</f>
        <v>0</v>
      </c>
      <c r="F161" s="629">
        <f>+$D39*'7 Sueldos'!$F$77*'3 Recursos físicos'!F101</f>
        <v>0</v>
      </c>
      <c r="G161" s="629">
        <f>+$D39*'7 Sueldos'!$F$96*'3 Recursos físicos'!G101</f>
        <v>0</v>
      </c>
      <c r="H161" s="629">
        <f>+$D39*'7 Sueldos'!$F$115*'3 Recursos físicos'!H101</f>
        <v>0</v>
      </c>
      <c r="I161" s="884">
        <f>+$D39*'7 Sueldos'!$F$134*'3 Recursos físicos'!I101</f>
        <v>0</v>
      </c>
      <c r="J161" s="811"/>
      <c r="K161" s="811"/>
      <c r="L161" s="811"/>
      <c r="M161" s="811"/>
      <c r="N161" s="811"/>
    </row>
    <row r="162" spans="1:14" ht="21.75" customHeight="1" thickBot="1" x14ac:dyDescent="0.35">
      <c r="A162" s="630" t="str">
        <f t="shared" si="10"/>
        <v>Equipo de Computo</v>
      </c>
      <c r="B162" s="701">
        <f>SUM(B163:B177)</f>
        <v>0</v>
      </c>
      <c r="C162" s="632">
        <f t="shared" ref="C162:I162" si="11">SUM(C163:C177)</f>
        <v>0</v>
      </c>
      <c r="D162" s="632">
        <f t="shared" si="11"/>
        <v>0</v>
      </c>
      <c r="E162" s="632">
        <f t="shared" si="11"/>
        <v>0</v>
      </c>
      <c r="F162" s="632">
        <f t="shared" si="11"/>
        <v>0</v>
      </c>
      <c r="G162" s="632">
        <f t="shared" si="11"/>
        <v>0</v>
      </c>
      <c r="H162" s="632">
        <f t="shared" si="11"/>
        <v>0</v>
      </c>
      <c r="I162" s="883">
        <f t="shared" si="11"/>
        <v>0</v>
      </c>
      <c r="J162" s="878"/>
      <c r="K162" s="878"/>
      <c r="L162" s="878"/>
      <c r="M162" s="878"/>
      <c r="N162" s="878"/>
    </row>
    <row r="163" spans="1:14" x14ac:dyDescent="0.3">
      <c r="A163" s="203" t="str">
        <f t="shared" si="10"/>
        <v>Pizarra digital</v>
      </c>
      <c r="B163" s="702">
        <f>+$D41*'7 Sueldos'!$F$20*'3 Recursos físicos'!B103*E41</f>
        <v>0</v>
      </c>
      <c r="C163" s="629">
        <f>+$D41*'7 Sueldos'!$F$20*'3 Recursos físicos'!C103</f>
        <v>0</v>
      </c>
      <c r="D163" s="629">
        <f>+$D41*'7 Sueldos'!$F$39*'3 Recursos físicos'!D103</f>
        <v>0</v>
      </c>
      <c r="E163" s="629">
        <f>+$D41*'7 Sueldos'!$F$58*'3 Recursos físicos'!E103</f>
        <v>0</v>
      </c>
      <c r="F163" s="629">
        <f>+$D41*'7 Sueldos'!$F$77*'3 Recursos físicos'!F103</f>
        <v>0</v>
      </c>
      <c r="G163" s="629">
        <f>+$D41*'7 Sueldos'!$F$96*'3 Recursos físicos'!G103</f>
        <v>0</v>
      </c>
      <c r="H163" s="629">
        <f>+$D41*'7 Sueldos'!$F$115*'3 Recursos físicos'!H103</f>
        <v>0</v>
      </c>
      <c r="I163" s="221">
        <f>+$D41*'7 Sueldos'!$F$134*'3 Recursos físicos'!I103</f>
        <v>0</v>
      </c>
      <c r="J163" s="811"/>
      <c r="K163" s="811"/>
      <c r="L163" s="811"/>
      <c r="M163" s="811"/>
      <c r="N163" s="811"/>
    </row>
    <row r="164" spans="1:14" x14ac:dyDescent="0.3">
      <c r="A164" s="121" t="str">
        <f t="shared" si="10"/>
        <v xml:space="preserve">Perifericos </v>
      </c>
      <c r="B164" s="699">
        <f>+$D42*'7 Sueldos'!$F$20*'3 Recursos físicos'!B104*E42</f>
        <v>0</v>
      </c>
      <c r="C164" s="629">
        <f>+$D42*'7 Sueldos'!$F$20*'3 Recursos físicos'!C104</f>
        <v>0</v>
      </c>
      <c r="D164" s="629">
        <f>+$D42*'7 Sueldos'!$F$39*'3 Recursos físicos'!D104</f>
        <v>0</v>
      </c>
      <c r="E164" s="629">
        <f>+$D42*'7 Sueldos'!$F$58*'3 Recursos físicos'!E104</f>
        <v>0</v>
      </c>
      <c r="F164" s="629">
        <f>+$D42*'7 Sueldos'!$F$77*'3 Recursos físicos'!F104</f>
        <v>0</v>
      </c>
      <c r="G164" s="629">
        <f>+$D42*'7 Sueldos'!$F$96*'3 Recursos físicos'!G104</f>
        <v>0</v>
      </c>
      <c r="H164" s="629">
        <f>+$D42*'7 Sueldos'!$F$115*'3 Recursos físicos'!H104</f>
        <v>0</v>
      </c>
      <c r="I164" s="205">
        <f>+$D42*'7 Sueldos'!$F$134*'3 Recursos físicos'!I104</f>
        <v>0</v>
      </c>
      <c r="J164" s="811"/>
      <c r="K164" s="811"/>
      <c r="L164" s="811"/>
      <c r="M164" s="811"/>
      <c r="N164" s="811"/>
    </row>
    <row r="165" spans="1:14" x14ac:dyDescent="0.3">
      <c r="A165" s="121" t="str">
        <f t="shared" si="10"/>
        <v xml:space="preserve">Proyectores </v>
      </c>
      <c r="B165" s="699">
        <f>+$D43*'7 Sueldos'!$F$20*'3 Recursos físicos'!B105*E43</f>
        <v>0</v>
      </c>
      <c r="C165" s="629">
        <f>+$D43*'7 Sueldos'!$F$20*'3 Recursos físicos'!C105</f>
        <v>0</v>
      </c>
      <c r="D165" s="629">
        <f>+$D43*'7 Sueldos'!$F$39*'3 Recursos físicos'!D105</f>
        <v>0</v>
      </c>
      <c r="E165" s="629">
        <f>+$D43*'7 Sueldos'!$F$58*'3 Recursos físicos'!E105</f>
        <v>0</v>
      </c>
      <c r="F165" s="629">
        <f>+$D43*'7 Sueldos'!$F$77*'3 Recursos físicos'!F105</f>
        <v>0</v>
      </c>
      <c r="G165" s="629">
        <f>+$D43*'7 Sueldos'!$F$96*'3 Recursos físicos'!G105</f>
        <v>0</v>
      </c>
      <c r="H165" s="629">
        <f>+$D43*'7 Sueldos'!$F$115*'3 Recursos físicos'!H105</f>
        <v>0</v>
      </c>
      <c r="I165" s="205">
        <f>+$D43*'7 Sueldos'!$F$134*'3 Recursos físicos'!I105</f>
        <v>0</v>
      </c>
      <c r="J165" s="811"/>
      <c r="K165" s="811"/>
      <c r="L165" s="811"/>
      <c r="M165" s="811"/>
      <c r="N165" s="811"/>
    </row>
    <row r="166" spans="1:14" x14ac:dyDescent="0.3">
      <c r="A166" s="121" t="str">
        <f t="shared" si="10"/>
        <v xml:space="preserve">Computador escritorio </v>
      </c>
      <c r="B166" s="699">
        <f>+$D44*'7 Sueldos'!$F$20*'3 Recursos físicos'!B106*E44</f>
        <v>0</v>
      </c>
      <c r="C166" s="629">
        <f>+$D44*'7 Sueldos'!$F$20*'3 Recursos físicos'!C106</f>
        <v>0</v>
      </c>
      <c r="D166" s="629">
        <f>+$D44*'7 Sueldos'!$F$39*'3 Recursos físicos'!D106</f>
        <v>0</v>
      </c>
      <c r="E166" s="629">
        <f>+$D44*'7 Sueldos'!$F$58*'3 Recursos físicos'!E106</f>
        <v>0</v>
      </c>
      <c r="F166" s="629">
        <f>+$D44*'7 Sueldos'!$F$77*'3 Recursos físicos'!F106</f>
        <v>0</v>
      </c>
      <c r="G166" s="629">
        <f>+$D44*'7 Sueldos'!$F$96*'3 Recursos físicos'!G106</f>
        <v>0</v>
      </c>
      <c r="H166" s="629">
        <f>+$D44*'7 Sueldos'!$F$115*'3 Recursos físicos'!H106</f>
        <v>0</v>
      </c>
      <c r="I166" s="205">
        <f>+$D44*'7 Sueldos'!$F$134*'3 Recursos físicos'!I106</f>
        <v>0</v>
      </c>
      <c r="J166" s="811"/>
      <c r="K166" s="811"/>
      <c r="L166" s="811"/>
      <c r="M166" s="811"/>
      <c r="N166" s="811"/>
    </row>
    <row r="167" spans="1:14" x14ac:dyDescent="0.3">
      <c r="A167" s="121" t="str">
        <f t="shared" si="10"/>
        <v xml:space="preserve">Software </v>
      </c>
      <c r="B167" s="699">
        <f>+$D45*'7 Sueldos'!$F$20*'3 Recursos físicos'!B107*E45</f>
        <v>0</v>
      </c>
      <c r="C167" s="629">
        <f>+$D45*'7 Sueldos'!$F$20*'3 Recursos físicos'!C107</f>
        <v>0</v>
      </c>
      <c r="D167" s="629">
        <f>+$D45*'7 Sueldos'!$F$39*'3 Recursos físicos'!D107</f>
        <v>0</v>
      </c>
      <c r="E167" s="629">
        <f>+$D45*'7 Sueldos'!$F$58*'3 Recursos físicos'!E107</f>
        <v>0</v>
      </c>
      <c r="F167" s="629">
        <f>+$D45*'7 Sueldos'!$F$77*'3 Recursos físicos'!F107</f>
        <v>0</v>
      </c>
      <c r="G167" s="629">
        <f>+$D45*'7 Sueldos'!$F$96*'3 Recursos físicos'!G107</f>
        <v>0</v>
      </c>
      <c r="H167" s="629">
        <f>+$D45*'7 Sueldos'!$F$115*'3 Recursos físicos'!H107</f>
        <v>0</v>
      </c>
      <c r="I167" s="205">
        <f>+$D45*'7 Sueldos'!$F$134*'3 Recursos físicos'!I107</f>
        <v>0</v>
      </c>
      <c r="J167" s="811"/>
      <c r="K167" s="811"/>
      <c r="L167" s="811"/>
      <c r="M167" s="811"/>
      <c r="N167" s="811"/>
    </row>
    <row r="168" spans="1:14" x14ac:dyDescent="0.3">
      <c r="A168" s="121" t="str">
        <f t="shared" si="10"/>
        <v xml:space="preserve">Computador portátil </v>
      </c>
      <c r="B168" s="699">
        <f>+$D46*'7 Sueldos'!$F$20*'3 Recursos físicos'!B108*E46</f>
        <v>0</v>
      </c>
      <c r="C168" s="629">
        <f>+$D46*'7 Sueldos'!$F$20*'3 Recursos físicos'!C108</f>
        <v>0</v>
      </c>
      <c r="D168" s="629">
        <f>+$D46*'7 Sueldos'!$F$39*'3 Recursos físicos'!D108</f>
        <v>0</v>
      </c>
      <c r="E168" s="629">
        <f>+$D46*'7 Sueldos'!$F$58*'3 Recursos físicos'!E108</f>
        <v>0</v>
      </c>
      <c r="F168" s="629">
        <f>+$D46*'7 Sueldos'!$F$77*'3 Recursos físicos'!F108</f>
        <v>0</v>
      </c>
      <c r="G168" s="629">
        <f>+$D46*'7 Sueldos'!$F$96*'3 Recursos físicos'!G108</f>
        <v>0</v>
      </c>
      <c r="H168" s="629">
        <f>+$D46*'7 Sueldos'!$F$115*'3 Recursos físicos'!H108</f>
        <v>0</v>
      </c>
      <c r="I168" s="205">
        <f>+$D46*'7 Sueldos'!$F$134*'3 Recursos físicos'!I108</f>
        <v>0</v>
      </c>
      <c r="J168" s="811"/>
      <c r="K168" s="811"/>
      <c r="L168" s="811"/>
      <c r="M168" s="811"/>
      <c r="N168" s="811"/>
    </row>
    <row r="169" spans="1:14" x14ac:dyDescent="0.3">
      <c r="A169" s="121" t="str">
        <f t="shared" si="10"/>
        <v xml:space="preserve">Switch </v>
      </c>
      <c r="B169" s="699">
        <f>+$D47*'7 Sueldos'!$F$20*'3 Recursos físicos'!B109*E47</f>
        <v>0</v>
      </c>
      <c r="C169" s="629">
        <f>+$D47*'7 Sueldos'!$F$20*'3 Recursos físicos'!C109</f>
        <v>0</v>
      </c>
      <c r="D169" s="629">
        <f>+$D47*'7 Sueldos'!$F$39*'3 Recursos físicos'!D109</f>
        <v>0</v>
      </c>
      <c r="E169" s="629">
        <f>+$D47*'7 Sueldos'!$F$58*'3 Recursos físicos'!E109</f>
        <v>0</v>
      </c>
      <c r="F169" s="629">
        <f>+$D47*'7 Sueldos'!$F$77*'3 Recursos físicos'!F109</f>
        <v>0</v>
      </c>
      <c r="G169" s="629">
        <f>+$D47*'7 Sueldos'!$F$96*'3 Recursos físicos'!G109</f>
        <v>0</v>
      </c>
      <c r="H169" s="629">
        <f>+$D47*'7 Sueldos'!$F$115*'3 Recursos físicos'!H109</f>
        <v>0</v>
      </c>
      <c r="I169" s="205">
        <f>+$D47*'7 Sueldos'!$F$134*'3 Recursos físicos'!I109</f>
        <v>0</v>
      </c>
      <c r="J169" s="811"/>
      <c r="K169" s="811"/>
      <c r="L169" s="811"/>
      <c r="M169" s="811"/>
      <c r="N169" s="811"/>
    </row>
    <row r="170" spans="1:14" x14ac:dyDescent="0.3">
      <c r="A170" s="121" t="str">
        <f t="shared" si="10"/>
        <v>Software (mantenimiento)</v>
      </c>
      <c r="B170" s="699">
        <f>+$D48*'7 Sueldos'!$F$20*'3 Recursos físicos'!B110*E48</f>
        <v>0</v>
      </c>
      <c r="C170" s="629">
        <f>+$D48*'7 Sueldos'!$F$20*'3 Recursos físicos'!C110</f>
        <v>0</v>
      </c>
      <c r="D170" s="629">
        <f>+$D48*'7 Sueldos'!$F$39*'3 Recursos físicos'!D110</f>
        <v>0</v>
      </c>
      <c r="E170" s="629">
        <f>+$D48*'7 Sueldos'!$F$58*'3 Recursos físicos'!E110</f>
        <v>0</v>
      </c>
      <c r="F170" s="629">
        <f>+$D48*'7 Sueldos'!$F$77*'3 Recursos físicos'!F110</f>
        <v>0</v>
      </c>
      <c r="G170" s="629">
        <f>+$D48*'7 Sueldos'!$F$96*'3 Recursos físicos'!G110</f>
        <v>0</v>
      </c>
      <c r="H170" s="629">
        <f>+$D48*'7 Sueldos'!$F$115*'3 Recursos físicos'!H110</f>
        <v>0</v>
      </c>
      <c r="I170" s="205">
        <f>+$D48*'7 Sueldos'!$F$134*'3 Recursos físicos'!I110</f>
        <v>0</v>
      </c>
      <c r="J170" s="811"/>
      <c r="K170" s="811"/>
      <c r="L170" s="811"/>
      <c r="M170" s="811"/>
      <c r="N170" s="811"/>
    </row>
    <row r="171" spans="1:14" x14ac:dyDescent="0.3">
      <c r="A171" s="121">
        <f t="shared" si="10"/>
        <v>0</v>
      </c>
      <c r="B171" s="699">
        <f>+$D49*'7 Sueldos'!$F$20*'3 Recursos físicos'!B111*E49</f>
        <v>0</v>
      </c>
      <c r="C171" s="629">
        <f>+$D49*'7 Sueldos'!$F$20*'3 Recursos físicos'!C111</f>
        <v>0</v>
      </c>
      <c r="D171" s="629">
        <f>+$D49*'7 Sueldos'!$F$39*'3 Recursos físicos'!D111</f>
        <v>0</v>
      </c>
      <c r="E171" s="629">
        <f>+$D49*'7 Sueldos'!$F$58*'3 Recursos físicos'!E111</f>
        <v>0</v>
      </c>
      <c r="F171" s="629">
        <f>+$D49*'7 Sueldos'!$F$77*'3 Recursos físicos'!F111</f>
        <v>0</v>
      </c>
      <c r="G171" s="629">
        <f>+$D49*'7 Sueldos'!$F$96*'3 Recursos físicos'!G111</f>
        <v>0</v>
      </c>
      <c r="H171" s="629">
        <f>+$D49*'7 Sueldos'!$F$115*'3 Recursos físicos'!H111</f>
        <v>0</v>
      </c>
      <c r="I171" s="205">
        <f>+$D49*'7 Sueldos'!$F$134*'3 Recursos físicos'!I111</f>
        <v>0</v>
      </c>
      <c r="J171" s="811"/>
      <c r="K171" s="811"/>
      <c r="L171" s="811"/>
      <c r="M171" s="811"/>
      <c r="N171" s="811"/>
    </row>
    <row r="172" spans="1:14" x14ac:dyDescent="0.3">
      <c r="A172" s="121">
        <f t="shared" si="10"/>
        <v>0</v>
      </c>
      <c r="B172" s="699">
        <f>+$D50*'7 Sueldos'!$F$20*'3 Recursos físicos'!B112*E50</f>
        <v>0</v>
      </c>
      <c r="C172" s="629">
        <f>+$D50*'7 Sueldos'!$F$20*'3 Recursos físicos'!C112</f>
        <v>0</v>
      </c>
      <c r="D172" s="629">
        <f>+$D50*'7 Sueldos'!$F$39*'3 Recursos físicos'!D112</f>
        <v>0</v>
      </c>
      <c r="E172" s="629">
        <f>+$D50*'7 Sueldos'!$F$58*'3 Recursos físicos'!E112</f>
        <v>0</v>
      </c>
      <c r="F172" s="629">
        <f>+$D50*'7 Sueldos'!$F$77*'3 Recursos físicos'!F112</f>
        <v>0</v>
      </c>
      <c r="G172" s="629">
        <f>+$D50*'7 Sueldos'!$F$96*'3 Recursos físicos'!G112</f>
        <v>0</v>
      </c>
      <c r="H172" s="629">
        <f>+$D50*'7 Sueldos'!$F$115*'3 Recursos físicos'!H112</f>
        <v>0</v>
      </c>
      <c r="I172" s="205">
        <f>+$D50*'7 Sueldos'!$F$134*'3 Recursos físicos'!I112</f>
        <v>0</v>
      </c>
      <c r="J172" s="811"/>
      <c r="K172" s="811"/>
      <c r="L172" s="811"/>
      <c r="M172" s="811"/>
      <c r="N172" s="811"/>
    </row>
    <row r="173" spans="1:14" x14ac:dyDescent="0.3">
      <c r="A173" s="121">
        <f t="shared" si="10"/>
        <v>0</v>
      </c>
      <c r="B173" s="699">
        <f>+$D51*'7 Sueldos'!$F$20*'3 Recursos físicos'!B113*E51</f>
        <v>0</v>
      </c>
      <c r="C173" s="629">
        <f>+$D51*'7 Sueldos'!$F$20*'3 Recursos físicos'!C113</f>
        <v>0</v>
      </c>
      <c r="D173" s="629">
        <f>+$D51*'7 Sueldos'!$F$39*'3 Recursos físicos'!D113</f>
        <v>0</v>
      </c>
      <c r="E173" s="629">
        <f>+$D51*'7 Sueldos'!$F$58*'3 Recursos físicos'!E113</f>
        <v>0</v>
      </c>
      <c r="F173" s="629">
        <f>+$D51*'7 Sueldos'!$F$77*'3 Recursos físicos'!F113</f>
        <v>0</v>
      </c>
      <c r="G173" s="629">
        <f>+$D51*'7 Sueldos'!$F$96*'3 Recursos físicos'!G113</f>
        <v>0</v>
      </c>
      <c r="H173" s="629">
        <f>+$D51*'7 Sueldos'!$F$115*'3 Recursos físicos'!H113</f>
        <v>0</v>
      </c>
      <c r="I173" s="205">
        <f>+$D51*'7 Sueldos'!$F$134*'3 Recursos físicos'!I113</f>
        <v>0</v>
      </c>
      <c r="J173" s="811"/>
      <c r="K173" s="811"/>
      <c r="L173" s="811"/>
      <c r="M173" s="811"/>
      <c r="N173" s="811"/>
    </row>
    <row r="174" spans="1:14" x14ac:dyDescent="0.3">
      <c r="A174" s="121">
        <f t="shared" si="10"/>
        <v>0</v>
      </c>
      <c r="B174" s="699">
        <f>+$D52*'7 Sueldos'!$F$20*'3 Recursos físicos'!B114*E52</f>
        <v>0</v>
      </c>
      <c r="C174" s="629">
        <f>+$D52*'7 Sueldos'!$F$20*'3 Recursos físicos'!C114</f>
        <v>0</v>
      </c>
      <c r="D174" s="629">
        <f>+$D52*'7 Sueldos'!$F$39*'3 Recursos físicos'!D114</f>
        <v>0</v>
      </c>
      <c r="E174" s="629">
        <f>+$D52*'7 Sueldos'!$F$58*'3 Recursos físicos'!E114</f>
        <v>0</v>
      </c>
      <c r="F174" s="629">
        <f>+$D52*'7 Sueldos'!$F$77*'3 Recursos físicos'!F114</f>
        <v>0</v>
      </c>
      <c r="G174" s="629">
        <f>+$D52*'7 Sueldos'!$F$96*'3 Recursos físicos'!G114</f>
        <v>0</v>
      </c>
      <c r="H174" s="629">
        <f>+$D52*'7 Sueldos'!$F$115*'3 Recursos físicos'!H114</f>
        <v>0</v>
      </c>
      <c r="I174" s="205">
        <f>+$D52*'7 Sueldos'!$F$134*'3 Recursos físicos'!I114</f>
        <v>0</v>
      </c>
      <c r="J174" s="811"/>
      <c r="K174" s="811"/>
      <c r="L174" s="811"/>
      <c r="M174" s="811"/>
      <c r="N174" s="811"/>
    </row>
    <row r="175" spans="1:14" x14ac:dyDescent="0.3">
      <c r="A175" s="121">
        <f t="shared" si="10"/>
        <v>0</v>
      </c>
      <c r="B175" s="699">
        <f>+$D53*'7 Sueldos'!$F$20*'3 Recursos físicos'!B115*E53</f>
        <v>0</v>
      </c>
      <c r="C175" s="629">
        <f>+$D53*'7 Sueldos'!$F$20*'3 Recursos físicos'!C115</f>
        <v>0</v>
      </c>
      <c r="D175" s="629">
        <f>+$D53*'7 Sueldos'!$F$39*'3 Recursos físicos'!D115</f>
        <v>0</v>
      </c>
      <c r="E175" s="629">
        <f>+$D53*'7 Sueldos'!$F$58*'3 Recursos físicos'!E115</f>
        <v>0</v>
      </c>
      <c r="F175" s="629">
        <f>+$D53*'7 Sueldos'!$F$77*'3 Recursos físicos'!F115</f>
        <v>0</v>
      </c>
      <c r="G175" s="629">
        <f>+$D53*'7 Sueldos'!$F$96*'3 Recursos físicos'!G115</f>
        <v>0</v>
      </c>
      <c r="H175" s="629">
        <f>+$D53*'7 Sueldos'!$F$115*'3 Recursos físicos'!H115</f>
        <v>0</v>
      </c>
      <c r="I175" s="205">
        <f>+$D53*'7 Sueldos'!$F$134*'3 Recursos físicos'!I115</f>
        <v>0</v>
      </c>
      <c r="J175" s="811"/>
      <c r="K175" s="811"/>
      <c r="L175" s="811"/>
      <c r="M175" s="811"/>
      <c r="N175" s="811"/>
    </row>
    <row r="176" spans="1:14" x14ac:dyDescent="0.3">
      <c r="A176" s="121">
        <f t="shared" si="10"/>
        <v>0</v>
      </c>
      <c r="B176" s="699">
        <f>+$D54*'7 Sueldos'!$F$20*'3 Recursos físicos'!B116*E54</f>
        <v>0</v>
      </c>
      <c r="C176" s="629">
        <f>+$D54*'7 Sueldos'!$F$20*'3 Recursos físicos'!C116</f>
        <v>0</v>
      </c>
      <c r="D176" s="629">
        <f>+$D54*'7 Sueldos'!$F$39*'3 Recursos físicos'!D116</f>
        <v>0</v>
      </c>
      <c r="E176" s="629">
        <f>+$D54*'7 Sueldos'!$F$58*'3 Recursos físicos'!E116</f>
        <v>0</v>
      </c>
      <c r="F176" s="629">
        <f>+$D54*'7 Sueldos'!$F$77*'3 Recursos físicos'!F116</f>
        <v>0</v>
      </c>
      <c r="G176" s="629">
        <f>+$D54*'7 Sueldos'!$F$96*'3 Recursos físicos'!G116</f>
        <v>0</v>
      </c>
      <c r="H176" s="629">
        <f>+$D54*'7 Sueldos'!$F$115*'3 Recursos físicos'!H116</f>
        <v>0</v>
      </c>
      <c r="I176" s="205">
        <f>+$D54*'7 Sueldos'!$F$134*'3 Recursos físicos'!I116</f>
        <v>0</v>
      </c>
      <c r="J176" s="811"/>
      <c r="K176" s="811"/>
      <c r="L176" s="811"/>
      <c r="M176" s="811"/>
      <c r="N176" s="811"/>
    </row>
    <row r="177" spans="1:14" ht="10.8" thickBot="1" x14ac:dyDescent="0.35">
      <c r="A177" s="131">
        <f t="shared" si="10"/>
        <v>0</v>
      </c>
      <c r="B177" s="700">
        <f>+$D55*'7 Sueldos'!$F$20*'3 Recursos físicos'!B117*E55</f>
        <v>0</v>
      </c>
      <c r="C177" s="629">
        <f>+$D55*'7 Sueldos'!$F$20*'3 Recursos físicos'!C117</f>
        <v>0</v>
      </c>
      <c r="D177" s="629">
        <f>+$D55*'7 Sueldos'!$F$39*'3 Recursos físicos'!D117</f>
        <v>0</v>
      </c>
      <c r="E177" s="629">
        <f>+$D55*'7 Sueldos'!$F$58*'3 Recursos físicos'!E117</f>
        <v>0</v>
      </c>
      <c r="F177" s="629">
        <f>+$D55*'7 Sueldos'!$F$77*'3 Recursos físicos'!F117</f>
        <v>0</v>
      </c>
      <c r="G177" s="629">
        <f>+$D55*'7 Sueldos'!$F$96*'3 Recursos físicos'!G117</f>
        <v>0</v>
      </c>
      <c r="H177" s="629">
        <f>+$D55*'7 Sueldos'!$F$115*'3 Recursos físicos'!H117</f>
        <v>0</v>
      </c>
      <c r="I177" s="205">
        <f>+$D55*'7 Sueldos'!$F$134*'3 Recursos físicos'!I117</f>
        <v>0</v>
      </c>
      <c r="J177" s="811"/>
      <c r="K177" s="811"/>
      <c r="L177" s="811"/>
      <c r="M177" s="811"/>
      <c r="N177" s="811"/>
    </row>
    <row r="178" spans="1:14" ht="19.5" customHeight="1" thickBot="1" x14ac:dyDescent="0.35">
      <c r="A178" s="630" t="str">
        <f t="shared" si="10"/>
        <v>Equipo de Oficina</v>
      </c>
      <c r="B178" s="703">
        <f t="shared" ref="B178:I178" si="12">SUM(B179:B182)</f>
        <v>0</v>
      </c>
      <c r="C178" s="631">
        <f t="shared" si="12"/>
        <v>0</v>
      </c>
      <c r="D178" s="631">
        <f t="shared" si="12"/>
        <v>0</v>
      </c>
      <c r="E178" s="631">
        <f t="shared" si="12"/>
        <v>0</v>
      </c>
      <c r="F178" s="631">
        <f t="shared" si="12"/>
        <v>0</v>
      </c>
      <c r="G178" s="631">
        <f t="shared" si="12"/>
        <v>0</v>
      </c>
      <c r="H178" s="631">
        <f t="shared" si="12"/>
        <v>0</v>
      </c>
      <c r="I178" s="885">
        <f t="shared" si="12"/>
        <v>0</v>
      </c>
      <c r="J178" s="879"/>
      <c r="K178" s="879"/>
      <c r="L178" s="879"/>
      <c r="M178" s="879"/>
      <c r="N178" s="879"/>
    </row>
    <row r="179" spans="1:14" x14ac:dyDescent="0.3">
      <c r="A179" s="203" t="str">
        <f t="shared" si="10"/>
        <v xml:space="preserve">Teléfono </v>
      </c>
      <c r="B179" s="702">
        <f>+$D57*'7 Sueldos'!$F$20*'3 Recursos físicos'!B119*E57</f>
        <v>0</v>
      </c>
      <c r="C179" s="629">
        <f>+$D57*'7 Sueldos'!$F$20*'3 Recursos físicos'!C119</f>
        <v>0</v>
      </c>
      <c r="D179" s="629">
        <f>+$D57*'7 Sueldos'!$F$39*'3 Recursos físicos'!D119</f>
        <v>0</v>
      </c>
      <c r="E179" s="629">
        <f>+$D57*'7 Sueldos'!$F$58*'3 Recursos físicos'!E119</f>
        <v>0</v>
      </c>
      <c r="F179" s="629">
        <f>+$D57*'7 Sueldos'!$F$77*'3 Recursos físicos'!F119</f>
        <v>0</v>
      </c>
      <c r="G179" s="629">
        <f>+$D57*'7 Sueldos'!$F$96*'3 Recursos físicos'!G119</f>
        <v>0</v>
      </c>
      <c r="H179" s="629">
        <f>+$D57*'7 Sueldos'!$F$115*'3 Recursos físicos'!H119</f>
        <v>0</v>
      </c>
      <c r="I179" s="221">
        <f>+$D57*'7 Sueldos'!$F$134*'3 Recursos físicos'!I119</f>
        <v>0</v>
      </c>
      <c r="J179" s="811"/>
      <c r="K179" s="811"/>
      <c r="L179" s="811"/>
      <c r="M179" s="811"/>
      <c r="N179" s="811"/>
    </row>
    <row r="180" spans="1:14" x14ac:dyDescent="0.3">
      <c r="A180" s="121">
        <f t="shared" si="10"/>
        <v>0</v>
      </c>
      <c r="B180" s="699">
        <f>+$D58*'7 Sueldos'!$F$20*'3 Recursos físicos'!B120*E58</f>
        <v>0</v>
      </c>
      <c r="C180" s="629">
        <f>+$D58*'7 Sueldos'!$F$20*'3 Recursos físicos'!C120</f>
        <v>0</v>
      </c>
      <c r="D180" s="629">
        <f>+$D58*'7 Sueldos'!$F$20*'3 Recursos físicos'!D120</f>
        <v>0</v>
      </c>
      <c r="E180" s="629">
        <f>+$D58*'7 Sueldos'!$F$20*'3 Recursos físicos'!E120</f>
        <v>0</v>
      </c>
      <c r="F180" s="629">
        <f>+$D58*'7 Sueldos'!$F$20*'3 Recursos físicos'!F120</f>
        <v>0</v>
      </c>
      <c r="G180" s="629">
        <f>+$D58*'7 Sueldos'!$F$20*'3 Recursos físicos'!G120</f>
        <v>0</v>
      </c>
      <c r="H180" s="629">
        <f>+$D58*'7 Sueldos'!$F$20*'3 Recursos físicos'!H120</f>
        <v>0</v>
      </c>
      <c r="I180" s="205">
        <f>+$D58*'7 Sueldos'!$F$20*'3 Recursos físicos'!I120</f>
        <v>0</v>
      </c>
      <c r="J180" s="811"/>
      <c r="K180" s="811"/>
      <c r="L180" s="811"/>
      <c r="M180" s="811"/>
      <c r="N180" s="811"/>
    </row>
    <row r="181" spans="1:14" x14ac:dyDescent="0.3">
      <c r="A181" s="121">
        <f t="shared" si="10"/>
        <v>0</v>
      </c>
      <c r="B181" s="699">
        <f>+$D59*'7 Sueldos'!$F$20*'3 Recursos físicos'!B121*E59</f>
        <v>0</v>
      </c>
      <c r="C181" s="629">
        <f>+$D59*'7 Sueldos'!$F$20*'3 Recursos físicos'!C121</f>
        <v>0</v>
      </c>
      <c r="D181" s="629">
        <f>+$D59*'7 Sueldos'!$F$20*'3 Recursos físicos'!D121</f>
        <v>0</v>
      </c>
      <c r="E181" s="629">
        <f>+$D59*'7 Sueldos'!$F$20*'3 Recursos físicos'!E121</f>
        <v>0</v>
      </c>
      <c r="F181" s="629">
        <f>+$D59*'7 Sueldos'!$F$20*'3 Recursos físicos'!F121</f>
        <v>0</v>
      </c>
      <c r="G181" s="629">
        <f>+$D59*'7 Sueldos'!$F$20*'3 Recursos físicos'!G121</f>
        <v>0</v>
      </c>
      <c r="H181" s="629">
        <f>+$D59*'7 Sueldos'!$F$20*'3 Recursos físicos'!H121</f>
        <v>0</v>
      </c>
      <c r="I181" s="205">
        <f>+$D59*'7 Sueldos'!$F$20*'3 Recursos físicos'!I121</f>
        <v>0</v>
      </c>
      <c r="J181" s="811"/>
      <c r="K181" s="811"/>
      <c r="L181" s="811"/>
      <c r="M181" s="811"/>
      <c r="N181" s="811"/>
    </row>
    <row r="182" spans="1:14" ht="10.8" thickBot="1" x14ac:dyDescent="0.35">
      <c r="A182" s="121">
        <f t="shared" si="10"/>
        <v>0</v>
      </c>
      <c r="B182" s="699">
        <f>+$D60*'7 Sueldos'!$F$20*'3 Recursos físicos'!B122*E60</f>
        <v>0</v>
      </c>
      <c r="C182" s="629">
        <f>+$D60*'7 Sueldos'!$F$20*'3 Recursos físicos'!C122</f>
        <v>0</v>
      </c>
      <c r="D182" s="629">
        <f>+$D60*'7 Sueldos'!$F$20*'3 Recursos físicos'!D122</f>
        <v>0</v>
      </c>
      <c r="E182" s="629">
        <f>+$D60*'7 Sueldos'!$F$20*'3 Recursos físicos'!E122</f>
        <v>0</v>
      </c>
      <c r="F182" s="629">
        <f>+$D60*'7 Sueldos'!$F$20*'3 Recursos físicos'!F122</f>
        <v>0</v>
      </c>
      <c r="G182" s="629">
        <f>+$D60*'7 Sueldos'!$F$20*'3 Recursos físicos'!G122</f>
        <v>0</v>
      </c>
      <c r="H182" s="629">
        <f>+$D60*'7 Sueldos'!$F$20*'3 Recursos físicos'!H122</f>
        <v>0</v>
      </c>
      <c r="I182" s="205">
        <f>+$D60*'7 Sueldos'!$F$20*'3 Recursos físicos'!I122</f>
        <v>0</v>
      </c>
      <c r="J182" s="811"/>
      <c r="K182" s="811"/>
      <c r="L182" s="811"/>
      <c r="M182" s="811"/>
      <c r="N182" s="811"/>
    </row>
    <row r="183" spans="1:14" ht="21.75" customHeight="1" thickBot="1" x14ac:dyDescent="0.35">
      <c r="A183" s="859" t="s">
        <v>118</v>
      </c>
      <c r="B183" s="704">
        <f t="shared" ref="B183:I183" si="13">+B126+B144+B162+B178</f>
        <v>0</v>
      </c>
      <c r="C183" s="569">
        <f t="shared" si="13"/>
        <v>717.33519000000001</v>
      </c>
      <c r="D183" s="569">
        <f t="shared" si="13"/>
        <v>26255.55198987</v>
      </c>
      <c r="E183" s="569">
        <f t="shared" si="13"/>
        <v>26668.980495613261</v>
      </c>
      <c r="F183" s="569">
        <f t="shared" si="13"/>
        <v>1465.6186005054712</v>
      </c>
      <c r="G183" s="569">
        <f t="shared" si="13"/>
        <v>1845.3114212325336</v>
      </c>
      <c r="H183" s="569">
        <f t="shared" si="13"/>
        <v>1915.2110898801811</v>
      </c>
      <c r="I183" s="886">
        <f t="shared" si="13"/>
        <v>2272.6547909117808</v>
      </c>
      <c r="J183" s="812"/>
      <c r="K183" s="812"/>
      <c r="L183" s="812"/>
      <c r="M183" s="812"/>
      <c r="N183" s="812"/>
    </row>
  </sheetData>
  <mergeCells count="13">
    <mergeCell ref="A64:I64"/>
    <mergeCell ref="A1:E1"/>
    <mergeCell ref="A2:E2"/>
    <mergeCell ref="A40:D40"/>
    <mergeCell ref="A22:D22"/>
    <mergeCell ref="A4:D4"/>
    <mergeCell ref="A56:D56"/>
    <mergeCell ref="A124:I124"/>
    <mergeCell ref="J66:K66"/>
    <mergeCell ref="A118:I118"/>
    <mergeCell ref="A102:I102"/>
    <mergeCell ref="A84:I84"/>
    <mergeCell ref="A66:I66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showGridLines="0" zoomScaleNormal="100" zoomScaleSheetLayoutView="112" workbookViewId="0">
      <selection activeCell="B21" sqref="B21"/>
    </sheetView>
  </sheetViews>
  <sheetFormatPr baseColWidth="10" defaultColWidth="11.44140625" defaultRowHeight="10.199999999999999" x14ac:dyDescent="0.2"/>
  <cols>
    <col min="1" max="1" width="27.44140625" style="42" customWidth="1"/>
    <col min="2" max="2" width="13.6640625" style="42" customWidth="1"/>
    <col min="3" max="3" width="17.5546875" style="42" customWidth="1"/>
    <col min="4" max="16384" width="11.44140625" style="42"/>
  </cols>
  <sheetData>
    <row r="1" spans="1:3" ht="36.75" customHeight="1" x14ac:dyDescent="0.2">
      <c r="A1" s="975" t="s">
        <v>119</v>
      </c>
      <c r="B1" s="976"/>
      <c r="C1" s="977"/>
    </row>
    <row r="2" spans="1:3" ht="24.75" customHeight="1" x14ac:dyDescent="0.2">
      <c r="A2" s="871" t="s">
        <v>120</v>
      </c>
      <c r="B2" s="875" t="s">
        <v>121</v>
      </c>
      <c r="C2" s="219" t="s">
        <v>122</v>
      </c>
    </row>
    <row r="3" spans="1:3" ht="25.5" customHeight="1" x14ac:dyDescent="0.2">
      <c r="A3" s="220" t="s">
        <v>123</v>
      </c>
      <c r="B3" s="133"/>
      <c r="C3" s="189">
        <f>SUM(B4:B4)</f>
        <v>300</v>
      </c>
    </row>
    <row r="4" spans="1:3" ht="20.25" customHeight="1" x14ac:dyDescent="0.2">
      <c r="A4" s="121" t="s">
        <v>124</v>
      </c>
      <c r="B4" s="531">
        <f>'Amortización '!B3</f>
        <v>300</v>
      </c>
      <c r="C4" s="113"/>
    </row>
    <row r="5" spans="1:3" ht="25.5" customHeight="1" x14ac:dyDescent="0.2">
      <c r="A5" s="220" t="s">
        <v>85</v>
      </c>
      <c r="B5" s="133"/>
      <c r="C5" s="189">
        <f>SUM(B6:B9)</f>
        <v>1576.875</v>
      </c>
    </row>
    <row r="6" spans="1:3" ht="20.25" customHeight="1" x14ac:dyDescent="0.2">
      <c r="A6" s="218" t="str">
        <f>+'3 Recursos físicos'!A4</f>
        <v>Muebles y enseres</v>
      </c>
      <c r="B6" s="112">
        <f>+'3 Recursos físicos'!E4</f>
        <v>0</v>
      </c>
      <c r="C6" s="114"/>
    </row>
    <row r="7" spans="1:3" ht="20.25" customHeight="1" x14ac:dyDescent="0.2">
      <c r="A7" s="121" t="str">
        <f>+'3 Recursos físicos'!A22</f>
        <v>Laboratorios y Equipos</v>
      </c>
      <c r="B7" s="112">
        <f>+'3 Recursos físicos'!E22</f>
        <v>376.875</v>
      </c>
      <c r="C7" s="113"/>
    </row>
    <row r="8" spans="1:3" ht="20.25" customHeight="1" x14ac:dyDescent="0.2">
      <c r="A8" s="218" t="str">
        <f>+'3 Recursos físicos'!A40</f>
        <v>Equipo de Computo</v>
      </c>
      <c r="B8" s="112">
        <f>+'3 Recursos físicos'!E40</f>
        <v>1200</v>
      </c>
      <c r="C8" s="114"/>
    </row>
    <row r="9" spans="1:3" ht="20.25" customHeight="1" x14ac:dyDescent="0.2">
      <c r="A9" s="218" t="str">
        <f>+'3 Recursos físicos'!A56</f>
        <v>Equipo de Oficina</v>
      </c>
      <c r="B9" s="112">
        <f>+'3 Recursos físicos'!E56</f>
        <v>0</v>
      </c>
      <c r="C9" s="113"/>
    </row>
    <row r="10" spans="1:3" ht="25.5" customHeight="1" x14ac:dyDescent="0.2">
      <c r="A10" s="154" t="s">
        <v>125</v>
      </c>
      <c r="B10" s="133"/>
      <c r="C10" s="189">
        <f>+C3+C5</f>
        <v>1876.875</v>
      </c>
    </row>
    <row r="11" spans="1:3" ht="20.25" customHeight="1" x14ac:dyDescent="0.2">
      <c r="A11" s="54" t="s">
        <v>126</v>
      </c>
      <c r="B11" s="112">
        <f>+'6 Capital de trabajo'!D48*2</f>
        <v>16163.627891682539</v>
      </c>
      <c r="C11" s="113"/>
    </row>
    <row r="12" spans="1:3" ht="20.25" customHeight="1" x14ac:dyDescent="0.2">
      <c r="A12" s="121" t="s">
        <v>127</v>
      </c>
      <c r="B12" s="112">
        <f>+B11*5%</f>
        <v>808.18139458412702</v>
      </c>
      <c r="C12" s="113"/>
    </row>
    <row r="13" spans="1:3" ht="27" customHeight="1" thickBot="1" x14ac:dyDescent="0.25">
      <c r="A13" s="115" t="s">
        <v>128</v>
      </c>
      <c r="B13" s="669"/>
      <c r="C13" s="670">
        <f>+C10+B11+B12</f>
        <v>18848.684286266667</v>
      </c>
    </row>
  </sheetData>
  <mergeCells count="1">
    <mergeCell ref="A1:C1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"/>
  <sheetViews>
    <sheetView showGridLines="0" topLeftCell="A22" zoomScale="112" zoomScaleNormal="112" workbookViewId="0">
      <selection activeCell="B27" sqref="B27"/>
    </sheetView>
  </sheetViews>
  <sheetFormatPr baseColWidth="10" defaultColWidth="11.44140625" defaultRowHeight="10.199999999999999" x14ac:dyDescent="0.3"/>
  <cols>
    <col min="1" max="1" width="10.88671875" style="48" customWidth="1"/>
    <col min="2" max="2" width="34.6640625" style="48" customWidth="1"/>
    <col min="3" max="4" width="12.6640625" style="48" customWidth="1"/>
    <col min="5" max="5" width="10.33203125" style="48" customWidth="1"/>
    <col min="6" max="6" width="6.33203125" style="48" bestFit="1" customWidth="1"/>
    <col min="7" max="16384" width="11.44140625" style="48"/>
  </cols>
  <sheetData>
    <row r="1" spans="1:6" ht="27.75" customHeight="1" thickBot="1" x14ac:dyDescent="0.35">
      <c r="A1" s="962" t="s">
        <v>160</v>
      </c>
      <c r="B1" s="963"/>
      <c r="C1" s="963"/>
      <c r="D1" s="969"/>
    </row>
    <row r="2" spans="1:6" ht="31.8" thickBot="1" x14ac:dyDescent="0.35">
      <c r="A2" s="96" t="s">
        <v>88</v>
      </c>
      <c r="B2" s="97" t="s">
        <v>161</v>
      </c>
      <c r="C2" s="98" t="s">
        <v>90</v>
      </c>
      <c r="D2" s="99" t="s">
        <v>162</v>
      </c>
    </row>
    <row r="3" spans="1:6" ht="21" customHeight="1" thickBot="1" x14ac:dyDescent="0.35">
      <c r="A3" s="981" t="s">
        <v>163</v>
      </c>
      <c r="B3" s="982"/>
      <c r="C3" s="982"/>
      <c r="D3" s="983"/>
    </row>
    <row r="4" spans="1:6" x14ac:dyDescent="0.3">
      <c r="A4" s="635">
        <f>+'7 Sueldos'!C3</f>
        <v>1</v>
      </c>
      <c r="B4" s="739" t="s">
        <v>164</v>
      </c>
      <c r="C4" s="705">
        <v>3880</v>
      </c>
      <c r="D4" s="102">
        <f>+'7 Sueldos'!K3/6</f>
        <v>490.87212698412691</v>
      </c>
    </row>
    <row r="5" spans="1:6" x14ac:dyDescent="0.3">
      <c r="A5" s="636">
        <f>+'7 Sueldos'!C4</f>
        <v>1</v>
      </c>
      <c r="B5" s="637" t="s">
        <v>165</v>
      </c>
      <c r="C5" s="123">
        <v>2880</v>
      </c>
      <c r="D5" s="94">
        <f>+'7 Sueldos'!K4/6</f>
        <v>365.17688888888887</v>
      </c>
    </row>
    <row r="6" spans="1:6" x14ac:dyDescent="0.3">
      <c r="A6" s="636">
        <f>+'7 Sueldos'!C5</f>
        <v>1</v>
      </c>
      <c r="B6" s="637" t="s">
        <v>166</v>
      </c>
      <c r="C6" s="123">
        <v>2200</v>
      </c>
      <c r="D6" s="113">
        <f>+'7 Sueldos'!K5/6</f>
        <v>2936.8933333333334</v>
      </c>
    </row>
    <row r="7" spans="1:6" x14ac:dyDescent="0.3">
      <c r="A7" s="636">
        <f>+'7 Sueldos'!C6</f>
        <v>1</v>
      </c>
      <c r="B7" s="637" t="s">
        <v>167</v>
      </c>
      <c r="C7" s="123">
        <v>1000</v>
      </c>
      <c r="D7" s="113">
        <f>+'7 Sueldos'!K6/6</f>
        <v>128.86984126984126</v>
      </c>
    </row>
    <row r="8" spans="1:6" x14ac:dyDescent="0.3">
      <c r="A8" s="636">
        <f>+'7 Sueldos'!C7</f>
        <v>1</v>
      </c>
      <c r="B8" s="637" t="s">
        <v>168</v>
      </c>
      <c r="C8" s="123">
        <v>850</v>
      </c>
      <c r="D8" s="113">
        <f>+'7 Sueldos'!K7/6</f>
        <v>110.01555555555554</v>
      </c>
    </row>
    <row r="9" spans="1:6" x14ac:dyDescent="0.3">
      <c r="A9" s="636">
        <f>+'7 Sueldos'!C8</f>
        <v>1</v>
      </c>
      <c r="B9" s="637" t="s">
        <v>169</v>
      </c>
      <c r="C9" s="123">
        <v>900</v>
      </c>
      <c r="D9" s="113">
        <f>+'7 Sueldos'!K8/6</f>
        <v>116.30031746031746</v>
      </c>
    </row>
    <row r="10" spans="1:6" x14ac:dyDescent="0.3">
      <c r="A10" s="636">
        <f>+'7 Sueldos'!C9</f>
        <v>1</v>
      </c>
      <c r="B10" s="637" t="s">
        <v>170</v>
      </c>
      <c r="C10" s="123">
        <v>900</v>
      </c>
      <c r="D10" s="113">
        <f>+'7 Sueldos'!K9/6</f>
        <v>116.30031746031746</v>
      </c>
    </row>
    <row r="11" spans="1:6" x14ac:dyDescent="0.3">
      <c r="A11" s="636">
        <f>+'7 Sueldos'!C10</f>
        <v>0.24</v>
      </c>
      <c r="B11" s="637" t="str">
        <f>+'1 Estudiantes'!A25</f>
        <v>Tiempo Completo PhD</v>
      </c>
      <c r="C11" s="123">
        <v>2800</v>
      </c>
      <c r="D11" s="113">
        <f>+'7 Sueldos'!K10/6</f>
        <v>894.90559999999994</v>
      </c>
    </row>
    <row r="12" spans="1:6" x14ac:dyDescent="0.3">
      <c r="A12" s="636">
        <f>+'7 Sueldos'!C11</f>
        <v>0.6</v>
      </c>
      <c r="B12" s="637" t="str">
        <f>+'1 Estudiantes'!A26</f>
        <v>Tiempo Completo Mgs.</v>
      </c>
      <c r="C12" s="123">
        <v>1800</v>
      </c>
      <c r="D12" s="113">
        <f>+'7 Sueldos'!K11/6</f>
        <v>1445.384</v>
      </c>
    </row>
    <row r="13" spans="1:6" x14ac:dyDescent="0.3">
      <c r="A13" s="636">
        <f>+'7 Sueldos'!C12</f>
        <v>0</v>
      </c>
      <c r="B13" s="637" t="str">
        <f>+'1 Estudiantes'!A27</f>
        <v>Medio Tiempo</v>
      </c>
      <c r="C13" s="123">
        <f>+C12/2</f>
        <v>900</v>
      </c>
      <c r="D13" s="113">
        <f>+'7 Sueldos'!K12/6</f>
        <v>0</v>
      </c>
      <c r="E13" s="48" t="s">
        <v>171</v>
      </c>
      <c r="F13" s="665">
        <v>12</v>
      </c>
    </row>
    <row r="14" spans="1:6" x14ac:dyDescent="0.3">
      <c r="A14" s="636">
        <f>+'7 Sueldos'!C13</f>
        <v>0.16000000000000003</v>
      </c>
      <c r="B14" s="637" t="str">
        <f>+'1 Estudiantes'!A28</f>
        <v>Tiempo Parcial</v>
      </c>
      <c r="C14" s="277">
        <f>+F13*F14</f>
        <v>432</v>
      </c>
      <c r="D14" s="113">
        <f>+'7 Sueldos'!K13/6</f>
        <v>96.557909333333342</v>
      </c>
      <c r="E14" s="48" t="s">
        <v>172</v>
      </c>
      <c r="F14" s="557">
        <f>9*4</f>
        <v>36</v>
      </c>
    </row>
    <row r="15" spans="1:6" x14ac:dyDescent="0.3">
      <c r="A15" s="636">
        <f>+'7 Sueldos'!C14</f>
        <v>0.25</v>
      </c>
      <c r="B15" s="637" t="str">
        <f>+'1 Estudiantes'!A30</f>
        <v>Ocasional Tipo 2 (Técnico Docente)</v>
      </c>
      <c r="C15" s="123">
        <v>1350</v>
      </c>
      <c r="D15" s="113">
        <f>+'7 Sueldos'!K14/6</f>
        <v>453.76583333333338</v>
      </c>
    </row>
    <row r="16" spans="1:6" x14ac:dyDescent="0.3">
      <c r="A16" s="92">
        <f>+'7 Sueldos'!C15</f>
        <v>1</v>
      </c>
      <c r="B16" s="100" t="s">
        <v>173</v>
      </c>
      <c r="C16" s="123">
        <v>800</v>
      </c>
      <c r="D16" s="94">
        <f>+'7 Sueldos'!K15/6</f>
        <v>103.73079365079364</v>
      </c>
    </row>
    <row r="17" spans="1:4" x14ac:dyDescent="0.3">
      <c r="A17" s="92">
        <f>+'7 Sueldos'!C16</f>
        <v>2</v>
      </c>
      <c r="B17" s="100" t="s">
        <v>174</v>
      </c>
      <c r="C17" s="123">
        <v>450</v>
      </c>
      <c r="D17" s="94">
        <f>+'7 Sueldos'!K16/6</f>
        <v>119.47492063492064</v>
      </c>
    </row>
    <row r="18" spans="1:4" x14ac:dyDescent="0.3">
      <c r="A18" s="92">
        <f>+'7 Sueldos'!C17</f>
        <v>1</v>
      </c>
      <c r="B18" s="100" t="s">
        <v>175</v>
      </c>
      <c r="C18" s="123">
        <v>650</v>
      </c>
      <c r="D18" s="94">
        <f>+'7 Sueldos'!K17/6</f>
        <v>84.876507936507934</v>
      </c>
    </row>
    <row r="19" spans="1:4" ht="14.4" thickBot="1" x14ac:dyDescent="0.35">
      <c r="A19" s="95"/>
      <c r="B19" s="103" t="s">
        <v>115</v>
      </c>
      <c r="C19" s="103"/>
      <c r="D19" s="104">
        <f>SUM(D4:D18)</f>
        <v>7463.1239458412692</v>
      </c>
    </row>
    <row r="20" spans="1:4" ht="21" customHeight="1" thickBot="1" x14ac:dyDescent="0.35">
      <c r="A20" s="984" t="s">
        <v>176</v>
      </c>
      <c r="B20" s="964"/>
      <c r="C20" s="964"/>
      <c r="D20" s="985"/>
    </row>
    <row r="21" spans="1:4" x14ac:dyDescent="0.3">
      <c r="A21" s="101">
        <f>+'5 Demanda'!B53</f>
        <v>6</v>
      </c>
      <c r="B21" s="107" t="s">
        <v>501</v>
      </c>
      <c r="C21" s="705">
        <v>3.25</v>
      </c>
      <c r="D21" s="102">
        <f>+C21*A21</f>
        <v>19.5</v>
      </c>
    </row>
    <row r="22" spans="1:4" x14ac:dyDescent="0.3">
      <c r="A22" s="92">
        <f>+'5 Demanda'!B54</f>
        <v>0.6</v>
      </c>
      <c r="B22" s="80" t="s">
        <v>177</v>
      </c>
      <c r="C22" s="123">
        <v>50</v>
      </c>
      <c r="D22" s="94">
        <f t="shared" ref="D22:D27" si="0">+C22*A22</f>
        <v>30</v>
      </c>
    </row>
    <row r="23" spans="1:4" x14ac:dyDescent="0.3">
      <c r="A23" s="92">
        <f>+'5 Demanda'!B55</f>
        <v>0.6</v>
      </c>
      <c r="B23" s="80" t="s">
        <v>178</v>
      </c>
      <c r="C23" s="123">
        <v>40</v>
      </c>
      <c r="D23" s="94">
        <f t="shared" si="0"/>
        <v>24</v>
      </c>
    </row>
    <row r="24" spans="1:4" x14ac:dyDescent="0.3">
      <c r="A24" s="92">
        <f>+'5 Demanda'!B56</f>
        <v>60</v>
      </c>
      <c r="B24" s="80" t="s">
        <v>179</v>
      </c>
      <c r="C24" s="123">
        <v>1</v>
      </c>
      <c r="D24" s="94">
        <f t="shared" si="0"/>
        <v>60</v>
      </c>
    </row>
    <row r="25" spans="1:4" x14ac:dyDescent="0.3">
      <c r="A25" s="92">
        <f>+'5 Demanda'!B57</f>
        <v>30</v>
      </c>
      <c r="B25" s="80" t="s">
        <v>180</v>
      </c>
      <c r="C25" s="123">
        <v>2</v>
      </c>
      <c r="D25" s="94">
        <f>+C25*A25</f>
        <v>60</v>
      </c>
    </row>
    <row r="26" spans="1:4" x14ac:dyDescent="0.3">
      <c r="A26" s="92">
        <f>+'5 Demanda'!B58</f>
        <v>30</v>
      </c>
      <c r="B26" s="80" t="s">
        <v>181</v>
      </c>
      <c r="C26" s="123">
        <v>0.25</v>
      </c>
      <c r="D26" s="94">
        <f>+C26*A26</f>
        <v>7.5</v>
      </c>
    </row>
    <row r="27" spans="1:4" x14ac:dyDescent="0.3">
      <c r="A27" s="92">
        <f>+'5 Demanda'!B59</f>
        <v>0.6</v>
      </c>
      <c r="B27" s="80" t="s">
        <v>182</v>
      </c>
      <c r="C27" s="123">
        <v>1</v>
      </c>
      <c r="D27" s="94">
        <f t="shared" si="0"/>
        <v>0.6</v>
      </c>
    </row>
    <row r="28" spans="1:4" ht="19.5" customHeight="1" thickBot="1" x14ac:dyDescent="0.35">
      <c r="A28" s="95"/>
      <c r="B28" s="105" t="s">
        <v>115</v>
      </c>
      <c r="C28" s="105"/>
      <c r="D28" s="106">
        <f>SUM(D20:D27)</f>
        <v>201.6</v>
      </c>
    </row>
    <row r="29" spans="1:4" ht="20.25" customHeight="1" thickBot="1" x14ac:dyDescent="0.35">
      <c r="A29" s="984" t="s">
        <v>183</v>
      </c>
      <c r="B29" s="964"/>
      <c r="C29" s="964"/>
      <c r="D29" s="985"/>
    </row>
    <row r="30" spans="1:4" x14ac:dyDescent="0.3">
      <c r="A30" s="101">
        <f>+'5 Demanda'!B61</f>
        <v>0.89999999999999991</v>
      </c>
      <c r="B30" s="107" t="s">
        <v>184</v>
      </c>
      <c r="C30" s="705">
        <v>4</v>
      </c>
      <c r="D30" s="102">
        <f>+C30*A30</f>
        <v>3.5999999999999996</v>
      </c>
    </row>
    <row r="31" spans="1:4" x14ac:dyDescent="0.3">
      <c r="A31" s="92">
        <f>+'5 Demanda'!B62</f>
        <v>1.08</v>
      </c>
      <c r="B31" s="80" t="s">
        <v>185</v>
      </c>
      <c r="C31" s="123">
        <v>3</v>
      </c>
      <c r="D31" s="94">
        <f t="shared" ref="D31:D36" si="1">+C31*A31</f>
        <v>3.24</v>
      </c>
    </row>
    <row r="32" spans="1:4" x14ac:dyDescent="0.3">
      <c r="A32" s="92">
        <f>+'5 Demanda'!B63</f>
        <v>23.400000000000002</v>
      </c>
      <c r="B32" s="80" t="s">
        <v>502</v>
      </c>
      <c r="C32" s="123">
        <v>10.5</v>
      </c>
      <c r="D32" s="94">
        <f t="shared" si="1"/>
        <v>245.70000000000002</v>
      </c>
    </row>
    <row r="33" spans="1:4" x14ac:dyDescent="0.3">
      <c r="A33" s="92">
        <f>+'5 Demanda'!B64</f>
        <v>2</v>
      </c>
      <c r="B33" s="80" t="s">
        <v>186</v>
      </c>
      <c r="C33" s="123">
        <v>10.5</v>
      </c>
      <c r="D33" s="94">
        <f t="shared" si="1"/>
        <v>21</v>
      </c>
    </row>
    <row r="34" spans="1:4" x14ac:dyDescent="0.3">
      <c r="A34" s="92">
        <f>+'5 Demanda'!B65</f>
        <v>6</v>
      </c>
      <c r="B34" s="80" t="s">
        <v>187</v>
      </c>
      <c r="C34" s="123">
        <v>0.8</v>
      </c>
      <c r="D34" s="94">
        <f t="shared" si="1"/>
        <v>4.8000000000000007</v>
      </c>
    </row>
    <row r="35" spans="1:4" x14ac:dyDescent="0.3">
      <c r="A35" s="92">
        <f>+'5 Demanda'!B66</f>
        <v>3</v>
      </c>
      <c r="B35" s="80" t="s">
        <v>188</v>
      </c>
      <c r="C35" s="123">
        <v>2.5</v>
      </c>
      <c r="D35" s="94">
        <f t="shared" si="1"/>
        <v>7.5</v>
      </c>
    </row>
    <row r="36" spans="1:4" x14ac:dyDescent="0.3">
      <c r="A36" s="92">
        <f>+'5 Demanda'!B67</f>
        <v>0.89999999999999991</v>
      </c>
      <c r="B36" s="80" t="s">
        <v>189</v>
      </c>
      <c r="C36" s="123">
        <v>2.5</v>
      </c>
      <c r="D36" s="94">
        <f t="shared" si="1"/>
        <v>2.25</v>
      </c>
    </row>
    <row r="37" spans="1:4" ht="19.5" customHeight="1" thickBot="1" x14ac:dyDescent="0.35">
      <c r="A37" s="95"/>
      <c r="B37" s="105" t="s">
        <v>115</v>
      </c>
      <c r="C37" s="105"/>
      <c r="D37" s="106">
        <f>SUM(D30:D35)</f>
        <v>285.84000000000003</v>
      </c>
    </row>
    <row r="38" spans="1:4" ht="15" customHeight="1" x14ac:dyDescent="0.3">
      <c r="A38" s="984" t="s">
        <v>190</v>
      </c>
      <c r="B38" s="964"/>
      <c r="C38" s="964"/>
      <c r="D38" s="985"/>
    </row>
    <row r="39" spans="1:4" hidden="1" x14ac:dyDescent="0.3">
      <c r="A39" s="543">
        <v>1</v>
      </c>
      <c r="B39" s="545"/>
      <c r="C39" s="546"/>
      <c r="D39" s="102">
        <f>+C39*A39</f>
        <v>0</v>
      </c>
    </row>
    <row r="40" spans="1:4" x14ac:dyDescent="0.3">
      <c r="A40" s="64">
        <f>+'5 Demanda'!B69</f>
        <v>5.25</v>
      </c>
      <c r="B40" s="80" t="s">
        <v>191</v>
      </c>
      <c r="C40" s="123">
        <v>15</v>
      </c>
      <c r="D40" s="94">
        <f t="shared" ref="D40:D45" si="2">+C40*A40</f>
        <v>78.75</v>
      </c>
    </row>
    <row r="41" spans="1:4" x14ac:dyDescent="0.3">
      <c r="A41" s="64">
        <f>+'5 Demanda'!B70</f>
        <v>5.25</v>
      </c>
      <c r="B41" s="80" t="s">
        <v>192</v>
      </c>
      <c r="C41" s="123">
        <v>10</v>
      </c>
      <c r="D41" s="94">
        <f t="shared" si="2"/>
        <v>52.5</v>
      </c>
    </row>
    <row r="42" spans="1:4" x14ac:dyDescent="0.3">
      <c r="A42" s="64">
        <f>+'5 Demanda'!B72</f>
        <v>0</v>
      </c>
      <c r="B42" s="80"/>
      <c r="C42" s="123"/>
      <c r="D42" s="94">
        <f t="shared" si="2"/>
        <v>0</v>
      </c>
    </row>
    <row r="43" spans="1:4" x14ac:dyDescent="0.3">
      <c r="A43" s="64">
        <f>+'5 Demanda'!B73</f>
        <v>0</v>
      </c>
      <c r="B43" s="544"/>
      <c r="C43" s="695"/>
      <c r="D43" s="94">
        <f t="shared" si="2"/>
        <v>0</v>
      </c>
    </row>
    <row r="44" spans="1:4" hidden="1" x14ac:dyDescent="0.3">
      <c r="A44" s="64">
        <f>+'5 Demanda'!B74</f>
        <v>0</v>
      </c>
      <c r="B44" s="80"/>
      <c r="C44" s="524"/>
      <c r="D44" s="94">
        <f t="shared" si="2"/>
        <v>0</v>
      </c>
    </row>
    <row r="45" spans="1:4" hidden="1" x14ac:dyDescent="0.3">
      <c r="A45" s="64">
        <f>+'5 Demanda'!B75</f>
        <v>0</v>
      </c>
      <c r="B45" s="80"/>
      <c r="C45" s="524"/>
      <c r="D45" s="94">
        <f t="shared" si="2"/>
        <v>0</v>
      </c>
    </row>
    <row r="46" spans="1:4" hidden="1" x14ac:dyDescent="0.3">
      <c r="A46" s="64">
        <f>+'5 Demanda'!B76</f>
        <v>0</v>
      </c>
      <c r="B46" s="80"/>
      <c r="C46" s="524"/>
      <c r="D46" s="94">
        <f>+C46*A46</f>
        <v>0</v>
      </c>
    </row>
    <row r="47" spans="1:4" ht="16.2" thickBot="1" x14ac:dyDescent="0.35">
      <c r="A47" s="95"/>
      <c r="B47" s="105" t="s">
        <v>115</v>
      </c>
      <c r="C47" s="105"/>
      <c r="D47" s="108">
        <f>SUM(D39:D46)</f>
        <v>131.25</v>
      </c>
    </row>
    <row r="48" spans="1:4" ht="29.25" customHeight="1" thickBot="1" x14ac:dyDescent="0.35">
      <c r="A48" s="978" t="s">
        <v>115</v>
      </c>
      <c r="B48" s="979"/>
      <c r="C48" s="980"/>
      <c r="D48" s="109">
        <f>SUM(+D47+D37+D28+D19)</f>
        <v>8081.8139458412697</v>
      </c>
    </row>
  </sheetData>
  <sheetProtection selectLockedCells="1"/>
  <mergeCells count="6">
    <mergeCell ref="A1:D1"/>
    <mergeCell ref="A48:C48"/>
    <mergeCell ref="A3:D3"/>
    <mergeCell ref="A20:D20"/>
    <mergeCell ref="A29:D29"/>
    <mergeCell ref="A38:D38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6"/>
  <sheetViews>
    <sheetView showGridLines="0" topLeftCell="F44" zoomScaleNormal="100" workbookViewId="0">
      <selection activeCell="O27" sqref="O27"/>
    </sheetView>
  </sheetViews>
  <sheetFormatPr baseColWidth="10" defaultColWidth="11.44140625" defaultRowHeight="10.199999999999999" x14ac:dyDescent="0.3"/>
  <cols>
    <col min="1" max="1" width="28.33203125" style="48" bestFit="1" customWidth="1"/>
    <col min="2" max="2" width="12.88671875" style="48" customWidth="1"/>
    <col min="3" max="3" width="10" style="48" customWidth="1"/>
    <col min="4" max="4" width="8.88671875" style="48" customWidth="1"/>
    <col min="5" max="5" width="14.109375" style="48" bestFit="1" customWidth="1"/>
    <col min="6" max="6" width="14.109375" style="48" customWidth="1"/>
    <col min="7" max="12" width="12" style="48" customWidth="1"/>
    <col min="13" max="13" width="2.6640625" style="48" customWidth="1"/>
    <col min="14" max="20" width="12.6640625" style="48" customWidth="1"/>
    <col min="21" max="16384" width="11.44140625" style="48"/>
  </cols>
  <sheetData>
    <row r="1" spans="1:20" s="165" customFormat="1" ht="32.25" customHeight="1" thickBot="1" x14ac:dyDescent="0.35">
      <c r="A1" s="986" t="s">
        <v>193</v>
      </c>
      <c r="B1" s="987" t="s">
        <v>194</v>
      </c>
      <c r="C1" s="1000" t="s">
        <v>195</v>
      </c>
      <c r="D1" s="988" t="s">
        <v>196</v>
      </c>
      <c r="E1" s="989" t="s">
        <v>197</v>
      </c>
      <c r="F1" s="990"/>
      <c r="G1" s="990"/>
      <c r="H1" s="990"/>
      <c r="I1" s="990"/>
      <c r="J1" s="990"/>
      <c r="K1" s="990"/>
      <c r="L1" s="991"/>
      <c r="N1" s="992" t="s">
        <v>198</v>
      </c>
      <c r="O1" s="993"/>
      <c r="P1" s="993"/>
      <c r="Q1" s="993"/>
      <c r="R1" s="993"/>
      <c r="S1" s="993"/>
      <c r="T1" s="994"/>
    </row>
    <row r="2" spans="1:20" ht="24.75" customHeight="1" thickBot="1" x14ac:dyDescent="0.35">
      <c r="A2" s="998"/>
      <c r="B2" s="999"/>
      <c r="C2" s="1001"/>
      <c r="D2" s="1002"/>
      <c r="E2" s="622">
        <f>+'1 Estudiantes'!B3</f>
        <v>2023</v>
      </c>
      <c r="F2" s="187">
        <f>+'1 Estudiantes'!C3</f>
        <v>2023</v>
      </c>
      <c r="G2" s="187">
        <f>+'1 Estudiantes'!D3</f>
        <v>2024</v>
      </c>
      <c r="H2" s="187">
        <f>+'1 Estudiantes'!E3</f>
        <v>2024</v>
      </c>
      <c r="I2" s="187">
        <f>+'1 Estudiantes'!F3</f>
        <v>2025</v>
      </c>
      <c r="J2" s="187">
        <f>+'1 Estudiantes'!G3</f>
        <v>2025</v>
      </c>
      <c r="K2" s="187">
        <f>+'1 Estudiantes'!H3</f>
        <v>2026</v>
      </c>
      <c r="L2" s="188">
        <f>+'1 Estudiantes'!I3</f>
        <v>2026</v>
      </c>
      <c r="N2" s="628">
        <f>+F2</f>
        <v>2023</v>
      </c>
      <c r="O2" s="628">
        <f t="shared" ref="O2:T2" si="0">+G2</f>
        <v>2024</v>
      </c>
      <c r="P2" s="628">
        <f t="shared" si="0"/>
        <v>2024</v>
      </c>
      <c r="Q2" s="628">
        <f t="shared" si="0"/>
        <v>2025</v>
      </c>
      <c r="R2" s="628">
        <f t="shared" si="0"/>
        <v>2025</v>
      </c>
      <c r="S2" s="628">
        <f t="shared" si="0"/>
        <v>2026</v>
      </c>
      <c r="T2" s="628">
        <f t="shared" si="0"/>
        <v>2026</v>
      </c>
    </row>
    <row r="3" spans="1:20" ht="27" customHeight="1" x14ac:dyDescent="0.3">
      <c r="A3" s="995" t="str">
        <f>+'3 Recursos físicos'!A4</f>
        <v>Muebles y enseres</v>
      </c>
      <c r="B3" s="996"/>
      <c r="C3" s="996"/>
      <c r="D3" s="997"/>
      <c r="E3" s="623">
        <f t="shared" ref="E3:L3" si="1">SUM(E4:E20)</f>
        <v>0</v>
      </c>
      <c r="F3" s="184">
        <f t="shared" si="1"/>
        <v>0</v>
      </c>
      <c r="G3" s="184">
        <f t="shared" si="1"/>
        <v>0</v>
      </c>
      <c r="H3" s="184">
        <f t="shared" si="1"/>
        <v>0</v>
      </c>
      <c r="I3" s="184">
        <f t="shared" si="1"/>
        <v>0</v>
      </c>
      <c r="J3" s="184">
        <f t="shared" si="1"/>
        <v>0</v>
      </c>
      <c r="K3" s="184">
        <f t="shared" si="1"/>
        <v>0</v>
      </c>
      <c r="L3" s="185">
        <f t="shared" si="1"/>
        <v>0</v>
      </c>
      <c r="N3" s="166">
        <f t="shared" ref="N3:T3" si="2">SUM(N4:N20)</f>
        <v>0</v>
      </c>
      <c r="O3" s="167">
        <f t="shared" si="2"/>
        <v>0</v>
      </c>
      <c r="P3" s="167">
        <f t="shared" si="2"/>
        <v>0</v>
      </c>
      <c r="Q3" s="167">
        <f t="shared" si="2"/>
        <v>0</v>
      </c>
      <c r="R3" s="167">
        <f t="shared" si="2"/>
        <v>0</v>
      </c>
      <c r="S3" s="167">
        <f t="shared" si="2"/>
        <v>0</v>
      </c>
      <c r="T3" s="168">
        <f t="shared" si="2"/>
        <v>0</v>
      </c>
    </row>
    <row r="4" spans="1:20" x14ac:dyDescent="0.3">
      <c r="A4" s="121" t="str">
        <f>+'3 Recursos físicos'!A5</f>
        <v xml:space="preserve">Silla giratoria </v>
      </c>
      <c r="B4" s="169">
        <f>+'3 Recursos físicos'!E5</f>
        <v>0</v>
      </c>
      <c r="C4" s="123">
        <f t="shared" ref="C4:C20" si="3">+B4*5%</f>
        <v>0</v>
      </c>
      <c r="D4" s="533">
        <v>10</v>
      </c>
      <c r="E4" s="170">
        <f>+(B4-C4)/D4</f>
        <v>0</v>
      </c>
      <c r="F4" s="112">
        <f t="shared" ref="F4:F20" si="4">+E4/2</f>
        <v>0</v>
      </c>
      <c r="G4" s="169">
        <f t="shared" ref="G4:L4" si="5">+F4</f>
        <v>0</v>
      </c>
      <c r="H4" s="169">
        <f t="shared" si="5"/>
        <v>0</v>
      </c>
      <c r="I4" s="169">
        <f t="shared" si="5"/>
        <v>0</v>
      </c>
      <c r="J4" s="169">
        <f t="shared" si="5"/>
        <v>0</v>
      </c>
      <c r="K4" s="169">
        <f t="shared" si="5"/>
        <v>0</v>
      </c>
      <c r="L4" s="171">
        <f t="shared" si="5"/>
        <v>0</v>
      </c>
      <c r="N4" s="170">
        <f>+G4+(('3 Recursos físicos'!C127*0.95)/Depreciación!$D4)</f>
        <v>0</v>
      </c>
      <c r="O4" s="112">
        <f>+H4+(('3 Recursos físicos'!D127*0.95)/Depreciación!$D4)</f>
        <v>0</v>
      </c>
      <c r="P4" s="112">
        <f>+I4+(('3 Recursos físicos'!E127*0.95)/Depreciación!$D4)</f>
        <v>0</v>
      </c>
      <c r="Q4" s="112">
        <f>+J4+(('3 Recursos físicos'!F127*0.95)/Depreciación!$D4)</f>
        <v>0</v>
      </c>
      <c r="R4" s="112">
        <f>+K4+(('3 Recursos físicos'!G127*0.95)/Depreciación!$D4)</f>
        <v>0</v>
      </c>
      <c r="S4" s="112">
        <f>+L4+(('3 Recursos físicos'!H127*0.95)/Depreciación!$D4)</f>
        <v>0</v>
      </c>
      <c r="T4" s="113">
        <f>+F4+(('3 Recursos físicos'!I127*0.95)/Depreciación!$D4)</f>
        <v>0</v>
      </c>
    </row>
    <row r="5" spans="1:20" x14ac:dyDescent="0.3">
      <c r="A5" s="121" t="str">
        <f>+'3 Recursos físicos'!A6</f>
        <v xml:space="preserve">Silla de espera </v>
      </c>
      <c r="B5" s="169">
        <f>+'3 Recursos físicos'!E6</f>
        <v>0</v>
      </c>
      <c r="C5" s="123">
        <f t="shared" si="3"/>
        <v>0</v>
      </c>
      <c r="D5" s="533">
        <v>10</v>
      </c>
      <c r="E5" s="170">
        <f t="shared" ref="E5:E20" si="6">+(B5-C5)/D5</f>
        <v>0</v>
      </c>
      <c r="F5" s="112">
        <f t="shared" si="4"/>
        <v>0</v>
      </c>
      <c r="G5" s="169">
        <f t="shared" ref="G5:L5" si="7">+F5</f>
        <v>0</v>
      </c>
      <c r="H5" s="169">
        <f t="shared" si="7"/>
        <v>0</v>
      </c>
      <c r="I5" s="169">
        <f t="shared" si="7"/>
        <v>0</v>
      </c>
      <c r="J5" s="169">
        <f t="shared" si="7"/>
        <v>0</v>
      </c>
      <c r="K5" s="169">
        <f t="shared" si="7"/>
        <v>0</v>
      </c>
      <c r="L5" s="171">
        <f t="shared" si="7"/>
        <v>0</v>
      </c>
      <c r="N5" s="170">
        <f>+G5+(('3 Recursos físicos'!C128*0.95)/Depreciación!$D5)</f>
        <v>0</v>
      </c>
      <c r="O5" s="112">
        <f>+H5+(('3 Recursos físicos'!D128*0.95)/Depreciación!$D5)</f>
        <v>0</v>
      </c>
      <c r="P5" s="112">
        <f>+I5+(('3 Recursos físicos'!E128*0.95)/Depreciación!$D5)</f>
        <v>0</v>
      </c>
      <c r="Q5" s="112">
        <f>+J5+(('3 Recursos físicos'!F128*0.95)/Depreciación!$D5)</f>
        <v>0</v>
      </c>
      <c r="R5" s="112">
        <f>+K5+(('3 Recursos físicos'!G128*0.95)/Depreciación!$D5)</f>
        <v>0</v>
      </c>
      <c r="S5" s="112">
        <f>+L5+(('3 Recursos físicos'!H128*0.95)/Depreciación!$D5)</f>
        <v>0</v>
      </c>
      <c r="T5" s="113">
        <f>+F5+(('3 Recursos físicos'!I128*0.95)/Depreciación!$D5)</f>
        <v>0</v>
      </c>
    </row>
    <row r="6" spans="1:20" x14ac:dyDescent="0.3">
      <c r="A6" s="121" t="str">
        <f>+'3 Recursos físicos'!A7</f>
        <v xml:space="preserve">Archivador de madera </v>
      </c>
      <c r="B6" s="169">
        <f>+'3 Recursos físicos'!E7</f>
        <v>0</v>
      </c>
      <c r="C6" s="123">
        <f t="shared" si="3"/>
        <v>0</v>
      </c>
      <c r="D6" s="533">
        <v>10</v>
      </c>
      <c r="E6" s="170">
        <f t="shared" si="6"/>
        <v>0</v>
      </c>
      <c r="F6" s="112">
        <f t="shared" si="4"/>
        <v>0</v>
      </c>
      <c r="G6" s="169">
        <f t="shared" ref="G6:L6" si="8">+F6</f>
        <v>0</v>
      </c>
      <c r="H6" s="169">
        <f t="shared" si="8"/>
        <v>0</v>
      </c>
      <c r="I6" s="169">
        <f t="shared" si="8"/>
        <v>0</v>
      </c>
      <c r="J6" s="169">
        <f t="shared" si="8"/>
        <v>0</v>
      </c>
      <c r="K6" s="169">
        <f t="shared" si="8"/>
        <v>0</v>
      </c>
      <c r="L6" s="171">
        <f t="shared" si="8"/>
        <v>0</v>
      </c>
      <c r="N6" s="170">
        <f>+G6+(('3 Recursos físicos'!C129*0.95)/Depreciación!$D6)</f>
        <v>0</v>
      </c>
      <c r="O6" s="112">
        <f>+H6+(('3 Recursos físicos'!D129*0.95)/Depreciación!$D6)</f>
        <v>0</v>
      </c>
      <c r="P6" s="112">
        <f>+I6+(('3 Recursos físicos'!E129*0.95)/Depreciación!$D6)</f>
        <v>0</v>
      </c>
      <c r="Q6" s="112">
        <f>+J6+(('3 Recursos físicos'!F129*0.95)/Depreciación!$D6)</f>
        <v>0</v>
      </c>
      <c r="R6" s="112">
        <f>+K6+(('3 Recursos físicos'!G129*0.95)/Depreciación!$D6)</f>
        <v>0</v>
      </c>
      <c r="S6" s="112">
        <f>+L6+(('3 Recursos físicos'!H129*0.95)/Depreciación!$D6)</f>
        <v>0</v>
      </c>
      <c r="T6" s="113">
        <f>+F6+(('3 Recursos físicos'!I129*0.95)/Depreciación!$D6)</f>
        <v>0</v>
      </c>
    </row>
    <row r="7" spans="1:20" x14ac:dyDescent="0.3">
      <c r="A7" s="121" t="str">
        <f>+'3 Recursos físicos'!A8</f>
        <v xml:space="preserve">Escritorio docentes </v>
      </c>
      <c r="B7" s="169">
        <f>+'3 Recursos físicos'!E8</f>
        <v>0</v>
      </c>
      <c r="C7" s="123">
        <f t="shared" si="3"/>
        <v>0</v>
      </c>
      <c r="D7" s="533">
        <v>10</v>
      </c>
      <c r="E7" s="170">
        <f t="shared" si="6"/>
        <v>0</v>
      </c>
      <c r="F7" s="112">
        <f t="shared" si="4"/>
        <v>0</v>
      </c>
      <c r="G7" s="169">
        <f t="shared" ref="G7:L7" si="9">+F7</f>
        <v>0</v>
      </c>
      <c r="H7" s="169">
        <f t="shared" si="9"/>
        <v>0</v>
      </c>
      <c r="I7" s="169">
        <f t="shared" si="9"/>
        <v>0</v>
      </c>
      <c r="J7" s="169">
        <f t="shared" si="9"/>
        <v>0</v>
      </c>
      <c r="K7" s="169">
        <f t="shared" si="9"/>
        <v>0</v>
      </c>
      <c r="L7" s="171">
        <f t="shared" si="9"/>
        <v>0</v>
      </c>
      <c r="N7" s="170">
        <f>+G7+(('3 Recursos físicos'!C130*0.95)/Depreciación!$D7)</f>
        <v>0</v>
      </c>
      <c r="O7" s="112">
        <f>+H7+(('3 Recursos físicos'!D130*0.95)/Depreciación!$D7)</f>
        <v>0</v>
      </c>
      <c r="P7" s="112">
        <f>+I7+(('3 Recursos físicos'!E130*0.95)/Depreciación!$D7)</f>
        <v>0</v>
      </c>
      <c r="Q7" s="112">
        <f>+J7+(('3 Recursos físicos'!F130*0.95)/Depreciación!$D7)</f>
        <v>0</v>
      </c>
      <c r="R7" s="112">
        <f>+K7+(('3 Recursos físicos'!G130*0.95)/Depreciación!$D7)</f>
        <v>0</v>
      </c>
      <c r="S7" s="112">
        <f>+L7+(('3 Recursos físicos'!H130*0.95)/Depreciación!$D7)</f>
        <v>0</v>
      </c>
      <c r="T7" s="113">
        <f>+F7+(('3 Recursos físicos'!I130*0.95)/Depreciación!$D7)</f>
        <v>0</v>
      </c>
    </row>
    <row r="8" spans="1:20" x14ac:dyDescent="0.3">
      <c r="A8" s="121" t="str">
        <f>+'3 Recursos físicos'!A9</f>
        <v xml:space="preserve">Mesas de laboratorio </v>
      </c>
      <c r="B8" s="169">
        <f>+'3 Recursos físicos'!E9</f>
        <v>0</v>
      </c>
      <c r="C8" s="123">
        <f t="shared" si="3"/>
        <v>0</v>
      </c>
      <c r="D8" s="533">
        <v>10</v>
      </c>
      <c r="E8" s="170">
        <f t="shared" si="6"/>
        <v>0</v>
      </c>
      <c r="F8" s="112">
        <f t="shared" si="4"/>
        <v>0</v>
      </c>
      <c r="G8" s="169">
        <f t="shared" ref="G8:L8" si="10">+F8</f>
        <v>0</v>
      </c>
      <c r="H8" s="169">
        <f t="shared" si="10"/>
        <v>0</v>
      </c>
      <c r="I8" s="169">
        <f t="shared" si="10"/>
        <v>0</v>
      </c>
      <c r="J8" s="169">
        <f t="shared" si="10"/>
        <v>0</v>
      </c>
      <c r="K8" s="169">
        <f t="shared" si="10"/>
        <v>0</v>
      </c>
      <c r="L8" s="171">
        <f t="shared" si="10"/>
        <v>0</v>
      </c>
      <c r="N8" s="170">
        <f>+G8+(('3 Recursos físicos'!C131*0.95)/Depreciación!$D8)</f>
        <v>0</v>
      </c>
      <c r="O8" s="112">
        <f>+H8+(('3 Recursos físicos'!D131*0.95)/Depreciación!$D8)</f>
        <v>0</v>
      </c>
      <c r="P8" s="112">
        <f>+I8+(('3 Recursos físicos'!E131*0.95)/Depreciación!$D8)</f>
        <v>0</v>
      </c>
      <c r="Q8" s="112">
        <f>+J8+(('3 Recursos físicos'!F131*0.95)/Depreciación!$D8)</f>
        <v>0</v>
      </c>
      <c r="R8" s="112">
        <f>+K8+(('3 Recursos físicos'!G131*0.95)/Depreciación!$D8)</f>
        <v>0</v>
      </c>
      <c r="S8" s="112">
        <f>+L8+(('3 Recursos físicos'!H131*0.95)/Depreciación!$D8)</f>
        <v>0</v>
      </c>
      <c r="T8" s="113">
        <f>+F8+(('3 Recursos físicos'!I131*0.95)/Depreciación!$D8)</f>
        <v>0</v>
      </c>
    </row>
    <row r="9" spans="1:20" x14ac:dyDescent="0.3">
      <c r="A9" s="121" t="str">
        <f>+'3 Recursos físicos'!A10</f>
        <v>Libros</v>
      </c>
      <c r="B9" s="169">
        <f>+'3 Recursos físicos'!E10</f>
        <v>0</v>
      </c>
      <c r="C9" s="123">
        <f t="shared" si="3"/>
        <v>0</v>
      </c>
      <c r="D9" s="533">
        <v>10</v>
      </c>
      <c r="E9" s="170">
        <f t="shared" si="6"/>
        <v>0</v>
      </c>
      <c r="F9" s="112">
        <f t="shared" si="4"/>
        <v>0</v>
      </c>
      <c r="G9" s="169">
        <f t="shared" ref="G9:L9" si="11">+F9</f>
        <v>0</v>
      </c>
      <c r="H9" s="169">
        <f t="shared" si="11"/>
        <v>0</v>
      </c>
      <c r="I9" s="169">
        <f t="shared" si="11"/>
        <v>0</v>
      </c>
      <c r="J9" s="169">
        <f t="shared" si="11"/>
        <v>0</v>
      </c>
      <c r="K9" s="169">
        <f t="shared" si="11"/>
        <v>0</v>
      </c>
      <c r="L9" s="171">
        <f t="shared" si="11"/>
        <v>0</v>
      </c>
      <c r="N9" s="170">
        <f>+G9+(('3 Recursos físicos'!C132*0.95)/Depreciación!$D9)</f>
        <v>0</v>
      </c>
      <c r="O9" s="112">
        <f>+H9+(('3 Recursos físicos'!D132*0.95)/Depreciación!$D9)</f>
        <v>0</v>
      </c>
      <c r="P9" s="112">
        <f>+I9+(('3 Recursos físicos'!E132*0.95)/Depreciación!$D9)</f>
        <v>0</v>
      </c>
      <c r="Q9" s="112">
        <f>+J9+(('3 Recursos físicos'!F132*0.95)/Depreciación!$D9)</f>
        <v>0</v>
      </c>
      <c r="R9" s="112">
        <f>+K9+(('3 Recursos físicos'!G132*0.95)/Depreciación!$D9)</f>
        <v>0</v>
      </c>
      <c r="S9" s="112">
        <f>+L9+(('3 Recursos físicos'!H132*0.95)/Depreciación!$D9)</f>
        <v>0</v>
      </c>
      <c r="T9" s="113">
        <f>+F9+(('3 Recursos físicos'!I132*0.95)/Depreciación!$D9)</f>
        <v>0</v>
      </c>
    </row>
    <row r="10" spans="1:20" hidden="1" x14ac:dyDescent="0.3">
      <c r="A10" s="121" t="e">
        <f>+'3 Recursos físicos'!#REF!</f>
        <v>#REF!</v>
      </c>
      <c r="B10" s="169">
        <f>+'3 Recursos físicos'!E11</f>
        <v>0</v>
      </c>
      <c r="C10" s="123">
        <f t="shared" si="3"/>
        <v>0</v>
      </c>
      <c r="D10" s="533">
        <v>1</v>
      </c>
      <c r="E10" s="170">
        <f t="shared" si="6"/>
        <v>0</v>
      </c>
      <c r="F10" s="112">
        <f t="shared" si="4"/>
        <v>0</v>
      </c>
      <c r="G10" s="169">
        <f t="shared" ref="G10:L10" si="12">+F10</f>
        <v>0</v>
      </c>
      <c r="H10" s="169">
        <f t="shared" si="12"/>
        <v>0</v>
      </c>
      <c r="I10" s="169">
        <f t="shared" si="12"/>
        <v>0</v>
      </c>
      <c r="J10" s="169">
        <f t="shared" si="12"/>
        <v>0</v>
      </c>
      <c r="K10" s="169">
        <f t="shared" si="12"/>
        <v>0</v>
      </c>
      <c r="L10" s="171">
        <f t="shared" si="12"/>
        <v>0</v>
      </c>
      <c r="N10" s="170">
        <f>+G10+(('3 Recursos físicos'!C133*0.95)/Depreciación!$D10)</f>
        <v>0</v>
      </c>
      <c r="O10" s="112">
        <f>+H10+(('3 Recursos físicos'!D133*0.95)/Depreciación!$D10)</f>
        <v>0</v>
      </c>
      <c r="P10" s="112">
        <f>+I10+(('3 Recursos físicos'!E133*0.95)/Depreciación!$D10)</f>
        <v>0</v>
      </c>
      <c r="Q10" s="112">
        <f>+J10+(('3 Recursos físicos'!F133*0.95)/Depreciación!$D10)</f>
        <v>0</v>
      </c>
      <c r="R10" s="112">
        <f>+K10+(('3 Recursos físicos'!G133*0.95)/Depreciación!$D10)</f>
        <v>0</v>
      </c>
      <c r="S10" s="112">
        <f>+L10+(('3 Recursos físicos'!H133*0.95)/Depreciación!$D10)</f>
        <v>0</v>
      </c>
      <c r="T10" s="113">
        <f>+F10+(('3 Recursos físicos'!I133*0.95)/Depreciación!$D10)</f>
        <v>0</v>
      </c>
    </row>
    <row r="11" spans="1:20" hidden="1" x14ac:dyDescent="0.3">
      <c r="A11" s="121" t="e">
        <f>+'3 Recursos físicos'!#REF!</f>
        <v>#REF!</v>
      </c>
      <c r="B11" s="169">
        <f>+'3 Recursos físicos'!E12</f>
        <v>0</v>
      </c>
      <c r="C11" s="123">
        <f t="shared" si="3"/>
        <v>0</v>
      </c>
      <c r="D11" s="533">
        <v>10</v>
      </c>
      <c r="E11" s="170">
        <f t="shared" si="6"/>
        <v>0</v>
      </c>
      <c r="F11" s="112">
        <f t="shared" si="4"/>
        <v>0</v>
      </c>
      <c r="G11" s="169">
        <f t="shared" ref="G11:L11" si="13">+F11</f>
        <v>0</v>
      </c>
      <c r="H11" s="169">
        <f t="shared" si="13"/>
        <v>0</v>
      </c>
      <c r="I11" s="169">
        <f t="shared" si="13"/>
        <v>0</v>
      </c>
      <c r="J11" s="169">
        <f t="shared" si="13"/>
        <v>0</v>
      </c>
      <c r="K11" s="169">
        <f t="shared" si="13"/>
        <v>0</v>
      </c>
      <c r="L11" s="171">
        <f t="shared" si="13"/>
        <v>0</v>
      </c>
      <c r="N11" s="170">
        <f>+G11+(('3 Recursos físicos'!C134*0.95)/Depreciación!$D11)</f>
        <v>0</v>
      </c>
      <c r="O11" s="112">
        <f>+H11+(('3 Recursos físicos'!D134*0.95)/Depreciación!$D11)</f>
        <v>0</v>
      </c>
      <c r="P11" s="112">
        <f>+I11+(('3 Recursos físicos'!E134*0.95)/Depreciación!$D11)</f>
        <v>0</v>
      </c>
      <c r="Q11" s="112">
        <f>+J11+(('3 Recursos físicos'!F134*0.95)/Depreciación!$D11)</f>
        <v>0</v>
      </c>
      <c r="R11" s="112">
        <f>+K11+(('3 Recursos físicos'!G134*0.95)/Depreciación!$D11)</f>
        <v>0</v>
      </c>
      <c r="S11" s="112">
        <f>+L11+(('3 Recursos físicos'!H134*0.95)/Depreciación!$D11)</f>
        <v>0</v>
      </c>
      <c r="T11" s="113">
        <f>+F11+(('3 Recursos físicos'!I134*0.95)/Depreciación!$D11)</f>
        <v>0</v>
      </c>
    </row>
    <row r="12" spans="1:20" hidden="1" x14ac:dyDescent="0.3">
      <c r="A12" s="121" t="e">
        <f>+'3 Recursos físicos'!#REF!</f>
        <v>#REF!</v>
      </c>
      <c r="B12" s="169">
        <f>+'3 Recursos físicos'!E13</f>
        <v>0</v>
      </c>
      <c r="C12" s="123">
        <f t="shared" si="3"/>
        <v>0</v>
      </c>
      <c r="D12" s="533">
        <v>10</v>
      </c>
      <c r="E12" s="170">
        <f t="shared" si="6"/>
        <v>0</v>
      </c>
      <c r="F12" s="112">
        <f t="shared" si="4"/>
        <v>0</v>
      </c>
      <c r="G12" s="169">
        <f t="shared" ref="G12:L12" si="14">+F12</f>
        <v>0</v>
      </c>
      <c r="H12" s="169">
        <f t="shared" si="14"/>
        <v>0</v>
      </c>
      <c r="I12" s="169">
        <f t="shared" si="14"/>
        <v>0</v>
      </c>
      <c r="J12" s="169">
        <f t="shared" si="14"/>
        <v>0</v>
      </c>
      <c r="K12" s="169">
        <f t="shared" si="14"/>
        <v>0</v>
      </c>
      <c r="L12" s="171">
        <f t="shared" si="14"/>
        <v>0</v>
      </c>
      <c r="N12" s="170">
        <f>+G12+(('3 Recursos físicos'!C135*0.95)/Depreciación!$D12)</f>
        <v>0</v>
      </c>
      <c r="O12" s="112">
        <f>+H12+(('3 Recursos físicos'!D135*0.95)/Depreciación!$D12)</f>
        <v>0</v>
      </c>
      <c r="P12" s="112">
        <f>+I12+(('3 Recursos físicos'!E135*0.95)/Depreciación!$D12)</f>
        <v>0</v>
      </c>
      <c r="Q12" s="112">
        <f>+J12+(('3 Recursos físicos'!F135*0.95)/Depreciación!$D12)</f>
        <v>0</v>
      </c>
      <c r="R12" s="112">
        <f>+K12+(('3 Recursos físicos'!G135*0.95)/Depreciación!$D12)</f>
        <v>0</v>
      </c>
      <c r="S12" s="112">
        <f>+L12+(('3 Recursos físicos'!H135*0.95)/Depreciación!$D12)</f>
        <v>0</v>
      </c>
      <c r="T12" s="113">
        <f>+F12+(('3 Recursos físicos'!I135*0.95)/Depreciación!$D12)</f>
        <v>0</v>
      </c>
    </row>
    <row r="13" spans="1:20" hidden="1" x14ac:dyDescent="0.3">
      <c r="A13" s="121" t="e">
        <f>+'3 Recursos físicos'!#REF!</f>
        <v>#REF!</v>
      </c>
      <c r="B13" s="169">
        <f>+'3 Recursos físicos'!E14</f>
        <v>0</v>
      </c>
      <c r="C13" s="123">
        <f t="shared" si="3"/>
        <v>0</v>
      </c>
      <c r="D13" s="533">
        <v>10</v>
      </c>
      <c r="E13" s="170">
        <f t="shared" si="6"/>
        <v>0</v>
      </c>
      <c r="F13" s="112">
        <f t="shared" si="4"/>
        <v>0</v>
      </c>
      <c r="G13" s="169">
        <f t="shared" ref="G13:L13" si="15">+F13</f>
        <v>0</v>
      </c>
      <c r="H13" s="169">
        <f t="shared" si="15"/>
        <v>0</v>
      </c>
      <c r="I13" s="169">
        <f t="shared" si="15"/>
        <v>0</v>
      </c>
      <c r="J13" s="169">
        <f t="shared" si="15"/>
        <v>0</v>
      </c>
      <c r="K13" s="169">
        <f t="shared" si="15"/>
        <v>0</v>
      </c>
      <c r="L13" s="171">
        <f t="shared" si="15"/>
        <v>0</v>
      </c>
      <c r="N13" s="170">
        <f>+G13+(('3 Recursos físicos'!C136*0.95)/Depreciación!$D13)</f>
        <v>0</v>
      </c>
      <c r="O13" s="112">
        <f>+H13+(('3 Recursos físicos'!D136*0.95)/Depreciación!$D13)</f>
        <v>0</v>
      </c>
      <c r="P13" s="112">
        <f>+I13+(('3 Recursos físicos'!E136*0.95)/Depreciación!$D13)</f>
        <v>0</v>
      </c>
      <c r="Q13" s="112">
        <f>+J13+(('3 Recursos físicos'!F136*0.95)/Depreciación!$D13)</f>
        <v>0</v>
      </c>
      <c r="R13" s="112">
        <f>+K13+(('3 Recursos físicos'!G136*0.95)/Depreciación!$D13)</f>
        <v>0</v>
      </c>
      <c r="S13" s="112">
        <f>+L13+(('3 Recursos físicos'!H136*0.95)/Depreciación!$D13)</f>
        <v>0</v>
      </c>
      <c r="T13" s="113">
        <f>+F13+(('3 Recursos físicos'!I136*0.95)/Depreciación!$D13)</f>
        <v>0</v>
      </c>
    </row>
    <row r="14" spans="1:20" hidden="1" x14ac:dyDescent="0.3">
      <c r="A14" s="121" t="str">
        <f>+'3 Recursos físicos'!A10</f>
        <v>Libros</v>
      </c>
      <c r="B14" s="169">
        <f>+'3 Recursos físicos'!E15</f>
        <v>0</v>
      </c>
      <c r="C14" s="123">
        <f t="shared" si="3"/>
        <v>0</v>
      </c>
      <c r="D14" s="533">
        <v>10</v>
      </c>
      <c r="E14" s="170">
        <f>+(B14-C14)/D14</f>
        <v>0</v>
      </c>
      <c r="F14" s="112">
        <f>+E14/2</f>
        <v>0</v>
      </c>
      <c r="G14" s="169">
        <f t="shared" ref="G14:L18" si="16">+F14</f>
        <v>0</v>
      </c>
      <c r="H14" s="169">
        <f t="shared" si="16"/>
        <v>0</v>
      </c>
      <c r="I14" s="169">
        <f t="shared" si="16"/>
        <v>0</v>
      </c>
      <c r="J14" s="169">
        <f t="shared" si="16"/>
        <v>0</v>
      </c>
      <c r="K14" s="169">
        <f t="shared" si="16"/>
        <v>0</v>
      </c>
      <c r="L14" s="171">
        <f t="shared" si="16"/>
        <v>0</v>
      </c>
      <c r="N14" s="170">
        <f>+G14+(('3 Recursos físicos'!C137*0.95)/Depreciación!$D14)</f>
        <v>0</v>
      </c>
      <c r="O14" s="112">
        <f>+H14+(('3 Recursos físicos'!D137*0.95)/Depreciación!$D14)</f>
        <v>0</v>
      </c>
      <c r="P14" s="112">
        <f>+I14+(('3 Recursos físicos'!E137*0.95)/Depreciación!$D14)</f>
        <v>0</v>
      </c>
      <c r="Q14" s="112">
        <f>+J14+(('3 Recursos físicos'!F137*0.95)/Depreciación!$D14)</f>
        <v>0</v>
      </c>
      <c r="R14" s="112">
        <f>+K14+(('3 Recursos físicos'!G137*0.95)/Depreciación!$D14)</f>
        <v>0</v>
      </c>
      <c r="S14" s="112">
        <f>+L14+(('3 Recursos físicos'!H137*0.95)/Depreciación!$D14)</f>
        <v>0</v>
      </c>
      <c r="T14" s="113">
        <f>+F14+(('3 Recursos físicos'!I137*0.95)/Depreciación!$D14)</f>
        <v>0</v>
      </c>
    </row>
    <row r="15" spans="1:20" hidden="1" x14ac:dyDescent="0.3">
      <c r="A15" s="121">
        <f>+'3 Recursos físicos'!A11</f>
        <v>0</v>
      </c>
      <c r="B15" s="169">
        <f>+'3 Recursos físicos'!E16</f>
        <v>0</v>
      </c>
      <c r="C15" s="123">
        <f t="shared" si="3"/>
        <v>0</v>
      </c>
      <c r="D15" s="533">
        <v>10</v>
      </c>
      <c r="E15" s="170">
        <f>+(B15-C15)/D15</f>
        <v>0</v>
      </c>
      <c r="F15" s="112">
        <f>+E15/2</f>
        <v>0</v>
      </c>
      <c r="G15" s="169">
        <f t="shared" si="16"/>
        <v>0</v>
      </c>
      <c r="H15" s="169">
        <f t="shared" si="16"/>
        <v>0</v>
      </c>
      <c r="I15" s="169">
        <f t="shared" si="16"/>
        <v>0</v>
      </c>
      <c r="J15" s="169">
        <f t="shared" si="16"/>
        <v>0</v>
      </c>
      <c r="K15" s="169">
        <f t="shared" si="16"/>
        <v>0</v>
      </c>
      <c r="L15" s="171">
        <f t="shared" si="16"/>
        <v>0</v>
      </c>
      <c r="N15" s="170">
        <f>+G15+(('3 Recursos físicos'!C138*0.95)/Depreciación!$D15)</f>
        <v>0</v>
      </c>
      <c r="O15" s="112">
        <f>+H15+(('3 Recursos físicos'!D138*0.95)/Depreciación!$D15)</f>
        <v>0</v>
      </c>
      <c r="P15" s="112">
        <f>+I15+(('3 Recursos físicos'!E138*0.95)/Depreciación!$D15)</f>
        <v>0</v>
      </c>
      <c r="Q15" s="112">
        <f>+J15+(('3 Recursos físicos'!F138*0.95)/Depreciación!$D15)</f>
        <v>0</v>
      </c>
      <c r="R15" s="112">
        <f>+K15+(('3 Recursos físicos'!G138*0.95)/Depreciación!$D15)</f>
        <v>0</v>
      </c>
      <c r="S15" s="112">
        <f>+L15+(('3 Recursos físicos'!H138*0.95)/Depreciación!$D15)</f>
        <v>0</v>
      </c>
      <c r="T15" s="113">
        <f>+F15+(('3 Recursos físicos'!I138*0.95)/Depreciación!$D15)</f>
        <v>0</v>
      </c>
    </row>
    <row r="16" spans="1:20" hidden="1" x14ac:dyDescent="0.3">
      <c r="A16" s="121">
        <f>+'3 Recursos físicos'!A12</f>
        <v>0</v>
      </c>
      <c r="B16" s="169">
        <f>+'3 Recursos físicos'!E17</f>
        <v>0</v>
      </c>
      <c r="C16" s="123">
        <f t="shared" si="3"/>
        <v>0</v>
      </c>
      <c r="D16" s="533">
        <v>10</v>
      </c>
      <c r="E16" s="170">
        <f>+(B16-C16)/D16</f>
        <v>0</v>
      </c>
      <c r="F16" s="112">
        <f>+E16/2</f>
        <v>0</v>
      </c>
      <c r="G16" s="169">
        <f t="shared" si="16"/>
        <v>0</v>
      </c>
      <c r="H16" s="169">
        <f t="shared" si="16"/>
        <v>0</v>
      </c>
      <c r="I16" s="169">
        <f t="shared" si="16"/>
        <v>0</v>
      </c>
      <c r="J16" s="169">
        <f t="shared" si="16"/>
        <v>0</v>
      </c>
      <c r="K16" s="169">
        <f t="shared" si="16"/>
        <v>0</v>
      </c>
      <c r="L16" s="171">
        <f t="shared" si="16"/>
        <v>0</v>
      </c>
      <c r="N16" s="170">
        <f>+G16+(('3 Recursos físicos'!C139*0.95)/Depreciación!$D16)</f>
        <v>0</v>
      </c>
      <c r="O16" s="112">
        <f>+H16+(('3 Recursos físicos'!D139*0.95)/Depreciación!$D16)</f>
        <v>0</v>
      </c>
      <c r="P16" s="112">
        <f>+I16+(('3 Recursos físicos'!E139*0.95)/Depreciación!$D16)</f>
        <v>0</v>
      </c>
      <c r="Q16" s="112">
        <f>+J16+(('3 Recursos físicos'!F139*0.95)/Depreciación!$D16)</f>
        <v>0</v>
      </c>
      <c r="R16" s="112">
        <f>+K16+(('3 Recursos físicos'!G139*0.95)/Depreciación!$D16)</f>
        <v>0</v>
      </c>
      <c r="S16" s="112">
        <f>+L16+(('3 Recursos físicos'!H139*0.95)/Depreciación!$D16)</f>
        <v>0</v>
      </c>
      <c r="T16" s="113">
        <f>+F16+(('3 Recursos físicos'!I139*0.95)/Depreciación!$D16)</f>
        <v>0</v>
      </c>
    </row>
    <row r="17" spans="1:20" hidden="1" x14ac:dyDescent="0.3">
      <c r="A17" s="121">
        <f>+'3 Recursos físicos'!A13</f>
        <v>0</v>
      </c>
      <c r="B17" s="169">
        <f>+'3 Recursos físicos'!E18</f>
        <v>0</v>
      </c>
      <c r="C17" s="123">
        <f t="shared" si="3"/>
        <v>0</v>
      </c>
      <c r="D17" s="533">
        <v>10</v>
      </c>
      <c r="E17" s="170">
        <f>+(B17-C17)/D17</f>
        <v>0</v>
      </c>
      <c r="F17" s="112">
        <f>+E17/2</f>
        <v>0</v>
      </c>
      <c r="G17" s="169">
        <f t="shared" si="16"/>
        <v>0</v>
      </c>
      <c r="H17" s="169">
        <f t="shared" si="16"/>
        <v>0</v>
      </c>
      <c r="I17" s="169">
        <f t="shared" si="16"/>
        <v>0</v>
      </c>
      <c r="J17" s="169">
        <f t="shared" si="16"/>
        <v>0</v>
      </c>
      <c r="K17" s="169">
        <f t="shared" si="16"/>
        <v>0</v>
      </c>
      <c r="L17" s="171">
        <f t="shared" si="16"/>
        <v>0</v>
      </c>
      <c r="N17" s="170">
        <f>+G17+(('3 Recursos físicos'!C140*0.95)/Depreciación!$D17)</f>
        <v>0</v>
      </c>
      <c r="O17" s="112">
        <f>+H17+(('3 Recursos físicos'!D140*0.95)/Depreciación!$D17)</f>
        <v>0</v>
      </c>
      <c r="P17" s="112">
        <f>+I17+(('3 Recursos físicos'!E140*0.95)/Depreciación!$D17)</f>
        <v>0</v>
      </c>
      <c r="Q17" s="112">
        <f>+J17+(('3 Recursos físicos'!F140*0.95)/Depreciación!$D17)</f>
        <v>0</v>
      </c>
      <c r="R17" s="112">
        <f>+K17+(('3 Recursos físicos'!G140*0.95)/Depreciación!$D17)</f>
        <v>0</v>
      </c>
      <c r="S17" s="112">
        <f>+L17+(('3 Recursos físicos'!H140*0.95)/Depreciación!$D17)</f>
        <v>0</v>
      </c>
      <c r="T17" s="113">
        <f>+F17+(('3 Recursos físicos'!I140*0.95)/Depreciación!$D17)</f>
        <v>0</v>
      </c>
    </row>
    <row r="18" spans="1:20" hidden="1" x14ac:dyDescent="0.3">
      <c r="A18" s="121">
        <f>+'3 Recursos físicos'!A14</f>
        <v>0</v>
      </c>
      <c r="B18" s="169">
        <f>+'3 Recursos físicos'!E19</f>
        <v>0</v>
      </c>
      <c r="C18" s="123">
        <f t="shared" si="3"/>
        <v>0</v>
      </c>
      <c r="D18" s="533">
        <v>10</v>
      </c>
      <c r="E18" s="170">
        <f>+(B18-C18)/D18</f>
        <v>0</v>
      </c>
      <c r="F18" s="112">
        <f>+E18/2</f>
        <v>0</v>
      </c>
      <c r="G18" s="169">
        <f t="shared" si="16"/>
        <v>0</v>
      </c>
      <c r="H18" s="169">
        <f t="shared" si="16"/>
        <v>0</v>
      </c>
      <c r="I18" s="169">
        <f t="shared" si="16"/>
        <v>0</v>
      </c>
      <c r="J18" s="169">
        <f t="shared" si="16"/>
        <v>0</v>
      </c>
      <c r="K18" s="169">
        <f t="shared" si="16"/>
        <v>0</v>
      </c>
      <c r="L18" s="171">
        <f t="shared" si="16"/>
        <v>0</v>
      </c>
      <c r="N18" s="170">
        <f>+G18+(('3 Recursos físicos'!C141*0.95)/Depreciación!$D18)</f>
        <v>0</v>
      </c>
      <c r="O18" s="112">
        <f>+H18+(('3 Recursos físicos'!D141*0.95)/Depreciación!$D18)</f>
        <v>0</v>
      </c>
      <c r="P18" s="112">
        <f>+I18+(('3 Recursos físicos'!E141*0.95)/Depreciación!$D18)</f>
        <v>0</v>
      </c>
      <c r="Q18" s="112">
        <f>+J18+(('3 Recursos físicos'!F141*0.95)/Depreciación!$D18)</f>
        <v>0</v>
      </c>
      <c r="R18" s="112">
        <f>+K18+(('3 Recursos físicos'!G141*0.95)/Depreciación!$D18)</f>
        <v>0</v>
      </c>
      <c r="S18" s="112">
        <f>+L18+(('3 Recursos físicos'!H141*0.95)/Depreciación!$D18)</f>
        <v>0</v>
      </c>
      <c r="T18" s="113">
        <f>+F18+(('3 Recursos físicos'!I141*0.95)/Depreciación!$D18)</f>
        <v>0</v>
      </c>
    </row>
    <row r="19" spans="1:20" hidden="1" x14ac:dyDescent="0.3">
      <c r="A19" s="121">
        <f>+'3 Recursos físicos'!A15</f>
        <v>0</v>
      </c>
      <c r="B19" s="169">
        <f>+'3 Recursos físicos'!E20</f>
        <v>0</v>
      </c>
      <c r="C19" s="123">
        <f t="shared" si="3"/>
        <v>0</v>
      </c>
      <c r="D19" s="533">
        <v>10</v>
      </c>
      <c r="E19" s="170">
        <f t="shared" si="6"/>
        <v>0</v>
      </c>
      <c r="F19" s="112">
        <f t="shared" si="4"/>
        <v>0</v>
      </c>
      <c r="G19" s="169">
        <f t="shared" ref="G19:L19" si="17">+F19</f>
        <v>0</v>
      </c>
      <c r="H19" s="169">
        <f t="shared" si="17"/>
        <v>0</v>
      </c>
      <c r="I19" s="169">
        <f t="shared" si="17"/>
        <v>0</v>
      </c>
      <c r="J19" s="169">
        <f t="shared" si="17"/>
        <v>0</v>
      </c>
      <c r="K19" s="169">
        <f t="shared" si="17"/>
        <v>0</v>
      </c>
      <c r="L19" s="171">
        <f t="shared" si="17"/>
        <v>0</v>
      </c>
      <c r="N19" s="170">
        <f>+G19+(('3 Recursos físicos'!C142*0.95)/Depreciación!$D19)</f>
        <v>0</v>
      </c>
      <c r="O19" s="112">
        <f>+H19+(('3 Recursos físicos'!D142*0.95)/Depreciación!$D19)</f>
        <v>0</v>
      </c>
      <c r="P19" s="112">
        <f>+I19+(('3 Recursos físicos'!E142*0.95)/Depreciación!$D19)</f>
        <v>0</v>
      </c>
      <c r="Q19" s="112">
        <f>+J19+(('3 Recursos físicos'!F142*0.95)/Depreciación!$D19)</f>
        <v>0</v>
      </c>
      <c r="R19" s="112">
        <f>+K19+(('3 Recursos físicos'!G142*0.95)/Depreciación!$D19)</f>
        <v>0</v>
      </c>
      <c r="S19" s="112">
        <f>+L19+(('3 Recursos físicos'!H142*0.95)/Depreciación!$D19)</f>
        <v>0</v>
      </c>
      <c r="T19" s="113">
        <f>+F19+(('3 Recursos físicos'!I142*0.95)/Depreciación!$D19)</f>
        <v>0</v>
      </c>
    </row>
    <row r="20" spans="1:20" ht="10.8" thickBot="1" x14ac:dyDescent="0.35">
      <c r="A20" s="136">
        <f>+'3 Recursos físicos'!A16</f>
        <v>0</v>
      </c>
      <c r="B20" s="174">
        <f>+'3 Recursos físicos'!E21</f>
        <v>0</v>
      </c>
      <c r="C20" s="127">
        <f t="shared" si="3"/>
        <v>0</v>
      </c>
      <c r="D20" s="534">
        <v>10</v>
      </c>
      <c r="E20" s="172">
        <f t="shared" si="6"/>
        <v>0</v>
      </c>
      <c r="F20" s="173">
        <f t="shared" si="4"/>
        <v>0</v>
      </c>
      <c r="G20" s="174">
        <f t="shared" ref="G20:L20" si="18">+F20</f>
        <v>0</v>
      </c>
      <c r="H20" s="174">
        <f t="shared" si="18"/>
        <v>0</v>
      </c>
      <c r="I20" s="174">
        <f t="shared" si="18"/>
        <v>0</v>
      </c>
      <c r="J20" s="174">
        <f t="shared" si="18"/>
        <v>0</v>
      </c>
      <c r="K20" s="174">
        <f t="shared" si="18"/>
        <v>0</v>
      </c>
      <c r="L20" s="175">
        <f t="shared" si="18"/>
        <v>0</v>
      </c>
      <c r="N20" s="172">
        <f>+G20+(('3 Recursos físicos'!C143*0.95)/Depreciación!$D20)</f>
        <v>0</v>
      </c>
      <c r="O20" s="173">
        <f>+H20+(('3 Recursos físicos'!D143*0.95)/Depreciación!$D20)</f>
        <v>0</v>
      </c>
      <c r="P20" s="173">
        <f>+I20+(('3 Recursos físicos'!E143*0.95)/Depreciación!$D20)</f>
        <v>0</v>
      </c>
      <c r="Q20" s="173">
        <f>+J20+(('3 Recursos físicos'!F143*0.95)/Depreciación!$D20)</f>
        <v>0</v>
      </c>
      <c r="R20" s="173">
        <f>+K20+(('3 Recursos físicos'!G143*0.95)/Depreciación!$D20)</f>
        <v>0</v>
      </c>
      <c r="S20" s="173">
        <f>+L20+(('3 Recursos físicos'!H143*0.95)/Depreciación!$D20)</f>
        <v>0</v>
      </c>
      <c r="T20" s="113">
        <f>+F20+(('3 Recursos físicos'!I143*0.95)/Depreciación!$D20)</f>
        <v>0</v>
      </c>
    </row>
    <row r="21" spans="1:20" ht="24.75" customHeight="1" x14ac:dyDescent="0.3">
      <c r="A21" s="995" t="str">
        <f>+'3 Recursos físicos'!A22</f>
        <v>Laboratorios y Equipos</v>
      </c>
      <c r="B21" s="996"/>
      <c r="C21" s="996"/>
      <c r="D21" s="997"/>
      <c r="E21" s="179">
        <f t="shared" ref="E21:L21" si="19">SUM(E22:E34)</f>
        <v>35.803125000000001</v>
      </c>
      <c r="F21" s="186">
        <f t="shared" si="19"/>
        <v>17.901562500000001</v>
      </c>
      <c r="G21" s="186">
        <f t="shared" si="19"/>
        <v>17.901562500000001</v>
      </c>
      <c r="H21" s="186">
        <f t="shared" si="19"/>
        <v>17.901562500000001</v>
      </c>
      <c r="I21" s="186">
        <f t="shared" si="19"/>
        <v>17.901562500000001</v>
      </c>
      <c r="J21" s="186">
        <f t="shared" si="19"/>
        <v>17.901562500000001</v>
      </c>
      <c r="K21" s="186">
        <f t="shared" si="19"/>
        <v>17.901562500000001</v>
      </c>
      <c r="L21" s="134">
        <f t="shared" si="19"/>
        <v>17.901562500000001</v>
      </c>
      <c r="M21" s="165"/>
      <c r="N21" s="179">
        <f t="shared" ref="N21:T21" si="20">SUM(N22:N34)</f>
        <v>86.048405549999998</v>
      </c>
      <c r="O21" s="186">
        <f t="shared" si="20"/>
        <v>2512.17900153765</v>
      </c>
      <c r="P21" s="186">
        <f t="shared" si="20"/>
        <v>4956.1422095832604</v>
      </c>
      <c r="Q21" s="186">
        <f t="shared" si="20"/>
        <v>4970.7853295480199</v>
      </c>
      <c r="R21" s="186">
        <f t="shared" si="20"/>
        <v>5006.8561475170918</v>
      </c>
      <c r="S21" s="186">
        <f t="shared" si="20"/>
        <v>5013.4966160386175</v>
      </c>
      <c r="T21" s="134">
        <f t="shared" si="20"/>
        <v>5047.4537676366199</v>
      </c>
    </row>
    <row r="22" spans="1:20" x14ac:dyDescent="0.3">
      <c r="A22" s="121" t="str">
        <f>+'3 Recursos físicos'!A23</f>
        <v>Operatividad EVEA</v>
      </c>
      <c r="B22" s="169">
        <f>+'3 Recursos físicos'!E23</f>
        <v>225</v>
      </c>
      <c r="C22" s="123">
        <f t="shared" ref="C22:C34" si="21">+B22*5%</f>
        <v>11.25</v>
      </c>
      <c r="D22" s="533">
        <v>10</v>
      </c>
      <c r="E22" s="170">
        <f>+(B22-C22)/D22</f>
        <v>21.375</v>
      </c>
      <c r="F22" s="112">
        <f>+E22/2</f>
        <v>10.6875</v>
      </c>
      <c r="G22" s="169">
        <f t="shared" ref="G22:L22" si="22">+F22</f>
        <v>10.6875</v>
      </c>
      <c r="H22" s="169">
        <f t="shared" si="22"/>
        <v>10.6875</v>
      </c>
      <c r="I22" s="169">
        <f t="shared" si="22"/>
        <v>10.6875</v>
      </c>
      <c r="J22" s="169">
        <f t="shared" si="22"/>
        <v>10.6875</v>
      </c>
      <c r="K22" s="169">
        <f t="shared" si="22"/>
        <v>10.6875</v>
      </c>
      <c r="L22" s="171">
        <f t="shared" si="22"/>
        <v>10.6875</v>
      </c>
      <c r="N22" s="170">
        <f>+G22+(('3 Recursos físicos'!C145*0.95)/Depreciación!$D22)</f>
        <v>73.462309649999995</v>
      </c>
      <c r="O22" s="112">
        <f>+H22+(('3 Recursos físicos'!D145*0.95)/Depreciación!$D22)</f>
        <v>88.790005312649996</v>
      </c>
      <c r="P22" s="112">
        <f>+I22+(('3 Recursos físicos'!E145*0.95)/Depreciación!$D22)</f>
        <v>124.18487477075969</v>
      </c>
      <c r="Q22" s="112">
        <f>+J22+(('3 Recursos físicos'!F145*0.95)/Depreciación!$D22)</f>
        <v>136.57974907926976</v>
      </c>
      <c r="R22" s="112">
        <f>+K22+(('3 Recursos físicos'!G145*0.95)/Depreciación!$D22)</f>
        <v>168.61314767959067</v>
      </c>
      <c r="S22" s="112">
        <f>+L22+(('3 Recursos físicos'!H145*0.95)/Depreciación!$D22)</f>
        <v>173.52890200736721</v>
      </c>
      <c r="T22" s="113">
        <f>+F22+(('3 Recursos físicos'!I145*0.95)/Depreciación!$D22)</f>
        <v>203.55050641786917</v>
      </c>
    </row>
    <row r="23" spans="1:20" x14ac:dyDescent="0.3">
      <c r="A23" s="121" t="str">
        <f>+'3 Recursos físicos'!A24</f>
        <v>Licencias, almacenamiento y webninar ZOOM</v>
      </c>
      <c r="B23" s="169">
        <f>+'3 Recursos físicos'!E24</f>
        <v>151.875</v>
      </c>
      <c r="C23" s="123">
        <f t="shared" si="21"/>
        <v>7.59375</v>
      </c>
      <c r="D23" s="533">
        <v>10</v>
      </c>
      <c r="E23" s="170">
        <f t="shared" ref="E23:E34" si="23">+(B23-C23)/D23</f>
        <v>14.428125</v>
      </c>
      <c r="F23" s="112">
        <f t="shared" ref="F23:F34" si="24">+E23/2</f>
        <v>7.2140624999999998</v>
      </c>
      <c r="G23" s="169">
        <f t="shared" ref="G23:L23" si="25">+F23</f>
        <v>7.2140624999999998</v>
      </c>
      <c r="H23" s="169">
        <f t="shared" si="25"/>
        <v>7.2140624999999998</v>
      </c>
      <c r="I23" s="169">
        <f t="shared" si="25"/>
        <v>7.2140624999999998</v>
      </c>
      <c r="J23" s="169">
        <f t="shared" si="25"/>
        <v>7.2140624999999998</v>
      </c>
      <c r="K23" s="169">
        <f t="shared" si="25"/>
        <v>7.2140624999999998</v>
      </c>
      <c r="L23" s="171">
        <f t="shared" si="25"/>
        <v>7.2140624999999998</v>
      </c>
      <c r="N23" s="170">
        <f>+G23+(('3 Recursos físicos'!C146*0.95)/Depreciación!$D23)</f>
        <v>12.5860959</v>
      </c>
      <c r="O23" s="112">
        <f>+H23+(('3 Recursos físicos'!D146*0.95)/Depreciación!$D23)</f>
        <v>14.426496224999999</v>
      </c>
      <c r="P23" s="112">
        <f>+I23+(('3 Recursos físicos'!E146*0.95)/Depreciación!$D23)</f>
        <v>18.307334812499999</v>
      </c>
      <c r="Q23" s="112">
        <f>+J23+(('3 Recursos físicos'!F146*0.95)/Depreciación!$D23)</f>
        <v>20.555580468749998</v>
      </c>
      <c r="R23" s="112">
        <f>+K23+(('3 Recursos físicos'!G146*0.95)/Depreciación!$D23)</f>
        <v>24.592999837499999</v>
      </c>
      <c r="S23" s="112">
        <f>+L23+(('3 Recursos físicos'!H146*0.95)/Depreciación!$D23)</f>
        <v>26.317714031250002</v>
      </c>
      <c r="T23" s="113">
        <f>+F23+(('3 Recursos físicos'!I146*0.95)/Depreciación!$D23)</f>
        <v>30.253261218750005</v>
      </c>
    </row>
    <row r="24" spans="1:20" x14ac:dyDescent="0.3">
      <c r="A24" s="121" t="str">
        <f>+'3 Recursos físicos'!A25</f>
        <v>Laboratorio de  Redes</v>
      </c>
      <c r="B24" s="169">
        <f>+'3 Recursos físicos'!E25</f>
        <v>0</v>
      </c>
      <c r="C24" s="123">
        <f t="shared" si="21"/>
        <v>0</v>
      </c>
      <c r="D24" s="533">
        <v>10</v>
      </c>
      <c r="E24" s="170">
        <f t="shared" si="23"/>
        <v>0</v>
      </c>
      <c r="F24" s="112">
        <f t="shared" si="24"/>
        <v>0</v>
      </c>
      <c r="G24" s="169">
        <f t="shared" ref="G24:L24" si="26">+F24</f>
        <v>0</v>
      </c>
      <c r="H24" s="169">
        <f t="shared" si="26"/>
        <v>0</v>
      </c>
      <c r="I24" s="169">
        <f t="shared" si="26"/>
        <v>0</v>
      </c>
      <c r="J24" s="169">
        <f t="shared" si="26"/>
        <v>0</v>
      </c>
      <c r="K24" s="169">
        <f t="shared" si="26"/>
        <v>0</v>
      </c>
      <c r="L24" s="171">
        <f t="shared" si="26"/>
        <v>0</v>
      </c>
      <c r="N24" s="170">
        <f>+G24+(('3 Recursos físicos'!C147*0.95)/Depreciación!$D24)</f>
        <v>0</v>
      </c>
      <c r="O24" s="112">
        <f>+H24+(('3 Recursos físicos'!D147*0.95)/Depreciación!$D24)</f>
        <v>2408.9625000000001</v>
      </c>
      <c r="P24" s="112">
        <v>2406.8250000000003</v>
      </c>
      <c r="Q24" s="112">
        <v>2406.8250000000003</v>
      </c>
      <c r="R24" s="112">
        <v>2406.8250000000003</v>
      </c>
      <c r="S24" s="112">
        <v>2406.8250000000003</v>
      </c>
      <c r="T24" s="112">
        <v>2406.8250000000003</v>
      </c>
    </row>
    <row r="25" spans="1:20" x14ac:dyDescent="0.3">
      <c r="A25" s="121" t="str">
        <f>+'3 Recursos físicos'!A26</f>
        <v>Laboratorio de  Redes</v>
      </c>
      <c r="B25" s="169">
        <f>+'3 Recursos físicos'!E26</f>
        <v>0</v>
      </c>
      <c r="C25" s="123">
        <f t="shared" si="21"/>
        <v>0</v>
      </c>
      <c r="D25" s="533">
        <v>10</v>
      </c>
      <c r="E25" s="170">
        <f>+(B25-C25)/D25</f>
        <v>0</v>
      </c>
      <c r="F25" s="112">
        <f>+E25/2</f>
        <v>0</v>
      </c>
      <c r="G25" s="169">
        <f t="shared" ref="G25:L29" si="27">+F25</f>
        <v>0</v>
      </c>
      <c r="H25" s="169">
        <f t="shared" si="27"/>
        <v>0</v>
      </c>
      <c r="I25" s="169">
        <f t="shared" si="27"/>
        <v>0</v>
      </c>
      <c r="J25" s="169">
        <f t="shared" si="27"/>
        <v>0</v>
      </c>
      <c r="K25" s="169">
        <f t="shared" si="27"/>
        <v>0</v>
      </c>
      <c r="L25" s="171">
        <f t="shared" si="27"/>
        <v>0</v>
      </c>
      <c r="N25" s="170">
        <f>+G25+(('3 Recursos físicos'!C148*0.95)/Depreciación!$D25)</f>
        <v>0</v>
      </c>
      <c r="O25" s="112">
        <f>+H25+(('3 Recursos físicos'!D148*0.95)/Depreciación!$D25)</f>
        <v>0</v>
      </c>
      <c r="P25" s="112">
        <v>2406.8250000000003</v>
      </c>
      <c r="Q25" s="112">
        <v>2406.8250000000003</v>
      </c>
      <c r="R25" s="112">
        <v>2406.8250000000003</v>
      </c>
      <c r="S25" s="112">
        <v>2406.8250000000003</v>
      </c>
      <c r="T25" s="112">
        <v>2406.8250000000003</v>
      </c>
    </row>
    <row r="26" spans="1:20" x14ac:dyDescent="0.3">
      <c r="A26" s="121">
        <f>+'3 Recursos físicos'!A27</f>
        <v>0</v>
      </c>
      <c r="B26" s="169">
        <f>+'3 Recursos físicos'!E27</f>
        <v>0</v>
      </c>
      <c r="C26" s="123">
        <f t="shared" si="21"/>
        <v>0</v>
      </c>
      <c r="D26" s="533">
        <v>10</v>
      </c>
      <c r="E26" s="170">
        <f>+(B26-C26)/D26</f>
        <v>0</v>
      </c>
      <c r="F26" s="112">
        <f>+E26/2</f>
        <v>0</v>
      </c>
      <c r="G26" s="169">
        <f t="shared" si="27"/>
        <v>0</v>
      </c>
      <c r="H26" s="169">
        <f t="shared" si="27"/>
        <v>0</v>
      </c>
      <c r="I26" s="169">
        <f t="shared" si="27"/>
        <v>0</v>
      </c>
      <c r="J26" s="169">
        <f t="shared" si="27"/>
        <v>0</v>
      </c>
      <c r="K26" s="169">
        <f t="shared" si="27"/>
        <v>0</v>
      </c>
      <c r="L26" s="171">
        <f t="shared" si="27"/>
        <v>0</v>
      </c>
      <c r="N26" s="170">
        <f>+G26+(('3 Recursos físicos'!C161*0.95)/Depreciación!$D26)</f>
        <v>0</v>
      </c>
      <c r="O26" s="112">
        <f>+H26+(('3 Recursos físicos'!D161*0.95)/Depreciación!$D26)</f>
        <v>0</v>
      </c>
      <c r="P26" s="112">
        <f>+I26+(('3 Recursos físicos'!E161*0.95)/Depreciación!$D26)</f>
        <v>0</v>
      </c>
      <c r="Q26" s="112">
        <f>+J26+(('3 Recursos físicos'!F161*0.95)/Depreciación!$D26)</f>
        <v>0</v>
      </c>
      <c r="R26" s="112">
        <f>+K26+(('3 Recursos físicos'!G161*0.95)/Depreciación!$D26)</f>
        <v>0</v>
      </c>
      <c r="S26" s="112">
        <f>+L26+(('3 Recursos físicos'!H161*0.95)/Depreciación!$D26)+R26</f>
        <v>0</v>
      </c>
      <c r="T26" s="112">
        <f>+M26+(('3 Recursos físicos'!I161*0.95)/Depreciación!$D26)+S26</f>
        <v>0</v>
      </c>
    </row>
    <row r="27" spans="1:20" x14ac:dyDescent="0.3">
      <c r="A27" s="121" t="str">
        <f>+'3 Recursos físicos'!A29</f>
        <v>Equipo de audio</v>
      </c>
      <c r="B27" s="169">
        <f>+'3 Recursos físicos'!E31</f>
        <v>0</v>
      </c>
      <c r="C27" s="123">
        <f t="shared" si="21"/>
        <v>0</v>
      </c>
      <c r="D27" s="533">
        <v>10</v>
      </c>
      <c r="E27" s="170">
        <f>+(B27-C27)/D27</f>
        <v>0</v>
      </c>
      <c r="F27" s="112">
        <f>+E27/2</f>
        <v>0</v>
      </c>
      <c r="G27" s="169">
        <f t="shared" si="27"/>
        <v>0</v>
      </c>
      <c r="H27" s="169">
        <f t="shared" si="27"/>
        <v>0</v>
      </c>
      <c r="I27" s="169">
        <f t="shared" si="27"/>
        <v>0</v>
      </c>
      <c r="J27" s="169">
        <f t="shared" si="27"/>
        <v>0</v>
      </c>
      <c r="K27" s="169">
        <f t="shared" si="27"/>
        <v>0</v>
      </c>
      <c r="L27" s="171">
        <f t="shared" si="27"/>
        <v>0</v>
      </c>
      <c r="N27" s="170">
        <f>+G27+(('3 Recursos físicos'!C163*0.95)/Depreciación!$D27)</f>
        <v>0</v>
      </c>
      <c r="O27" s="112">
        <f>+H27+(('3 Recursos físicos'!D163*0.95)/Depreciación!$D27)</f>
        <v>0</v>
      </c>
      <c r="P27" s="112">
        <f>+I27+(('3 Recursos físicos'!E163*0.95)/Depreciación!$D27)</f>
        <v>0</v>
      </c>
      <c r="Q27" s="112">
        <f>+J27+(('3 Recursos físicos'!F163*0.95)/Depreciación!$D27)</f>
        <v>0</v>
      </c>
      <c r="R27" s="112">
        <f>+K27+(('3 Recursos físicos'!G163*0.95)/Depreciación!$D27)</f>
        <v>0</v>
      </c>
      <c r="S27" s="112">
        <f>+L27+(('3 Recursos físicos'!H163*0.95)/Depreciación!$D27)</f>
        <v>0</v>
      </c>
      <c r="T27" s="112">
        <f>+N27+(('3 Recursos físicos'!I163*0.95)/Depreciación!$D27)</f>
        <v>0</v>
      </c>
    </row>
    <row r="28" spans="1:20" x14ac:dyDescent="0.3">
      <c r="A28" s="121">
        <f>+'3 Recursos físicos'!A30</f>
        <v>0</v>
      </c>
      <c r="B28" s="169">
        <f>+'3 Recursos físicos'!E32</f>
        <v>0</v>
      </c>
      <c r="C28" s="123">
        <f t="shared" si="21"/>
        <v>0</v>
      </c>
      <c r="D28" s="533">
        <v>10</v>
      </c>
      <c r="E28" s="170">
        <f>+(B28-C28)/D28</f>
        <v>0</v>
      </c>
      <c r="F28" s="112">
        <f>+E28/2</f>
        <v>0</v>
      </c>
      <c r="G28" s="169">
        <f t="shared" si="27"/>
        <v>0</v>
      </c>
      <c r="H28" s="169">
        <f t="shared" si="27"/>
        <v>0</v>
      </c>
      <c r="I28" s="169">
        <f t="shared" si="27"/>
        <v>0</v>
      </c>
      <c r="J28" s="169">
        <f t="shared" si="27"/>
        <v>0</v>
      </c>
      <c r="K28" s="169">
        <f t="shared" si="27"/>
        <v>0</v>
      </c>
      <c r="L28" s="171">
        <f t="shared" si="27"/>
        <v>0</v>
      </c>
      <c r="N28" s="170">
        <f>+G28+(('3 Recursos físicos'!C164*0.95)/Depreciación!$D28)</f>
        <v>0</v>
      </c>
      <c r="O28" s="112">
        <f>+H28+(('3 Recursos físicos'!D164*0.95)/Depreciación!$D28)</f>
        <v>0</v>
      </c>
      <c r="P28" s="112">
        <f>+I28+(('3 Recursos físicos'!E164*0.95)/Depreciación!$D28)</f>
        <v>0</v>
      </c>
      <c r="Q28" s="112">
        <f>+J28+(('3 Recursos físicos'!F164*0.95)/Depreciación!$D28)</f>
        <v>0</v>
      </c>
      <c r="R28" s="112">
        <f>+K28+(('3 Recursos físicos'!G164*0.95)/Depreciación!$D28)</f>
        <v>0</v>
      </c>
      <c r="S28" s="112">
        <f>+L28+(('3 Recursos físicos'!H164*0.95)/Depreciación!$D28)</f>
        <v>0</v>
      </c>
      <c r="T28" s="112">
        <f>+M28+(('3 Recursos físicos'!I164*0.95)/Depreciación!$D28)</f>
        <v>0</v>
      </c>
    </row>
    <row r="29" spans="1:20" x14ac:dyDescent="0.3">
      <c r="A29" s="121">
        <f>+'3 Recursos físicos'!A33</f>
        <v>0</v>
      </c>
      <c r="B29" s="169">
        <f>+'3 Recursos físicos'!E33</f>
        <v>0</v>
      </c>
      <c r="C29" s="123">
        <f t="shared" si="21"/>
        <v>0</v>
      </c>
      <c r="D29" s="533">
        <v>10</v>
      </c>
      <c r="E29" s="170">
        <f>+(B29-C29)/D29</f>
        <v>0</v>
      </c>
      <c r="F29" s="112">
        <f>+E29/2</f>
        <v>0</v>
      </c>
      <c r="G29" s="169">
        <f t="shared" si="27"/>
        <v>0</v>
      </c>
      <c r="H29" s="169">
        <f t="shared" si="27"/>
        <v>0</v>
      </c>
      <c r="I29" s="169">
        <f t="shared" si="27"/>
        <v>0</v>
      </c>
      <c r="J29" s="169">
        <f t="shared" si="27"/>
        <v>0</v>
      </c>
      <c r="K29" s="169">
        <f t="shared" si="27"/>
        <v>0</v>
      </c>
      <c r="L29" s="171">
        <f t="shared" si="27"/>
        <v>0</v>
      </c>
      <c r="N29" s="170">
        <f>+G29+(('3 Recursos físicos'!C165*0.95)/Depreciación!$D29)</f>
        <v>0</v>
      </c>
      <c r="O29" s="112">
        <f>+H29+(('3 Recursos físicos'!D165*0.95)/Depreciación!$D29)</f>
        <v>0</v>
      </c>
      <c r="P29" s="112">
        <f>+I29+(('3 Recursos físicos'!E165*0.95)/Depreciación!$D29)</f>
        <v>0</v>
      </c>
      <c r="Q29" s="112">
        <f>+J29+(('3 Recursos físicos'!F165*0.95)/Depreciación!$D29)</f>
        <v>0</v>
      </c>
      <c r="R29" s="112">
        <f>+K29+(('3 Recursos físicos'!G165*0.95)/Depreciación!$D29)</f>
        <v>0</v>
      </c>
      <c r="S29" s="112">
        <f>+L29+(('3 Recursos físicos'!H165*0.95)/Depreciación!$D29)</f>
        <v>0</v>
      </c>
      <c r="T29" s="112">
        <f>+N29+(('3 Recursos físicos'!I165*0.95)/Depreciación!$D29)</f>
        <v>0</v>
      </c>
    </row>
    <row r="30" spans="1:20" x14ac:dyDescent="0.3">
      <c r="A30" s="121">
        <f>+'3 Recursos físicos'!A34</f>
        <v>0</v>
      </c>
      <c r="B30" s="169">
        <f>+'3 Recursos físicos'!E34</f>
        <v>0</v>
      </c>
      <c r="C30" s="123">
        <f t="shared" si="21"/>
        <v>0</v>
      </c>
      <c r="D30" s="533">
        <v>10</v>
      </c>
      <c r="E30" s="170">
        <f t="shared" si="23"/>
        <v>0</v>
      </c>
      <c r="F30" s="112">
        <f t="shared" si="24"/>
        <v>0</v>
      </c>
      <c r="G30" s="169">
        <f t="shared" ref="G30:L30" si="28">+F30</f>
        <v>0</v>
      </c>
      <c r="H30" s="169">
        <f t="shared" si="28"/>
        <v>0</v>
      </c>
      <c r="I30" s="169">
        <f t="shared" si="28"/>
        <v>0</v>
      </c>
      <c r="J30" s="169">
        <f t="shared" si="28"/>
        <v>0</v>
      </c>
      <c r="K30" s="169">
        <f t="shared" si="28"/>
        <v>0</v>
      </c>
      <c r="L30" s="171">
        <f t="shared" si="28"/>
        <v>0</v>
      </c>
      <c r="N30" s="170">
        <f>+G30+(('3 Recursos físicos'!C166*0.95)/Depreciación!$D30)</f>
        <v>0</v>
      </c>
      <c r="O30" s="112">
        <f>+H30+(('3 Recursos físicos'!D166*0.95)/Depreciación!$D30)</f>
        <v>0</v>
      </c>
      <c r="P30" s="112">
        <f>+I30+(('3 Recursos físicos'!E166*0.95)/Depreciación!$D30)</f>
        <v>0</v>
      </c>
      <c r="Q30" s="112">
        <f>+J30+(('3 Recursos físicos'!F166*0.95)/Depreciación!$D30)</f>
        <v>0</v>
      </c>
      <c r="R30" s="112">
        <f>+K30+(('3 Recursos físicos'!G166*0.95)/Depreciación!$D30)</f>
        <v>0</v>
      </c>
      <c r="S30" s="112">
        <f>+L30+(('3 Recursos físicos'!H166*0.95)/Depreciación!$D30)</f>
        <v>0</v>
      </c>
      <c r="T30" s="112">
        <f>+N30+(('3 Recursos físicos'!I166*0.95)/Depreciación!$D30)</f>
        <v>0</v>
      </c>
    </row>
    <row r="31" spans="1:20" x14ac:dyDescent="0.3">
      <c r="A31" s="121">
        <f>+'3 Recursos físicos'!A35</f>
        <v>0</v>
      </c>
      <c r="B31" s="169">
        <f>+'3 Recursos físicos'!E35</f>
        <v>0</v>
      </c>
      <c r="C31" s="123">
        <f t="shared" si="21"/>
        <v>0</v>
      </c>
      <c r="D31" s="533">
        <v>10</v>
      </c>
      <c r="E31" s="170">
        <f t="shared" si="23"/>
        <v>0</v>
      </c>
      <c r="F31" s="112">
        <f t="shared" si="24"/>
        <v>0</v>
      </c>
      <c r="G31" s="169">
        <f t="shared" ref="G31:L31" si="29">+F31</f>
        <v>0</v>
      </c>
      <c r="H31" s="169">
        <f t="shared" si="29"/>
        <v>0</v>
      </c>
      <c r="I31" s="169">
        <f t="shared" si="29"/>
        <v>0</v>
      </c>
      <c r="J31" s="169">
        <f t="shared" si="29"/>
        <v>0</v>
      </c>
      <c r="K31" s="169">
        <f t="shared" si="29"/>
        <v>0</v>
      </c>
      <c r="L31" s="171">
        <f t="shared" si="29"/>
        <v>0</v>
      </c>
      <c r="N31" s="170">
        <f>+G31+(('3 Recursos físicos'!C167*0.95)/Depreciación!$D31)</f>
        <v>0</v>
      </c>
      <c r="O31" s="112">
        <f>+H31+(('3 Recursos físicos'!D167*0.95)/Depreciación!$D31)</f>
        <v>0</v>
      </c>
      <c r="P31" s="112">
        <f>+I31+(('3 Recursos físicos'!E167*0.95)/Depreciación!$D31)</f>
        <v>0</v>
      </c>
      <c r="Q31" s="112">
        <f>+J31+(('3 Recursos físicos'!F167*0.95)/Depreciación!$D31)</f>
        <v>0</v>
      </c>
      <c r="R31" s="112">
        <f>+K31+(('3 Recursos físicos'!G167*0.95)/Depreciación!$D31)</f>
        <v>0</v>
      </c>
      <c r="S31" s="112">
        <f>+L31+(('3 Recursos físicos'!H167*0.95)/Depreciación!$D31)</f>
        <v>0</v>
      </c>
      <c r="T31" s="112">
        <f>+N31+(('3 Recursos físicos'!I167*0.95)/Depreciación!$D31)</f>
        <v>0</v>
      </c>
    </row>
    <row r="32" spans="1:20" x14ac:dyDescent="0.3">
      <c r="A32" s="121">
        <f>+'3 Recursos físicos'!A37</f>
        <v>0</v>
      </c>
      <c r="B32" s="169">
        <f>+'3 Recursos físicos'!E37</f>
        <v>0</v>
      </c>
      <c r="C32" s="123">
        <f t="shared" si="21"/>
        <v>0</v>
      </c>
      <c r="D32" s="533">
        <v>10</v>
      </c>
      <c r="E32" s="170">
        <f t="shared" si="23"/>
        <v>0</v>
      </c>
      <c r="F32" s="112">
        <f t="shared" si="24"/>
        <v>0</v>
      </c>
      <c r="G32" s="169">
        <f t="shared" ref="G32:L32" si="30">+F32</f>
        <v>0</v>
      </c>
      <c r="H32" s="169">
        <f t="shared" si="30"/>
        <v>0</v>
      </c>
      <c r="I32" s="169">
        <f t="shared" si="30"/>
        <v>0</v>
      </c>
      <c r="J32" s="169">
        <f t="shared" si="30"/>
        <v>0</v>
      </c>
      <c r="K32" s="169">
        <f t="shared" si="30"/>
        <v>0</v>
      </c>
      <c r="L32" s="171">
        <f t="shared" si="30"/>
        <v>0</v>
      </c>
      <c r="N32" s="170">
        <f>+G32+(('3 Recursos físicos'!C169*0.95)/Depreciación!$D32)</f>
        <v>0</v>
      </c>
      <c r="O32" s="112">
        <f>+H32+(('3 Recursos físicos'!D169*0.95)/Depreciación!$D32)</f>
        <v>0</v>
      </c>
      <c r="P32" s="112">
        <f>+I32+(('3 Recursos físicos'!E169*0.95)/Depreciación!$D32)</f>
        <v>0</v>
      </c>
      <c r="Q32" s="112">
        <f>+J32+(('3 Recursos físicos'!F169*0.95)/Depreciación!$D32)</f>
        <v>0</v>
      </c>
      <c r="R32" s="112">
        <f>+K32+(('3 Recursos físicos'!G169*0.95)/Depreciación!$D32)</f>
        <v>0</v>
      </c>
      <c r="S32" s="112">
        <f>+L32+(('3 Recursos físicos'!H169*0.95)/Depreciación!$D32)</f>
        <v>0</v>
      </c>
      <c r="T32" s="112">
        <f>+N32+(('3 Recursos físicos'!I169*0.95)/Depreciación!$D32)</f>
        <v>0</v>
      </c>
    </row>
    <row r="33" spans="1:20" x14ac:dyDescent="0.3">
      <c r="A33" s="121">
        <f>+'3 Recursos físicos'!A38</f>
        <v>0</v>
      </c>
      <c r="B33" s="169">
        <f>+'3 Recursos físicos'!E38</f>
        <v>0</v>
      </c>
      <c r="C33" s="123">
        <f t="shared" si="21"/>
        <v>0</v>
      </c>
      <c r="D33" s="533">
        <v>10</v>
      </c>
      <c r="E33" s="170">
        <f t="shared" si="23"/>
        <v>0</v>
      </c>
      <c r="F33" s="112">
        <f t="shared" si="24"/>
        <v>0</v>
      </c>
      <c r="G33" s="169">
        <f t="shared" ref="G33:L33" si="31">+F33</f>
        <v>0</v>
      </c>
      <c r="H33" s="169">
        <f t="shared" si="31"/>
        <v>0</v>
      </c>
      <c r="I33" s="169">
        <f t="shared" si="31"/>
        <v>0</v>
      </c>
      <c r="J33" s="169">
        <f t="shared" si="31"/>
        <v>0</v>
      </c>
      <c r="K33" s="169">
        <f t="shared" si="31"/>
        <v>0</v>
      </c>
      <c r="L33" s="171">
        <f t="shared" si="31"/>
        <v>0</v>
      </c>
      <c r="N33" s="170">
        <f>+G33+(('3 Recursos físicos'!C170*0.95)/Depreciación!$D33)</f>
        <v>0</v>
      </c>
      <c r="O33" s="112">
        <f>+H33+(('3 Recursos físicos'!D170*0.95)/Depreciación!$D33)</f>
        <v>0</v>
      </c>
      <c r="P33" s="112">
        <f>+I33+(('3 Recursos físicos'!E170*0.95)/Depreciación!$D33)</f>
        <v>0</v>
      </c>
      <c r="Q33" s="112">
        <f>+J33+(('3 Recursos físicos'!F170*0.95)/Depreciación!$D33)</f>
        <v>0</v>
      </c>
      <c r="R33" s="112">
        <f>+K33+(('3 Recursos físicos'!G170*0.95)/Depreciación!$D33)</f>
        <v>0</v>
      </c>
      <c r="S33" s="112">
        <f>+L33+(('3 Recursos físicos'!H170*0.95)/Depreciación!$D33)</f>
        <v>0</v>
      </c>
      <c r="T33" s="112">
        <f>+N33+(('3 Recursos físicos'!I170*0.95)/Depreciación!$D33)</f>
        <v>0</v>
      </c>
    </row>
    <row r="34" spans="1:20" ht="10.8" thickBot="1" x14ac:dyDescent="0.35">
      <c r="A34" s="136">
        <f>+'3 Recursos físicos'!A39</f>
        <v>0</v>
      </c>
      <c r="B34" s="174">
        <f>+'3 Recursos físicos'!E39</f>
        <v>0</v>
      </c>
      <c r="C34" s="127">
        <f t="shared" si="21"/>
        <v>0</v>
      </c>
      <c r="D34" s="533">
        <v>10</v>
      </c>
      <c r="E34" s="172">
        <f t="shared" si="23"/>
        <v>0</v>
      </c>
      <c r="F34" s="173">
        <f t="shared" si="24"/>
        <v>0</v>
      </c>
      <c r="G34" s="174">
        <f t="shared" ref="G34:L34" si="32">+F34</f>
        <v>0</v>
      </c>
      <c r="H34" s="174">
        <f t="shared" si="32"/>
        <v>0</v>
      </c>
      <c r="I34" s="174">
        <f t="shared" si="32"/>
        <v>0</v>
      </c>
      <c r="J34" s="174">
        <f t="shared" si="32"/>
        <v>0</v>
      </c>
      <c r="K34" s="174">
        <f t="shared" si="32"/>
        <v>0</v>
      </c>
      <c r="L34" s="175">
        <f t="shared" si="32"/>
        <v>0</v>
      </c>
      <c r="N34" s="170">
        <f>+G34+(('3 Recursos físicos'!C171*0.95)/Depreciación!$D34)</f>
        <v>0</v>
      </c>
      <c r="O34" s="112">
        <f>+H34+(('3 Recursos físicos'!D171*0.95)/Depreciación!$D34)</f>
        <v>0</v>
      </c>
      <c r="P34" s="112">
        <f>+I34+(('3 Recursos físicos'!E171*0.95)/Depreciación!$D34)</f>
        <v>0</v>
      </c>
      <c r="Q34" s="112">
        <f>+J34+(('3 Recursos físicos'!F171*0.95)/Depreciación!$D34)</f>
        <v>0</v>
      </c>
      <c r="R34" s="112">
        <f>+K34+(('3 Recursos físicos'!G171*0.95)/Depreciación!$D34)</f>
        <v>0</v>
      </c>
      <c r="S34" s="112">
        <f>+L34+(('3 Recursos físicos'!H171*0.95)/Depreciación!$D34)</f>
        <v>0</v>
      </c>
      <c r="T34" s="112">
        <f>+M34+(('3 Recursos físicos'!I171*0.95)/Depreciación!$D34)</f>
        <v>0</v>
      </c>
    </row>
    <row r="35" spans="1:20" ht="24" customHeight="1" x14ac:dyDescent="0.3">
      <c r="A35" s="986" t="str">
        <f>+'3 Recursos físicos'!A40</f>
        <v>Equipo de Computo</v>
      </c>
      <c r="B35" s="987"/>
      <c r="C35" s="987"/>
      <c r="D35" s="988"/>
      <c r="E35" s="179">
        <f>SUM(E36:E50)</f>
        <v>380</v>
      </c>
      <c r="F35" s="186">
        <f t="shared" ref="F35:L35" si="33">SUM(F36:F50)</f>
        <v>190</v>
      </c>
      <c r="G35" s="186">
        <f t="shared" si="33"/>
        <v>190</v>
      </c>
      <c r="H35" s="186">
        <f t="shared" si="33"/>
        <v>190</v>
      </c>
      <c r="I35" s="186">
        <f t="shared" si="33"/>
        <v>190</v>
      </c>
      <c r="J35" s="186">
        <f t="shared" si="33"/>
        <v>190</v>
      </c>
      <c r="K35" s="186">
        <f t="shared" si="33"/>
        <v>190</v>
      </c>
      <c r="L35" s="134">
        <f t="shared" si="33"/>
        <v>190</v>
      </c>
      <c r="M35" s="165"/>
      <c r="N35" s="179">
        <f>SUM(N36:N50)</f>
        <v>190</v>
      </c>
      <c r="O35" s="186">
        <f t="shared" ref="O35:T35" si="34">SUM(O36:O50)</f>
        <v>190</v>
      </c>
      <c r="P35" s="186">
        <f t="shared" si="34"/>
        <v>190</v>
      </c>
      <c r="Q35" s="186">
        <f t="shared" si="34"/>
        <v>190</v>
      </c>
      <c r="R35" s="186">
        <f t="shared" si="34"/>
        <v>190</v>
      </c>
      <c r="S35" s="186">
        <f t="shared" si="34"/>
        <v>190</v>
      </c>
      <c r="T35" s="134">
        <f t="shared" si="34"/>
        <v>0</v>
      </c>
    </row>
    <row r="36" spans="1:20" x14ac:dyDescent="0.3">
      <c r="A36" s="121" t="str">
        <f>+'3 Recursos físicos'!A41</f>
        <v>Pizarra digital</v>
      </c>
      <c r="B36" s="169">
        <f>+'3 Recursos físicos'!E41</f>
        <v>0</v>
      </c>
      <c r="C36" s="123">
        <f t="shared" ref="C36:C50" si="35">+B36*5%</f>
        <v>0</v>
      </c>
      <c r="D36" s="533">
        <v>3</v>
      </c>
      <c r="E36" s="170">
        <f>+(B36-C36)/D36</f>
        <v>0</v>
      </c>
      <c r="F36" s="112">
        <f>+E36/2</f>
        <v>0</v>
      </c>
      <c r="G36" s="169">
        <f t="shared" ref="G36:L36" si="36">+F36</f>
        <v>0</v>
      </c>
      <c r="H36" s="169">
        <f t="shared" si="36"/>
        <v>0</v>
      </c>
      <c r="I36" s="169">
        <f t="shared" si="36"/>
        <v>0</v>
      </c>
      <c r="J36" s="169">
        <f t="shared" si="36"/>
        <v>0</v>
      </c>
      <c r="K36" s="169">
        <f t="shared" si="36"/>
        <v>0</v>
      </c>
      <c r="L36" s="171">
        <f t="shared" si="36"/>
        <v>0</v>
      </c>
      <c r="N36" s="170">
        <f>+G36+(('3 Recursos físicos'!C163*0.95)/Depreciación!$D36)</f>
        <v>0</v>
      </c>
      <c r="O36" s="112">
        <f>+H36+(('3 Recursos físicos'!D163*0.95)/Depreciación!$D36)</f>
        <v>0</v>
      </c>
      <c r="P36" s="112">
        <f>+I36+(('3 Recursos físicos'!E163*0.95)/Depreciación!$D36)</f>
        <v>0</v>
      </c>
      <c r="Q36" s="112">
        <f>+J36+(('3 Recursos físicos'!F163*0.95)/Depreciación!$D36)</f>
        <v>0</v>
      </c>
      <c r="R36" s="112">
        <f>+K36+(('3 Recursos físicos'!G163*0.95)/Depreciación!$D36)</f>
        <v>0</v>
      </c>
      <c r="S36" s="112">
        <f>+L36+(('3 Recursos físicos'!H163*0.95)/Depreciación!$D36)</f>
        <v>0</v>
      </c>
      <c r="T36" s="113">
        <f>+F36+(('3 Recursos físicos'!I163*0.95)/Depreciación!$D36)</f>
        <v>0</v>
      </c>
    </row>
    <row r="37" spans="1:20" x14ac:dyDescent="0.3">
      <c r="A37" s="121" t="str">
        <f>+'3 Recursos físicos'!A42</f>
        <v xml:space="preserve">Perifericos </v>
      </c>
      <c r="B37" s="169">
        <f>+'3 Recursos físicos'!E42</f>
        <v>0</v>
      </c>
      <c r="C37" s="123">
        <f t="shared" si="35"/>
        <v>0</v>
      </c>
      <c r="D37" s="533">
        <v>3</v>
      </c>
      <c r="E37" s="170">
        <f t="shared" ref="E37:E50" si="37">+(B37-C37)/D37</f>
        <v>0</v>
      </c>
      <c r="F37" s="112">
        <f t="shared" ref="F37:F50" si="38">+E37/2</f>
        <v>0</v>
      </c>
      <c r="G37" s="169">
        <f t="shared" ref="G37:L37" si="39">+F37</f>
        <v>0</v>
      </c>
      <c r="H37" s="169">
        <f t="shared" si="39"/>
        <v>0</v>
      </c>
      <c r="I37" s="169">
        <f t="shared" si="39"/>
        <v>0</v>
      </c>
      <c r="J37" s="169">
        <f t="shared" si="39"/>
        <v>0</v>
      </c>
      <c r="K37" s="169">
        <f t="shared" si="39"/>
        <v>0</v>
      </c>
      <c r="L37" s="171">
        <f t="shared" si="39"/>
        <v>0</v>
      </c>
      <c r="N37" s="170">
        <f>+G37+(('3 Recursos físicos'!C164*0.95)/Depreciación!$D37)</f>
        <v>0</v>
      </c>
      <c r="O37" s="112">
        <f>+H37+(('3 Recursos físicos'!D164*0.95)/Depreciación!$D37)</f>
        <v>0</v>
      </c>
      <c r="P37" s="112">
        <f>+I37+(('3 Recursos físicos'!E164*0.95)/Depreciación!$D37)</f>
        <v>0</v>
      </c>
      <c r="Q37" s="112">
        <f>+J37+(('3 Recursos físicos'!F164*0.95)/Depreciación!$D37)</f>
        <v>0</v>
      </c>
      <c r="R37" s="112">
        <f>+K37+(('3 Recursos físicos'!G164*0.95)/Depreciación!$D37)</f>
        <v>0</v>
      </c>
      <c r="S37" s="112">
        <f>+L37+(('3 Recursos físicos'!H164*0.95)/Depreciación!$D37)</f>
        <v>0</v>
      </c>
      <c r="T37" s="113">
        <f>+M37+(('3 Recursos físicos'!I164*0.95)/Depreciación!$D37)</f>
        <v>0</v>
      </c>
    </row>
    <row r="38" spans="1:20" x14ac:dyDescent="0.3">
      <c r="A38" s="121" t="str">
        <f>+'3 Recursos físicos'!A43</f>
        <v xml:space="preserve">Proyectores </v>
      </c>
      <c r="B38" s="169">
        <f>+'3 Recursos físicos'!E43</f>
        <v>0</v>
      </c>
      <c r="C38" s="123">
        <f t="shared" si="35"/>
        <v>0</v>
      </c>
      <c r="D38" s="533">
        <v>3</v>
      </c>
      <c r="E38" s="170">
        <f t="shared" si="37"/>
        <v>0</v>
      </c>
      <c r="F38" s="112">
        <f t="shared" si="38"/>
        <v>0</v>
      </c>
      <c r="G38" s="169">
        <f t="shared" ref="G38:L38" si="40">+F38</f>
        <v>0</v>
      </c>
      <c r="H38" s="169">
        <f t="shared" si="40"/>
        <v>0</v>
      </c>
      <c r="I38" s="169">
        <f t="shared" si="40"/>
        <v>0</v>
      </c>
      <c r="J38" s="169">
        <f t="shared" si="40"/>
        <v>0</v>
      </c>
      <c r="K38" s="169">
        <f t="shared" si="40"/>
        <v>0</v>
      </c>
      <c r="L38" s="171">
        <f t="shared" si="40"/>
        <v>0</v>
      </c>
      <c r="N38" s="170">
        <f>+G38+(('3 Recursos físicos'!C165*0.95)/Depreciación!$D38)</f>
        <v>0</v>
      </c>
      <c r="O38" s="112">
        <f>+H38+(('3 Recursos físicos'!D165*0.95)/Depreciación!$D38)</f>
        <v>0</v>
      </c>
      <c r="P38" s="112">
        <f>+I38+(('3 Recursos físicos'!E165*0.95)/Depreciación!$D38)</f>
        <v>0</v>
      </c>
      <c r="Q38" s="112">
        <f>+J38+(('3 Recursos físicos'!F165*0.95)/Depreciación!$D38)</f>
        <v>0</v>
      </c>
      <c r="R38" s="112">
        <f>+K38+(('3 Recursos físicos'!G165*0.95)/Depreciación!$D38)</f>
        <v>0</v>
      </c>
      <c r="S38" s="112">
        <f>+L38+(('3 Recursos físicos'!H165*0.95)/Depreciación!$D38)</f>
        <v>0</v>
      </c>
      <c r="T38" s="112">
        <f>+N38+(('3 Recursos físicos'!I165*0.95)/Depreciación!$D38)</f>
        <v>0</v>
      </c>
    </row>
    <row r="39" spans="1:20" x14ac:dyDescent="0.3">
      <c r="A39" s="121" t="str">
        <f>+'3 Recursos físicos'!A44</f>
        <v xml:space="preserve">Computador escritorio </v>
      </c>
      <c r="B39" s="169">
        <f>+'3 Recursos físicos'!E44</f>
        <v>0</v>
      </c>
      <c r="C39" s="123">
        <f t="shared" si="35"/>
        <v>0</v>
      </c>
      <c r="D39" s="533">
        <v>3</v>
      </c>
      <c r="E39" s="170">
        <f t="shared" si="37"/>
        <v>0</v>
      </c>
      <c r="F39" s="112">
        <f t="shared" si="38"/>
        <v>0</v>
      </c>
      <c r="G39" s="169">
        <f t="shared" ref="G39:L39" si="41">+F39</f>
        <v>0</v>
      </c>
      <c r="H39" s="169">
        <f t="shared" si="41"/>
        <v>0</v>
      </c>
      <c r="I39" s="169">
        <f t="shared" si="41"/>
        <v>0</v>
      </c>
      <c r="J39" s="169">
        <f t="shared" si="41"/>
        <v>0</v>
      </c>
      <c r="K39" s="169">
        <f t="shared" si="41"/>
        <v>0</v>
      </c>
      <c r="L39" s="171">
        <f t="shared" si="41"/>
        <v>0</v>
      </c>
      <c r="N39" s="170">
        <f>+G39+(('3 Recursos físicos'!C166*0.95)/Depreciación!$D39)</f>
        <v>0</v>
      </c>
      <c r="O39" s="112">
        <f>+H39+(('3 Recursos físicos'!D166*0.95)/Depreciación!$D39)</f>
        <v>0</v>
      </c>
      <c r="P39" s="112">
        <f>+I39+(('3 Recursos físicos'!E166*0.95)/Depreciación!$D39)</f>
        <v>0</v>
      </c>
      <c r="Q39" s="112">
        <f>+J39+(('3 Recursos físicos'!F166*0.95)/Depreciación!$D39)</f>
        <v>0</v>
      </c>
      <c r="R39" s="112">
        <f>+K39+(('3 Recursos físicos'!G166*0.95)/Depreciación!$D39)</f>
        <v>0</v>
      </c>
      <c r="S39" s="112">
        <f>+L39+(('3 Recursos físicos'!H166*0.95)/Depreciación!$D39)</f>
        <v>0</v>
      </c>
      <c r="T39" s="113">
        <f>+N39+(('3 Recursos físicos'!I166*0.95)/Depreciación!$D39)</f>
        <v>0</v>
      </c>
    </row>
    <row r="40" spans="1:20" x14ac:dyDescent="0.3">
      <c r="A40" s="121" t="str">
        <f>+'3 Recursos físicos'!A45</f>
        <v xml:space="preserve">Software </v>
      </c>
      <c r="B40" s="169">
        <f>+'3 Recursos físicos'!E45</f>
        <v>0</v>
      </c>
      <c r="C40" s="123">
        <f t="shared" si="35"/>
        <v>0</v>
      </c>
      <c r="D40" s="533">
        <v>3</v>
      </c>
      <c r="E40" s="170">
        <f t="shared" si="37"/>
        <v>0</v>
      </c>
      <c r="F40" s="112">
        <f t="shared" si="38"/>
        <v>0</v>
      </c>
      <c r="G40" s="169">
        <f t="shared" ref="G40:L40" si="42">+F40</f>
        <v>0</v>
      </c>
      <c r="H40" s="169">
        <f t="shared" si="42"/>
        <v>0</v>
      </c>
      <c r="I40" s="169">
        <f t="shared" si="42"/>
        <v>0</v>
      </c>
      <c r="J40" s="169">
        <f t="shared" si="42"/>
        <v>0</v>
      </c>
      <c r="K40" s="169">
        <f t="shared" si="42"/>
        <v>0</v>
      </c>
      <c r="L40" s="171">
        <f t="shared" si="42"/>
        <v>0</v>
      </c>
      <c r="N40" s="170">
        <f>+G40+(('3 Recursos físicos'!C167*0.95)/Depreciación!$D40)</f>
        <v>0</v>
      </c>
      <c r="O40" s="112">
        <f>+H40+(('3 Recursos físicos'!D167*0.95)/Depreciación!$D40)</f>
        <v>0</v>
      </c>
      <c r="P40" s="112">
        <f>+I40+(('3 Recursos físicos'!E167*0.95)/Depreciación!$D40)</f>
        <v>0</v>
      </c>
      <c r="Q40" s="112">
        <f>+J40+(('3 Recursos físicos'!F167*0.95)/Depreciación!$D40)</f>
        <v>0</v>
      </c>
      <c r="R40" s="112">
        <f>+K40+(('3 Recursos físicos'!G167*0.95)/Depreciación!$D40)</f>
        <v>0</v>
      </c>
      <c r="S40" s="112">
        <f>+L40+(('3 Recursos físicos'!H167*0.95)/Depreciación!$D40)</f>
        <v>0</v>
      </c>
      <c r="T40" s="113">
        <f>+M40+(('3 Recursos físicos'!I167*0.95)/Depreciación!$D40)</f>
        <v>0</v>
      </c>
    </row>
    <row r="41" spans="1:20" x14ac:dyDescent="0.3">
      <c r="A41" s="121" t="str">
        <f>+'3 Recursos físicos'!A46</f>
        <v xml:space="preserve">Computador portátil </v>
      </c>
      <c r="B41" s="169">
        <f>+'3 Recursos físicos'!E46</f>
        <v>1200</v>
      </c>
      <c r="C41" s="123">
        <f t="shared" si="35"/>
        <v>60</v>
      </c>
      <c r="D41" s="533">
        <v>3</v>
      </c>
      <c r="E41" s="170">
        <f t="shared" si="37"/>
        <v>380</v>
      </c>
      <c r="F41" s="112">
        <f t="shared" si="38"/>
        <v>190</v>
      </c>
      <c r="G41" s="169">
        <f t="shared" ref="G41:L41" si="43">+F41</f>
        <v>190</v>
      </c>
      <c r="H41" s="169">
        <f t="shared" si="43"/>
        <v>190</v>
      </c>
      <c r="I41" s="169">
        <f t="shared" si="43"/>
        <v>190</v>
      </c>
      <c r="J41" s="169">
        <f t="shared" si="43"/>
        <v>190</v>
      </c>
      <c r="K41" s="169">
        <f t="shared" si="43"/>
        <v>190</v>
      </c>
      <c r="L41" s="171">
        <f t="shared" si="43"/>
        <v>190</v>
      </c>
      <c r="N41" s="170">
        <f>+G41+(('3 Recursos físicos'!C168*0.95)/Depreciación!$D41)</f>
        <v>190</v>
      </c>
      <c r="O41" s="112">
        <f>+H41+(('3 Recursos físicos'!D168*0.95)/Depreciación!$D41)</f>
        <v>190</v>
      </c>
      <c r="P41" s="112">
        <f>+I41+(('3 Recursos físicos'!E168*0.95)/Depreciación!$D41)</f>
        <v>190</v>
      </c>
      <c r="Q41" s="112">
        <f>+J41+(('3 Recursos físicos'!F168*0.95)/Depreciación!$D41)</f>
        <v>190</v>
      </c>
      <c r="R41" s="112">
        <f>+K41+(('3 Recursos físicos'!G168*0.95)/Depreciación!$D41)</f>
        <v>190</v>
      </c>
      <c r="S41" s="112">
        <f>+L41+(('3 Recursos físicos'!H168*0.95)/Depreciación!$D41)</f>
        <v>190</v>
      </c>
      <c r="T41" s="113">
        <f>+M41+(('3 Recursos físicos'!I168*0.95)/Depreciación!$D41)</f>
        <v>0</v>
      </c>
    </row>
    <row r="42" spans="1:20" x14ac:dyDescent="0.3">
      <c r="A42" s="121" t="str">
        <f>+'3 Recursos físicos'!A47</f>
        <v xml:space="preserve">Switch </v>
      </c>
      <c r="B42" s="169">
        <f>+'3 Recursos físicos'!E47</f>
        <v>0</v>
      </c>
      <c r="C42" s="123">
        <f t="shared" si="35"/>
        <v>0</v>
      </c>
      <c r="D42" s="533">
        <v>3</v>
      </c>
      <c r="E42" s="170">
        <f t="shared" si="37"/>
        <v>0</v>
      </c>
      <c r="F42" s="112">
        <f t="shared" si="38"/>
        <v>0</v>
      </c>
      <c r="G42" s="169">
        <f t="shared" ref="G42:L42" si="44">+F42</f>
        <v>0</v>
      </c>
      <c r="H42" s="169">
        <f t="shared" si="44"/>
        <v>0</v>
      </c>
      <c r="I42" s="169">
        <f t="shared" si="44"/>
        <v>0</v>
      </c>
      <c r="J42" s="169">
        <f t="shared" si="44"/>
        <v>0</v>
      </c>
      <c r="K42" s="169">
        <f t="shared" si="44"/>
        <v>0</v>
      </c>
      <c r="L42" s="171">
        <f t="shared" si="44"/>
        <v>0</v>
      </c>
      <c r="N42" s="170">
        <f>+G42+(('3 Recursos físicos'!C169*0.95)/Depreciación!$D42)</f>
        <v>0</v>
      </c>
      <c r="O42" s="112">
        <f>+H42+(('3 Recursos físicos'!D169*0.95)/Depreciación!$D42)</f>
        <v>0</v>
      </c>
      <c r="P42" s="112">
        <f>+I42+(('3 Recursos físicos'!E169*0.95)/Depreciación!$D42)</f>
        <v>0</v>
      </c>
      <c r="Q42" s="112">
        <f>+J42+(('3 Recursos físicos'!F169*0.95)/Depreciación!$D42)</f>
        <v>0</v>
      </c>
      <c r="R42" s="112">
        <f>+K42+(('3 Recursos físicos'!G169*0.95)/Depreciación!$D42)</f>
        <v>0</v>
      </c>
      <c r="S42" s="112">
        <f>+L42+(('3 Recursos físicos'!H169*0.95)/Depreciación!$D42)</f>
        <v>0</v>
      </c>
      <c r="T42" s="113">
        <f>+M42+(('3 Recursos físicos'!I169*0.95)/Depreciación!$D42)</f>
        <v>0</v>
      </c>
    </row>
    <row r="43" spans="1:20" x14ac:dyDescent="0.3">
      <c r="A43" s="121" t="str">
        <f>+'3 Recursos físicos'!A48</f>
        <v>Software (mantenimiento)</v>
      </c>
      <c r="B43" s="169">
        <f>+'3 Recursos físicos'!E48</f>
        <v>0</v>
      </c>
      <c r="C43" s="123">
        <f t="shared" si="35"/>
        <v>0</v>
      </c>
      <c r="D43" s="533">
        <v>3</v>
      </c>
      <c r="E43" s="170">
        <f t="shared" si="37"/>
        <v>0</v>
      </c>
      <c r="F43" s="112">
        <f t="shared" si="38"/>
        <v>0</v>
      </c>
      <c r="G43" s="169">
        <f t="shared" ref="G43:L43" si="45">+F43</f>
        <v>0</v>
      </c>
      <c r="H43" s="169">
        <f t="shared" si="45"/>
        <v>0</v>
      </c>
      <c r="I43" s="169">
        <f t="shared" si="45"/>
        <v>0</v>
      </c>
      <c r="J43" s="169">
        <f t="shared" si="45"/>
        <v>0</v>
      </c>
      <c r="K43" s="169">
        <f t="shared" si="45"/>
        <v>0</v>
      </c>
      <c r="L43" s="171">
        <f t="shared" si="45"/>
        <v>0</v>
      </c>
      <c r="N43" s="170">
        <f>+G43+(('3 Recursos físicos'!C170*0.95)/Depreciación!$D43)</f>
        <v>0</v>
      </c>
      <c r="O43" s="112">
        <f>+H43+(('3 Recursos físicos'!D170*0.95)/Depreciación!$D43)</f>
        <v>0</v>
      </c>
      <c r="P43" s="112">
        <f>+I43+(('3 Recursos físicos'!E170*0.95)/Depreciación!$D43)</f>
        <v>0</v>
      </c>
      <c r="Q43" s="112">
        <f>+J43+(('3 Recursos físicos'!F170*0.95)/Depreciación!$D43)</f>
        <v>0</v>
      </c>
      <c r="R43" s="112">
        <f>+K43+(('3 Recursos físicos'!G170*0.95)/Depreciación!$D43)</f>
        <v>0</v>
      </c>
      <c r="S43" s="112">
        <f>+L43+(('3 Recursos físicos'!H170*0.95)/Depreciación!$D43)</f>
        <v>0</v>
      </c>
      <c r="T43" s="113">
        <f>+M43+(('3 Recursos físicos'!I170*0.95)/Depreciación!$D43)</f>
        <v>0</v>
      </c>
    </row>
    <row r="44" spans="1:20" x14ac:dyDescent="0.3">
      <c r="A44" s="121">
        <f>+'3 Recursos físicos'!A49</f>
        <v>0</v>
      </c>
      <c r="B44" s="169">
        <f>+'3 Recursos físicos'!E49</f>
        <v>0</v>
      </c>
      <c r="C44" s="123">
        <f t="shared" si="35"/>
        <v>0</v>
      </c>
      <c r="D44" s="533">
        <v>3</v>
      </c>
      <c r="E44" s="170">
        <f>+(B44-C44)/D44</f>
        <v>0</v>
      </c>
      <c r="F44" s="112">
        <f>+E44/2</f>
        <v>0</v>
      </c>
      <c r="G44" s="169">
        <f t="shared" ref="G44:L48" si="46">+F44</f>
        <v>0</v>
      </c>
      <c r="H44" s="169">
        <f t="shared" si="46"/>
        <v>0</v>
      </c>
      <c r="I44" s="169">
        <f t="shared" si="46"/>
        <v>0</v>
      </c>
      <c r="J44" s="169">
        <f t="shared" si="46"/>
        <v>0</v>
      </c>
      <c r="K44" s="169">
        <f t="shared" si="46"/>
        <v>0</v>
      </c>
      <c r="L44" s="171">
        <f t="shared" si="46"/>
        <v>0</v>
      </c>
      <c r="N44" s="170">
        <f>+G44+(('3 Recursos físicos'!C171*0.95)/Depreciación!$D44)</f>
        <v>0</v>
      </c>
      <c r="O44" s="112">
        <f>+H44+(('3 Recursos físicos'!D171*0.95)/Depreciación!$D44)</f>
        <v>0</v>
      </c>
      <c r="P44" s="112">
        <f>+I44+(('3 Recursos físicos'!E171*0.95)/Depreciación!$D44)</f>
        <v>0</v>
      </c>
      <c r="Q44" s="112">
        <f>+J44+(('3 Recursos físicos'!F171*0.95)/Depreciación!$D44)</f>
        <v>0</v>
      </c>
      <c r="R44" s="112">
        <f>+K44+(('3 Recursos físicos'!G171*0.95)/Depreciación!$D44)</f>
        <v>0</v>
      </c>
      <c r="S44" s="112">
        <f>+L44+(('3 Recursos físicos'!H171*0.95)/Depreciación!$D44)</f>
        <v>0</v>
      </c>
      <c r="T44" s="113">
        <f>+M44+(('3 Recursos físicos'!I171*0.95)/Depreciación!$D44)</f>
        <v>0</v>
      </c>
    </row>
    <row r="45" spans="1:20" ht="10.8" thickBot="1" x14ac:dyDescent="0.35">
      <c r="A45" s="121">
        <f>+'3 Recursos físicos'!A50</f>
        <v>0</v>
      </c>
      <c r="B45" s="169">
        <f>+'3 Recursos físicos'!E50</f>
        <v>0</v>
      </c>
      <c r="C45" s="123">
        <f t="shared" si="35"/>
        <v>0</v>
      </c>
      <c r="D45" s="533">
        <v>3</v>
      </c>
      <c r="E45" s="170">
        <f>+(B45-C45)/D45</f>
        <v>0</v>
      </c>
      <c r="F45" s="112">
        <f>+E45/2</f>
        <v>0</v>
      </c>
      <c r="G45" s="169">
        <f t="shared" si="46"/>
        <v>0</v>
      </c>
      <c r="H45" s="169">
        <f t="shared" si="46"/>
        <v>0</v>
      </c>
      <c r="I45" s="169">
        <f t="shared" si="46"/>
        <v>0</v>
      </c>
      <c r="J45" s="169">
        <f t="shared" si="46"/>
        <v>0</v>
      </c>
      <c r="K45" s="169">
        <f t="shared" si="46"/>
        <v>0</v>
      </c>
      <c r="L45" s="171">
        <f t="shared" si="46"/>
        <v>0</v>
      </c>
      <c r="N45" s="172">
        <f>+G45+(('3 Recursos físicos'!C172*0.95)/Depreciación!$D45)</f>
        <v>0</v>
      </c>
      <c r="O45" s="173">
        <f>+H45+(('3 Recursos físicos'!D172*0.95)/Depreciación!$D45)</f>
        <v>0</v>
      </c>
      <c r="P45" s="173">
        <f>+I45+(('3 Recursos físicos'!E172*0.95)/Depreciación!$D45)</f>
        <v>0</v>
      </c>
      <c r="Q45" s="173">
        <f>+J45+(('3 Recursos físicos'!F172*0.95)/Depreciación!$D45)</f>
        <v>0</v>
      </c>
      <c r="R45" s="173">
        <f>+K45+(('3 Recursos físicos'!G172*0.95)/Depreciación!$D45)</f>
        <v>0</v>
      </c>
      <c r="S45" s="173">
        <f>+L45+(('3 Recursos físicos'!H172*0.95)/Depreciación!$D45)</f>
        <v>0</v>
      </c>
      <c r="T45" s="128">
        <f>+M45+(('3 Recursos físicos'!I172*0.95)/Depreciación!$D45)</f>
        <v>0</v>
      </c>
    </row>
    <row r="46" spans="1:20" x14ac:dyDescent="0.3">
      <c r="A46" s="121">
        <f>+'3 Recursos físicos'!A51</f>
        <v>0</v>
      </c>
      <c r="B46" s="169">
        <f>+'3 Recursos físicos'!E51</f>
        <v>0</v>
      </c>
      <c r="C46" s="123">
        <f t="shared" si="35"/>
        <v>0</v>
      </c>
      <c r="D46" s="533">
        <v>3</v>
      </c>
      <c r="E46" s="170">
        <f>+(B46-C46)/D46</f>
        <v>0</v>
      </c>
      <c r="F46" s="112">
        <f>+E46/2</f>
        <v>0</v>
      </c>
      <c r="G46" s="169">
        <f t="shared" si="46"/>
        <v>0</v>
      </c>
      <c r="H46" s="169">
        <f t="shared" si="46"/>
        <v>0</v>
      </c>
      <c r="I46" s="169">
        <f t="shared" si="46"/>
        <v>0</v>
      </c>
      <c r="J46" s="169">
        <f t="shared" si="46"/>
        <v>0</v>
      </c>
      <c r="K46" s="169">
        <f t="shared" si="46"/>
        <v>0</v>
      </c>
      <c r="L46" s="171">
        <f t="shared" si="46"/>
        <v>0</v>
      </c>
      <c r="N46" s="737">
        <f>+G46+(('3 Recursos físicos'!C173*0.95)/Depreciación!$D46)</f>
        <v>0</v>
      </c>
      <c r="O46" s="250">
        <f>+H46+(('3 Recursos físicos'!D173*0.95)/Depreciación!$D46)</f>
        <v>0</v>
      </c>
      <c r="P46" s="250">
        <f>+I46+(('3 Recursos físicos'!E173*0.95)/Depreciación!$D46)</f>
        <v>0</v>
      </c>
      <c r="Q46" s="250">
        <f>+J46+(('3 Recursos físicos'!F173*0.95)/Depreciación!$D46)</f>
        <v>0</v>
      </c>
      <c r="R46" s="250">
        <f>+K46+(('3 Recursos físicos'!G173*0.95)/Depreciación!$D46)</f>
        <v>0</v>
      </c>
      <c r="S46" s="250">
        <f>+L46+(('3 Recursos físicos'!H173*0.95)/Depreciación!$D46)</f>
        <v>0</v>
      </c>
      <c r="T46" s="690">
        <f>+M46+(('3 Recursos físicos'!I173*0.95)/Depreciación!$D46)</f>
        <v>0</v>
      </c>
    </row>
    <row r="47" spans="1:20" x14ac:dyDescent="0.3">
      <c r="A47" s="121">
        <f>+'3 Recursos físicos'!A52</f>
        <v>0</v>
      </c>
      <c r="B47" s="169">
        <f>+'3 Recursos físicos'!E52</f>
        <v>0</v>
      </c>
      <c r="C47" s="123">
        <f t="shared" si="35"/>
        <v>0</v>
      </c>
      <c r="D47" s="533">
        <v>3</v>
      </c>
      <c r="E47" s="170">
        <f>+(B47-C47)/D47</f>
        <v>0</v>
      </c>
      <c r="F47" s="112">
        <f>+E47/2</f>
        <v>0</v>
      </c>
      <c r="G47" s="169">
        <f t="shared" si="46"/>
        <v>0</v>
      </c>
      <c r="H47" s="169">
        <f t="shared" si="46"/>
        <v>0</v>
      </c>
      <c r="I47" s="169">
        <f t="shared" si="46"/>
        <v>0</v>
      </c>
      <c r="J47" s="169">
        <f t="shared" si="46"/>
        <v>0</v>
      </c>
      <c r="K47" s="169">
        <f t="shared" si="46"/>
        <v>0</v>
      </c>
      <c r="L47" s="171">
        <f t="shared" si="46"/>
        <v>0</v>
      </c>
      <c r="N47" s="170">
        <f>+G47+(('3 Recursos físicos'!C174*0.95)/Depreciación!$D47)</f>
        <v>0</v>
      </c>
      <c r="O47" s="112">
        <f>+H47+(('3 Recursos físicos'!D174*0.95)/Depreciación!$D47)</f>
        <v>0</v>
      </c>
      <c r="P47" s="112">
        <f>+I47+(('3 Recursos físicos'!E174*0.95)/Depreciación!$D47)</f>
        <v>0</v>
      </c>
      <c r="Q47" s="112">
        <f>+J47+(('3 Recursos físicos'!F174*0.95)/Depreciación!$D47)</f>
        <v>0</v>
      </c>
      <c r="R47" s="112">
        <f>+K47+(('3 Recursos físicos'!G174*0.95)/Depreciación!$D47)</f>
        <v>0</v>
      </c>
      <c r="S47" s="112">
        <f>+L47+(('3 Recursos físicos'!H174*0.95)/Depreciación!$D47)</f>
        <v>0</v>
      </c>
      <c r="T47" s="113">
        <f>+M47+(('3 Recursos físicos'!I174*0.95)/Depreciación!$D47)</f>
        <v>0</v>
      </c>
    </row>
    <row r="48" spans="1:20" x14ac:dyDescent="0.3">
      <c r="A48" s="121">
        <f>+'3 Recursos físicos'!A53</f>
        <v>0</v>
      </c>
      <c r="B48" s="169">
        <f>+'3 Recursos físicos'!E53</f>
        <v>0</v>
      </c>
      <c r="C48" s="123">
        <f t="shared" si="35"/>
        <v>0</v>
      </c>
      <c r="D48" s="533">
        <v>3</v>
      </c>
      <c r="E48" s="170">
        <f>+(B48-C48)/D48</f>
        <v>0</v>
      </c>
      <c r="F48" s="112">
        <f>+E48/2</f>
        <v>0</v>
      </c>
      <c r="G48" s="169">
        <f t="shared" si="46"/>
        <v>0</v>
      </c>
      <c r="H48" s="169">
        <f t="shared" si="46"/>
        <v>0</v>
      </c>
      <c r="I48" s="169">
        <f t="shared" si="46"/>
        <v>0</v>
      </c>
      <c r="J48" s="169">
        <f t="shared" si="46"/>
        <v>0</v>
      </c>
      <c r="K48" s="169">
        <f t="shared" si="46"/>
        <v>0</v>
      </c>
      <c r="L48" s="171">
        <f t="shared" si="46"/>
        <v>0</v>
      </c>
      <c r="N48" s="170">
        <f>+G48+(('3 Recursos físicos'!C175*0.95)/Depreciación!$D48)</f>
        <v>0</v>
      </c>
      <c r="O48" s="112">
        <f>+H48+(('3 Recursos físicos'!D175*0.95)/Depreciación!$D48)</f>
        <v>0</v>
      </c>
      <c r="P48" s="112">
        <f>+I48+(('3 Recursos físicos'!E175*0.95)/Depreciación!$D48)</f>
        <v>0</v>
      </c>
      <c r="Q48" s="112">
        <f>+J48+(('3 Recursos físicos'!F175*0.95)/Depreciación!$D48)</f>
        <v>0</v>
      </c>
      <c r="R48" s="112">
        <f>+K48+(('3 Recursos físicos'!G175*0.95)/Depreciación!$D48)</f>
        <v>0</v>
      </c>
      <c r="S48" s="112">
        <f>+L48+(('3 Recursos físicos'!H175*0.95)/Depreciación!$D48)</f>
        <v>0</v>
      </c>
      <c r="T48" s="113">
        <f>+M48+(('3 Recursos físicos'!I175*0.95)/Depreciación!$D48)</f>
        <v>0</v>
      </c>
    </row>
    <row r="49" spans="1:20" x14ac:dyDescent="0.3">
      <c r="A49" s="121">
        <f>+'3 Recursos físicos'!A54</f>
        <v>0</v>
      </c>
      <c r="B49" s="169">
        <f>+'3 Recursos físicos'!E54</f>
        <v>0</v>
      </c>
      <c r="C49" s="123">
        <f t="shared" si="35"/>
        <v>0</v>
      </c>
      <c r="D49" s="533">
        <v>3</v>
      </c>
      <c r="E49" s="170">
        <f t="shared" si="37"/>
        <v>0</v>
      </c>
      <c r="F49" s="112">
        <f t="shared" si="38"/>
        <v>0</v>
      </c>
      <c r="G49" s="169">
        <f t="shared" ref="G49:L49" si="47">+F49</f>
        <v>0</v>
      </c>
      <c r="H49" s="169">
        <f t="shared" si="47"/>
        <v>0</v>
      </c>
      <c r="I49" s="169">
        <f t="shared" si="47"/>
        <v>0</v>
      </c>
      <c r="J49" s="169">
        <f t="shared" si="47"/>
        <v>0</v>
      </c>
      <c r="K49" s="169">
        <f t="shared" si="47"/>
        <v>0</v>
      </c>
      <c r="L49" s="171">
        <f t="shared" si="47"/>
        <v>0</v>
      </c>
      <c r="N49" s="170">
        <f>+G49+(('3 Recursos físicos'!C176*0.95)/Depreciación!$D49)</f>
        <v>0</v>
      </c>
      <c r="O49" s="112">
        <f>+H49+(('3 Recursos físicos'!D176*0.95)/Depreciación!$D49)</f>
        <v>0</v>
      </c>
      <c r="P49" s="112">
        <f>+I49+(('3 Recursos físicos'!E176*0.95)/Depreciación!$D49)</f>
        <v>0</v>
      </c>
      <c r="Q49" s="112">
        <f>+J49+(('3 Recursos físicos'!F176*0.95)/Depreciación!$D49)</f>
        <v>0</v>
      </c>
      <c r="R49" s="112">
        <f>+K49+(('3 Recursos físicos'!G176*0.95)/Depreciación!$D49)</f>
        <v>0</v>
      </c>
      <c r="S49" s="112">
        <f>+L49+(('3 Recursos físicos'!H176*0.95)/Depreciación!$D49)</f>
        <v>0</v>
      </c>
      <c r="T49" s="113">
        <f>+M49+(('3 Recursos físicos'!I176*0.95)/Depreciación!$D49)</f>
        <v>0</v>
      </c>
    </row>
    <row r="50" spans="1:20" ht="10.8" thickBot="1" x14ac:dyDescent="0.35">
      <c r="A50" s="136">
        <f>+'3 Recursos físicos'!A55</f>
        <v>0</v>
      </c>
      <c r="B50" s="174">
        <f>+'3 Recursos físicos'!E55</f>
        <v>0</v>
      </c>
      <c r="C50" s="127">
        <f t="shared" si="35"/>
        <v>0</v>
      </c>
      <c r="D50" s="534">
        <v>3</v>
      </c>
      <c r="E50" s="172">
        <f t="shared" si="37"/>
        <v>0</v>
      </c>
      <c r="F50" s="173">
        <f t="shared" si="38"/>
        <v>0</v>
      </c>
      <c r="G50" s="174">
        <f t="shared" ref="G50:L50" si="48">+F50</f>
        <v>0</v>
      </c>
      <c r="H50" s="174">
        <f t="shared" si="48"/>
        <v>0</v>
      </c>
      <c r="I50" s="174">
        <f t="shared" si="48"/>
        <v>0</v>
      </c>
      <c r="J50" s="174">
        <f t="shared" si="48"/>
        <v>0</v>
      </c>
      <c r="K50" s="174">
        <f t="shared" si="48"/>
        <v>0</v>
      </c>
      <c r="L50" s="175">
        <f t="shared" si="48"/>
        <v>0</v>
      </c>
      <c r="N50" s="172">
        <f>+G50+(('3 Recursos físicos'!C177*0.95)/Depreciación!$D50)</f>
        <v>0</v>
      </c>
      <c r="O50" s="173">
        <f>+H50+(('3 Recursos físicos'!D177*0.95)/Depreciación!$D50)</f>
        <v>0</v>
      </c>
      <c r="P50" s="173">
        <f>+I50+(('3 Recursos físicos'!E177*0.95)/Depreciación!$D50)</f>
        <v>0</v>
      </c>
      <c r="Q50" s="173">
        <f>+J50+(('3 Recursos físicos'!F177*0.95)/Depreciación!$D50)</f>
        <v>0</v>
      </c>
      <c r="R50" s="173">
        <f>+K50+(('3 Recursos físicos'!G177*0.95)/Depreciación!$D50)</f>
        <v>0</v>
      </c>
      <c r="S50" s="173">
        <f>+L50+(('3 Recursos físicos'!H177*0.95)/Depreciación!$D50)</f>
        <v>0</v>
      </c>
      <c r="T50" s="128">
        <f>+M50+(('3 Recursos físicos'!I177*0.95)/Depreciación!$D50)</f>
        <v>0</v>
      </c>
    </row>
    <row r="51" spans="1:20" ht="24.75" customHeight="1" x14ac:dyDescent="0.3">
      <c r="A51" s="986" t="str">
        <f>+'3 Recursos físicos'!A56</f>
        <v>Equipo de Oficina</v>
      </c>
      <c r="B51" s="987"/>
      <c r="C51" s="987"/>
      <c r="D51" s="988"/>
      <c r="E51" s="179">
        <f t="shared" ref="E51:L51" si="49">SUM(E52:E55)</f>
        <v>0</v>
      </c>
      <c r="F51" s="186">
        <f t="shared" si="49"/>
        <v>0</v>
      </c>
      <c r="G51" s="186">
        <f t="shared" si="49"/>
        <v>0</v>
      </c>
      <c r="H51" s="186">
        <f t="shared" si="49"/>
        <v>0</v>
      </c>
      <c r="I51" s="186">
        <f t="shared" si="49"/>
        <v>0</v>
      </c>
      <c r="J51" s="186">
        <f t="shared" si="49"/>
        <v>0</v>
      </c>
      <c r="K51" s="186">
        <f t="shared" si="49"/>
        <v>0</v>
      </c>
      <c r="L51" s="134">
        <f t="shared" si="49"/>
        <v>0</v>
      </c>
      <c r="M51" s="165"/>
      <c r="N51" s="177">
        <f t="shared" ref="N51:T51" si="50">SUM(N52:N55)</f>
        <v>0</v>
      </c>
      <c r="O51" s="178">
        <f t="shared" si="50"/>
        <v>0</v>
      </c>
      <c r="P51" s="178">
        <f t="shared" si="50"/>
        <v>0</v>
      </c>
      <c r="Q51" s="178">
        <f t="shared" si="50"/>
        <v>0</v>
      </c>
      <c r="R51" s="178">
        <f t="shared" si="50"/>
        <v>0</v>
      </c>
      <c r="S51" s="178">
        <f t="shared" si="50"/>
        <v>0</v>
      </c>
      <c r="T51" s="132">
        <f t="shared" si="50"/>
        <v>0</v>
      </c>
    </row>
    <row r="52" spans="1:20" x14ac:dyDescent="0.3">
      <c r="A52" s="121" t="str">
        <f>+'3 Recursos físicos'!A57</f>
        <v xml:space="preserve">Teléfono </v>
      </c>
      <c r="B52" s="169">
        <f>+'3 Recursos físicos'!E57</f>
        <v>0</v>
      </c>
      <c r="C52" s="123">
        <f>+B52*5%</f>
        <v>0</v>
      </c>
      <c r="D52" s="533">
        <v>1</v>
      </c>
      <c r="E52" s="170">
        <f>+(B52-C52)/D52</f>
        <v>0</v>
      </c>
      <c r="F52" s="112">
        <f>+E52/2</f>
        <v>0</v>
      </c>
      <c r="G52" s="169">
        <f t="shared" ref="G52:L52" si="51">+F52</f>
        <v>0</v>
      </c>
      <c r="H52" s="169">
        <f t="shared" si="51"/>
        <v>0</v>
      </c>
      <c r="I52" s="169">
        <f t="shared" si="51"/>
        <v>0</v>
      </c>
      <c r="J52" s="169">
        <f t="shared" si="51"/>
        <v>0</v>
      </c>
      <c r="K52" s="169">
        <f t="shared" si="51"/>
        <v>0</v>
      </c>
      <c r="L52" s="171">
        <f t="shared" si="51"/>
        <v>0</v>
      </c>
      <c r="N52" s="170">
        <f>+G52+(('3 Recursos físicos'!C179*0.95)/Depreciación!$D52)</f>
        <v>0</v>
      </c>
      <c r="O52" s="112">
        <f>+H52+(('3 Recursos físicos'!D179*0.95)/Depreciación!$D52)</f>
        <v>0</v>
      </c>
      <c r="P52" s="112">
        <f>+I52+(('3 Recursos físicos'!E179*0.95)/Depreciación!$D52)</f>
        <v>0</v>
      </c>
      <c r="Q52" s="112">
        <f>+J52+(('3 Recursos físicos'!F179*0.95)/Depreciación!$D52)</f>
        <v>0</v>
      </c>
      <c r="R52" s="112">
        <f>+K52+(('3 Recursos físicos'!G179*0.95)/Depreciación!$D52)</f>
        <v>0</v>
      </c>
      <c r="S52" s="112">
        <f>+L52+(('3 Recursos físicos'!H179*0.95)/Depreciación!$D52)</f>
        <v>0</v>
      </c>
      <c r="T52" s="113">
        <f>+F52+(('3 Recursos físicos'!I179*0.95)/Depreciación!$D52)</f>
        <v>0</v>
      </c>
    </row>
    <row r="53" spans="1:20" x14ac:dyDescent="0.3">
      <c r="A53" s="121">
        <f>+'3 Recursos físicos'!A58</f>
        <v>0</v>
      </c>
      <c r="B53" s="169">
        <f>+'3 Recursos físicos'!E58</f>
        <v>0</v>
      </c>
      <c r="C53" s="123">
        <f>+B53*5%</f>
        <v>0</v>
      </c>
      <c r="D53" s="533">
        <v>1</v>
      </c>
      <c r="E53" s="170">
        <f>+(B53-C53)/D53</f>
        <v>0</v>
      </c>
      <c r="F53" s="112">
        <f>+E53/2</f>
        <v>0</v>
      </c>
      <c r="G53" s="169">
        <f t="shared" ref="G53:L53" si="52">+F53</f>
        <v>0</v>
      </c>
      <c r="H53" s="169">
        <f t="shared" si="52"/>
        <v>0</v>
      </c>
      <c r="I53" s="169">
        <f t="shared" si="52"/>
        <v>0</v>
      </c>
      <c r="J53" s="169">
        <f t="shared" si="52"/>
        <v>0</v>
      </c>
      <c r="K53" s="169">
        <f t="shared" si="52"/>
        <v>0</v>
      </c>
      <c r="L53" s="171">
        <f t="shared" si="52"/>
        <v>0</v>
      </c>
      <c r="N53" s="170">
        <f>+G53+(('3 Recursos físicos'!C180*0.95)/Depreciación!$D53)</f>
        <v>0</v>
      </c>
      <c r="O53" s="112">
        <f>+H53+(('3 Recursos físicos'!D180*0.95)/Depreciación!$D53)</f>
        <v>0</v>
      </c>
      <c r="P53" s="112">
        <f>+I53+(('3 Recursos físicos'!E180*0.95)/Depreciación!$D53)</f>
        <v>0</v>
      </c>
      <c r="Q53" s="112">
        <f>+J53+(('3 Recursos físicos'!F180*0.95)/Depreciación!$D53)</f>
        <v>0</v>
      </c>
      <c r="R53" s="112">
        <f>+K53+(('3 Recursos físicos'!G180*0.95)/Depreciación!$D53)</f>
        <v>0</v>
      </c>
      <c r="S53" s="112">
        <f>+L53+(('3 Recursos físicos'!H180*0.95)/Depreciación!$D53)</f>
        <v>0</v>
      </c>
      <c r="T53" s="113">
        <f>+F53+(('3 Recursos físicos'!I180*0.95)/Depreciación!$D53)</f>
        <v>0</v>
      </c>
    </row>
    <row r="54" spans="1:20" x14ac:dyDescent="0.3">
      <c r="A54" s="121">
        <f>+'3 Recursos físicos'!A59</f>
        <v>0</v>
      </c>
      <c r="B54" s="169">
        <f>+'3 Recursos físicos'!E59</f>
        <v>0</v>
      </c>
      <c r="C54" s="123">
        <f>+B54*5%</f>
        <v>0</v>
      </c>
      <c r="D54" s="533">
        <v>1</v>
      </c>
      <c r="E54" s="170">
        <f>+(B54-C54)/D54</f>
        <v>0</v>
      </c>
      <c r="F54" s="112">
        <f>+E54/2</f>
        <v>0</v>
      </c>
      <c r="G54" s="169">
        <f t="shared" ref="G54:L54" si="53">+F54</f>
        <v>0</v>
      </c>
      <c r="H54" s="169">
        <f t="shared" si="53"/>
        <v>0</v>
      </c>
      <c r="I54" s="169">
        <f t="shared" si="53"/>
        <v>0</v>
      </c>
      <c r="J54" s="169">
        <f t="shared" si="53"/>
        <v>0</v>
      </c>
      <c r="K54" s="169">
        <f t="shared" si="53"/>
        <v>0</v>
      </c>
      <c r="L54" s="171">
        <f t="shared" si="53"/>
        <v>0</v>
      </c>
      <c r="N54" s="170">
        <f>+G54+(('3 Recursos físicos'!C181*0.95)/Depreciación!$D54)</f>
        <v>0</v>
      </c>
      <c r="O54" s="112">
        <f>+H54+(('3 Recursos físicos'!D181*0.95)/Depreciación!$D54)</f>
        <v>0</v>
      </c>
      <c r="P54" s="112">
        <f>+I54+(('3 Recursos físicos'!E181*0.95)/Depreciación!$D54)</f>
        <v>0</v>
      </c>
      <c r="Q54" s="112">
        <f>+J54+(('3 Recursos físicos'!F181*0.95)/Depreciación!$D54)</f>
        <v>0</v>
      </c>
      <c r="R54" s="112">
        <f>+K54+(('3 Recursos físicos'!G181*0.95)/Depreciación!$D54)</f>
        <v>0</v>
      </c>
      <c r="S54" s="112">
        <f>+L54+(('3 Recursos físicos'!H181*0.95)/Depreciación!$D54)</f>
        <v>0</v>
      </c>
      <c r="T54" s="113">
        <f>+F54+(('3 Recursos físicos'!I181*0.95)/Depreciación!$D54)</f>
        <v>0</v>
      </c>
    </row>
    <row r="55" spans="1:20" ht="10.8" thickBot="1" x14ac:dyDescent="0.35">
      <c r="A55" s="121">
        <f>+'3 Recursos físicos'!A60</f>
        <v>0</v>
      </c>
      <c r="B55" s="169">
        <f>+'3 Recursos físicos'!E60</f>
        <v>0</v>
      </c>
      <c r="C55" s="123">
        <f>+B55*5%</f>
        <v>0</v>
      </c>
      <c r="D55" s="533">
        <v>1</v>
      </c>
      <c r="E55" s="170">
        <f>+(B55-C55)/D55</f>
        <v>0</v>
      </c>
      <c r="F55" s="112">
        <f>+E55/2</f>
        <v>0</v>
      </c>
      <c r="G55" s="169">
        <f t="shared" ref="G55:L55" si="54">+F55</f>
        <v>0</v>
      </c>
      <c r="H55" s="169">
        <f t="shared" si="54"/>
        <v>0</v>
      </c>
      <c r="I55" s="169">
        <f t="shared" si="54"/>
        <v>0</v>
      </c>
      <c r="J55" s="169">
        <f t="shared" si="54"/>
        <v>0</v>
      </c>
      <c r="K55" s="169">
        <f t="shared" si="54"/>
        <v>0</v>
      </c>
      <c r="L55" s="171">
        <f t="shared" si="54"/>
        <v>0</v>
      </c>
      <c r="N55" s="170">
        <f>+G55+(('3 Recursos físicos'!C182*0.95)/Depreciación!$D55)</f>
        <v>0</v>
      </c>
      <c r="O55" s="112">
        <f>+H55+(('3 Recursos físicos'!D182*0.95)/Depreciación!$D55)</f>
        <v>0</v>
      </c>
      <c r="P55" s="112">
        <f>+I55+(('3 Recursos físicos'!E182*0.95)/Depreciación!$D55)</f>
        <v>0</v>
      </c>
      <c r="Q55" s="112">
        <f>+J55+(('3 Recursos físicos'!F182*0.95)/Depreciación!$D55)</f>
        <v>0</v>
      </c>
      <c r="R55" s="112">
        <f>+K55+(('3 Recursos físicos'!G182*0.95)/Depreciación!$D55)</f>
        <v>0</v>
      </c>
      <c r="S55" s="112">
        <f>+L55+(('3 Recursos físicos'!H182*0.95)/Depreciación!$D55)</f>
        <v>0</v>
      </c>
      <c r="T55" s="113">
        <f>+F55+(('3 Recursos físicos'!I182*0.95)/Depreciación!$D55)</f>
        <v>0</v>
      </c>
    </row>
    <row r="56" spans="1:20" ht="27" customHeight="1" thickBot="1" x14ac:dyDescent="0.35">
      <c r="A56" s="868" t="s">
        <v>115</v>
      </c>
      <c r="B56" s="180">
        <f>SUM(B4:B55)</f>
        <v>1576.875</v>
      </c>
      <c r="C56" s="567">
        <f>SUM(C4:C55)</f>
        <v>78.84375</v>
      </c>
      <c r="D56" s="181"/>
      <c r="E56" s="624">
        <f t="shared" ref="E56:L56" si="55">+E51+E35+E21+E3</f>
        <v>415.80312500000002</v>
      </c>
      <c r="F56" s="182">
        <f t="shared" si="55"/>
        <v>207.90156250000001</v>
      </c>
      <c r="G56" s="182">
        <f t="shared" si="55"/>
        <v>207.90156250000001</v>
      </c>
      <c r="H56" s="182">
        <f t="shared" si="55"/>
        <v>207.90156250000001</v>
      </c>
      <c r="I56" s="182">
        <f t="shared" si="55"/>
        <v>207.90156250000001</v>
      </c>
      <c r="J56" s="182">
        <f t="shared" si="55"/>
        <v>207.90156250000001</v>
      </c>
      <c r="K56" s="182">
        <f t="shared" si="55"/>
        <v>207.90156250000001</v>
      </c>
      <c r="L56" s="183">
        <f t="shared" si="55"/>
        <v>207.90156250000001</v>
      </c>
      <c r="M56" s="165"/>
      <c r="N56" s="625">
        <f t="shared" ref="N56:T56" si="56">+N51+N35+N21+N3</f>
        <v>276.04840554999998</v>
      </c>
      <c r="O56" s="626">
        <f t="shared" si="56"/>
        <v>2702.17900153765</v>
      </c>
      <c r="P56" s="626">
        <f t="shared" si="56"/>
        <v>5146.1422095832604</v>
      </c>
      <c r="Q56" s="626">
        <f t="shared" si="56"/>
        <v>5160.7853295480199</v>
      </c>
      <c r="R56" s="626">
        <f t="shared" si="56"/>
        <v>5196.8561475170918</v>
      </c>
      <c r="S56" s="626">
        <f t="shared" si="56"/>
        <v>5203.4966160386175</v>
      </c>
      <c r="T56" s="627">
        <f t="shared" si="56"/>
        <v>5047.4537676366199</v>
      </c>
    </row>
  </sheetData>
  <sheetProtection selectLockedCells="1"/>
  <mergeCells count="10">
    <mergeCell ref="A51:D51"/>
    <mergeCell ref="E1:L1"/>
    <mergeCell ref="N1:T1"/>
    <mergeCell ref="A3:D3"/>
    <mergeCell ref="A21:D21"/>
    <mergeCell ref="A35:D35"/>
    <mergeCell ref="A1:A2"/>
    <mergeCell ref="B1:B2"/>
    <mergeCell ref="C1:C2"/>
    <mergeCell ref="D1:D2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P239"/>
  <sheetViews>
    <sheetView showGridLines="0" zoomScaleNormal="100" workbookViewId="0">
      <selection activeCell="F20" sqref="F20"/>
    </sheetView>
  </sheetViews>
  <sheetFormatPr baseColWidth="10" defaultColWidth="11.44140625" defaultRowHeight="10.199999999999999" x14ac:dyDescent="0.3"/>
  <cols>
    <col min="1" max="1" width="1.88671875" style="48" customWidth="1"/>
    <col min="2" max="2" width="6.44140625" style="48" customWidth="1"/>
    <col min="3" max="3" width="4.88671875" style="48" customWidth="1"/>
    <col min="4" max="4" width="23.33203125" style="48" customWidth="1"/>
    <col min="5" max="7" width="13.109375" style="48" customWidth="1"/>
    <col min="8" max="8" width="12.6640625" style="48" customWidth="1"/>
    <col min="9" max="9" width="13.33203125" style="48" customWidth="1"/>
    <col min="10" max="10" width="11.88671875" style="48" customWidth="1"/>
    <col min="11" max="11" width="11" style="48" customWidth="1"/>
    <col min="12" max="12" width="8.5546875" style="48" customWidth="1"/>
    <col min="13" max="13" width="6.44140625" style="48" customWidth="1"/>
    <col min="14" max="14" width="11" style="48" customWidth="1"/>
    <col min="15" max="17" width="14.44140625" style="48" customWidth="1"/>
    <col min="18" max="19" width="15.5546875" style="48" bestFit="1" customWidth="1"/>
    <col min="20" max="20" width="15.5546875" style="48" customWidth="1"/>
    <col min="21" max="21" width="15.33203125" style="48" bestFit="1" customWidth="1"/>
    <col min="22" max="16384" width="11.44140625" style="48"/>
  </cols>
  <sheetData>
    <row r="1" spans="2:15" ht="34.5" customHeight="1" thickBot="1" x14ac:dyDescent="0.35">
      <c r="B1" s="1007">
        <f>+'1 Estudiantes'!B3</f>
        <v>2023</v>
      </c>
      <c r="C1" s="1007"/>
      <c r="D1" s="1008"/>
      <c r="E1" s="598" t="s">
        <v>159</v>
      </c>
      <c r="F1" s="599">
        <v>1</v>
      </c>
      <c r="I1" s="613"/>
      <c r="J1" s="612"/>
      <c r="K1" s="731" t="s">
        <v>199</v>
      </c>
      <c r="L1" s="719">
        <v>285</v>
      </c>
      <c r="M1" s="731"/>
      <c r="N1" s="809"/>
      <c r="O1" s="448"/>
    </row>
    <row r="2" spans="2:15" s="192" customFormat="1" ht="41.25" customHeight="1" x14ac:dyDescent="0.3">
      <c r="B2" s="194" t="s">
        <v>200</v>
      </c>
      <c r="C2" s="190" t="s">
        <v>201</v>
      </c>
      <c r="D2" s="190" t="s">
        <v>202</v>
      </c>
      <c r="E2" s="190" t="s">
        <v>203</v>
      </c>
      <c r="F2" s="190" t="s">
        <v>204</v>
      </c>
      <c r="G2" s="190" t="s">
        <v>205</v>
      </c>
      <c r="H2" s="190" t="s">
        <v>206</v>
      </c>
      <c r="I2" s="190" t="s">
        <v>207</v>
      </c>
      <c r="J2" s="190" t="s">
        <v>208</v>
      </c>
      <c r="K2" s="191" t="s">
        <v>115</v>
      </c>
    </row>
    <row r="3" spans="2:15" x14ac:dyDescent="0.3">
      <c r="B3" s="555">
        <f>+L3/M3</f>
        <v>9.5238095238095233E-2</v>
      </c>
      <c r="C3" s="600">
        <v>1</v>
      </c>
      <c r="D3" s="51" t="str">
        <f>+'6 Capital de trabajo'!B4</f>
        <v>Decano</v>
      </c>
      <c r="E3" s="196">
        <f>+'6 Capital de trabajo'!C4</f>
        <v>3880</v>
      </c>
      <c r="F3" s="196">
        <f>+E3*12/12/2</f>
        <v>1940</v>
      </c>
      <c r="G3" s="196">
        <f>+(400/2)*$F$1</f>
        <v>200</v>
      </c>
      <c r="H3" s="196">
        <f>+E3*12/24/2</f>
        <v>970</v>
      </c>
      <c r="I3" s="196">
        <f>+E3*8.33%</f>
        <v>323.20400000000001</v>
      </c>
      <c r="J3" s="196">
        <f>+E3*11.15%</f>
        <v>432.62</v>
      </c>
      <c r="K3" s="197">
        <f>+((((E3+I3+J3)*6)+F3+G3+H3)*C3)*B3</f>
        <v>2945.2327619047614</v>
      </c>
      <c r="L3" s="548">
        <f>'1 Estudiantes'!$B$12</f>
        <v>30</v>
      </c>
      <c r="M3" s="816">
        <f>+$L$1+L3</f>
        <v>315</v>
      </c>
    </row>
    <row r="4" spans="2:15" x14ac:dyDescent="0.3">
      <c r="B4" s="555">
        <f>+L4/M4</f>
        <v>9.5238095238095233E-2</v>
      </c>
      <c r="C4" s="817">
        <v>1</v>
      </c>
      <c r="D4" s="51" t="str">
        <f>+'6 Capital de trabajo'!B5</f>
        <v>Subdecano</v>
      </c>
      <c r="E4" s="196">
        <f>+'6 Capital de trabajo'!C5</f>
        <v>2880</v>
      </c>
      <c r="F4" s="196">
        <f t="shared" ref="F4:F17" si="0">+E4*12/12/2</f>
        <v>1440</v>
      </c>
      <c r="G4" s="196">
        <f t="shared" ref="G4:G17" si="1">+(400/2)*$F$1</f>
        <v>200</v>
      </c>
      <c r="H4" s="196">
        <f t="shared" ref="H4:H17" si="2">+E4*12/24/2</f>
        <v>720</v>
      </c>
      <c r="I4" s="196">
        <f t="shared" ref="I4:I17" si="3">+E4*8.33%</f>
        <v>239.904</v>
      </c>
      <c r="J4" s="196">
        <f t="shared" ref="J4:J17" si="4">+E4*11.15%</f>
        <v>321.12</v>
      </c>
      <c r="K4" s="197">
        <f t="shared" ref="K4:K17" si="5">+((((E4+I4+J4)*6)+F4+G4+H4)*C4)*B4</f>
        <v>2191.0613333333331</v>
      </c>
      <c r="L4" s="548">
        <f>'1 Estudiantes'!$B$12</f>
        <v>30</v>
      </c>
      <c r="M4" s="816">
        <f t="shared" ref="M4:M17" si="6">+$L$1+L4</f>
        <v>315</v>
      </c>
    </row>
    <row r="5" spans="2:15" x14ac:dyDescent="0.3">
      <c r="B5" s="63">
        <v>1</v>
      </c>
      <c r="C5" s="600">
        <v>1</v>
      </c>
      <c r="D5" s="51" t="str">
        <f>+'6 Capital de trabajo'!B6</f>
        <v>Director de Carrera</v>
      </c>
      <c r="E5" s="196">
        <f>+'6 Capital de trabajo'!C6</f>
        <v>2200</v>
      </c>
      <c r="F5" s="196">
        <f t="shared" si="0"/>
        <v>1100</v>
      </c>
      <c r="G5" s="196">
        <f t="shared" si="1"/>
        <v>200</v>
      </c>
      <c r="H5" s="196">
        <f t="shared" si="2"/>
        <v>550</v>
      </c>
      <c r="I5" s="196">
        <f t="shared" si="3"/>
        <v>183.26</v>
      </c>
      <c r="J5" s="196">
        <f t="shared" si="4"/>
        <v>245.3</v>
      </c>
      <c r="K5" s="197">
        <f t="shared" si="5"/>
        <v>17621.36</v>
      </c>
      <c r="L5" s="548">
        <f>'1 Estudiantes'!$B$12</f>
        <v>30</v>
      </c>
      <c r="M5" s="816">
        <f t="shared" si="6"/>
        <v>315</v>
      </c>
    </row>
    <row r="6" spans="2:15" x14ac:dyDescent="0.3">
      <c r="B6" s="555">
        <f>+L6/M6</f>
        <v>9.5238095238095233E-2</v>
      </c>
      <c r="C6" s="600">
        <v>1</v>
      </c>
      <c r="D6" s="51" t="str">
        <f>+'6 Capital de trabajo'!B7</f>
        <v>Secretario</v>
      </c>
      <c r="E6" s="196">
        <f>+'6 Capital de trabajo'!C7</f>
        <v>1000</v>
      </c>
      <c r="F6" s="196">
        <f t="shared" si="0"/>
        <v>500</v>
      </c>
      <c r="G6" s="196">
        <f t="shared" si="1"/>
        <v>200</v>
      </c>
      <c r="H6" s="196">
        <f t="shared" si="2"/>
        <v>250</v>
      </c>
      <c r="I6" s="196">
        <f t="shared" si="3"/>
        <v>83.3</v>
      </c>
      <c r="J6" s="196">
        <f t="shared" si="4"/>
        <v>111.5</v>
      </c>
      <c r="K6" s="197">
        <f t="shared" si="5"/>
        <v>773.2190476190475</v>
      </c>
      <c r="L6" s="548">
        <f>'1 Estudiantes'!$B$12</f>
        <v>30</v>
      </c>
      <c r="M6" s="816">
        <f t="shared" si="6"/>
        <v>315</v>
      </c>
    </row>
    <row r="7" spans="2:15" x14ac:dyDescent="0.3">
      <c r="B7" s="555">
        <f>+L7/M7</f>
        <v>9.5238095238095233E-2</v>
      </c>
      <c r="C7" s="600">
        <v>1</v>
      </c>
      <c r="D7" s="51" t="str">
        <f>+'6 Capital de trabajo'!B8</f>
        <v>Auxiliar de Secretaria</v>
      </c>
      <c r="E7" s="196">
        <f>+'6 Capital de trabajo'!C8</f>
        <v>850</v>
      </c>
      <c r="F7" s="196">
        <f t="shared" si="0"/>
        <v>425</v>
      </c>
      <c r="G7" s="196">
        <f t="shared" si="1"/>
        <v>200</v>
      </c>
      <c r="H7" s="196">
        <f t="shared" si="2"/>
        <v>212.5</v>
      </c>
      <c r="I7" s="196">
        <f t="shared" si="3"/>
        <v>70.804999999999993</v>
      </c>
      <c r="J7" s="196">
        <f t="shared" si="4"/>
        <v>94.775000000000006</v>
      </c>
      <c r="K7" s="197">
        <f t="shared" si="5"/>
        <v>660.09333333333325</v>
      </c>
      <c r="L7" s="548">
        <f>'1 Estudiantes'!$B$12</f>
        <v>30</v>
      </c>
      <c r="M7" s="816">
        <f t="shared" si="6"/>
        <v>315</v>
      </c>
    </row>
    <row r="8" spans="2:15" x14ac:dyDescent="0.3">
      <c r="B8" s="555">
        <f>+L8/M8</f>
        <v>9.5238095238095233E-2</v>
      </c>
      <c r="C8" s="817">
        <v>1</v>
      </c>
      <c r="D8" s="51" t="str">
        <f>+'6 Capital de trabajo'!B9</f>
        <v xml:space="preserve">Coordinador  </v>
      </c>
      <c r="E8" s="196">
        <f>+'6 Capital de trabajo'!C9</f>
        <v>900</v>
      </c>
      <c r="F8" s="196">
        <f t="shared" si="0"/>
        <v>450</v>
      </c>
      <c r="G8" s="196">
        <f t="shared" si="1"/>
        <v>200</v>
      </c>
      <c r="H8" s="196">
        <f t="shared" si="2"/>
        <v>225</v>
      </c>
      <c r="I8" s="196">
        <f t="shared" si="3"/>
        <v>74.97</v>
      </c>
      <c r="J8" s="196">
        <f t="shared" si="4"/>
        <v>100.35000000000001</v>
      </c>
      <c r="K8" s="197">
        <f t="shared" si="5"/>
        <v>697.80190476190478</v>
      </c>
      <c r="L8" s="548">
        <f>'1 Estudiantes'!$B$12</f>
        <v>30</v>
      </c>
      <c r="M8" s="816">
        <f t="shared" si="6"/>
        <v>315</v>
      </c>
    </row>
    <row r="9" spans="2:15" x14ac:dyDescent="0.3">
      <c r="B9" s="555">
        <f>+L9/M9</f>
        <v>9.5238095238095233E-2</v>
      </c>
      <c r="C9" s="817">
        <v>1</v>
      </c>
      <c r="D9" s="51" t="str">
        <f>+'6 Capital de trabajo'!B10</f>
        <v>Bienestar Estudiantil</v>
      </c>
      <c r="E9" s="196">
        <f>+'6 Capital de trabajo'!C10</f>
        <v>900</v>
      </c>
      <c r="F9" s="196">
        <f t="shared" si="0"/>
        <v>450</v>
      </c>
      <c r="G9" s="196">
        <f t="shared" si="1"/>
        <v>200</v>
      </c>
      <c r="H9" s="196">
        <f t="shared" si="2"/>
        <v>225</v>
      </c>
      <c r="I9" s="196">
        <f t="shared" si="3"/>
        <v>74.97</v>
      </c>
      <c r="J9" s="196">
        <f t="shared" si="4"/>
        <v>100.35000000000001</v>
      </c>
      <c r="K9" s="197">
        <f t="shared" si="5"/>
        <v>697.80190476190478</v>
      </c>
      <c r="L9" s="548">
        <f>'1 Estudiantes'!$B$12</f>
        <v>30</v>
      </c>
      <c r="M9" s="816">
        <f t="shared" si="6"/>
        <v>315</v>
      </c>
    </row>
    <row r="10" spans="2:15" x14ac:dyDescent="0.3">
      <c r="B10" s="124">
        <v>1</v>
      </c>
      <c r="C10" s="600">
        <f>+'5 Demanda'!B15</f>
        <v>0.24</v>
      </c>
      <c r="D10" s="49" t="str">
        <f>+'6 Capital de trabajo'!B11</f>
        <v>Tiempo Completo PhD</v>
      </c>
      <c r="E10" s="196">
        <f>+'6 Capital de trabajo'!C11</f>
        <v>2800</v>
      </c>
      <c r="F10" s="196">
        <f t="shared" si="0"/>
        <v>1400</v>
      </c>
      <c r="G10" s="196">
        <f t="shared" si="1"/>
        <v>200</v>
      </c>
      <c r="H10" s="196">
        <f t="shared" si="2"/>
        <v>700</v>
      </c>
      <c r="I10" s="196">
        <f t="shared" si="3"/>
        <v>233.24</v>
      </c>
      <c r="J10" s="196">
        <f t="shared" si="4"/>
        <v>312.2</v>
      </c>
      <c r="K10" s="197">
        <f t="shared" si="5"/>
        <v>5369.4335999999994</v>
      </c>
      <c r="L10" s="548">
        <f>'1 Estudiantes'!$B$12</f>
        <v>30</v>
      </c>
      <c r="M10" s="816">
        <f t="shared" si="6"/>
        <v>315</v>
      </c>
    </row>
    <row r="11" spans="2:15" x14ac:dyDescent="0.3">
      <c r="B11" s="124">
        <v>1</v>
      </c>
      <c r="C11" s="600">
        <f>+'5 Demanda'!B16</f>
        <v>0.6</v>
      </c>
      <c r="D11" s="49" t="str">
        <f>+'6 Capital de trabajo'!B12</f>
        <v>Tiempo Completo Mgs.</v>
      </c>
      <c r="E11" s="196">
        <f>+'6 Capital de trabajo'!C12</f>
        <v>1800</v>
      </c>
      <c r="F11" s="196">
        <f t="shared" si="0"/>
        <v>900</v>
      </c>
      <c r="G11" s="196">
        <f t="shared" si="1"/>
        <v>200</v>
      </c>
      <c r="H11" s="196">
        <f t="shared" si="2"/>
        <v>450</v>
      </c>
      <c r="I11" s="196">
        <f t="shared" si="3"/>
        <v>149.94</v>
      </c>
      <c r="J11" s="196">
        <f t="shared" si="4"/>
        <v>200.70000000000002</v>
      </c>
      <c r="K11" s="197">
        <f t="shared" si="5"/>
        <v>8672.3040000000001</v>
      </c>
      <c r="L11" s="548">
        <f>'1 Estudiantes'!$B$12</f>
        <v>30</v>
      </c>
      <c r="M11" s="816">
        <f t="shared" si="6"/>
        <v>315</v>
      </c>
    </row>
    <row r="12" spans="2:15" x14ac:dyDescent="0.3">
      <c r="B12" s="121">
        <v>1</v>
      </c>
      <c r="C12" s="600">
        <f>+'5 Demanda'!B17</f>
        <v>0</v>
      </c>
      <c r="D12" s="49" t="str">
        <f>+'6 Capital de trabajo'!B13</f>
        <v>Medio Tiempo</v>
      </c>
      <c r="E12" s="196">
        <f>+'6 Capital de trabajo'!C13</f>
        <v>900</v>
      </c>
      <c r="F12" s="196">
        <f t="shared" si="0"/>
        <v>450</v>
      </c>
      <c r="G12" s="196">
        <f t="shared" si="1"/>
        <v>200</v>
      </c>
      <c r="H12" s="196">
        <f t="shared" si="2"/>
        <v>225</v>
      </c>
      <c r="I12" s="196">
        <f t="shared" si="3"/>
        <v>74.97</v>
      </c>
      <c r="J12" s="196">
        <f t="shared" si="4"/>
        <v>100.35000000000001</v>
      </c>
      <c r="K12" s="197">
        <f t="shared" si="5"/>
        <v>0</v>
      </c>
      <c r="L12" s="548">
        <f>'1 Estudiantes'!$B$12</f>
        <v>30</v>
      </c>
      <c r="M12" s="816">
        <f t="shared" si="6"/>
        <v>315</v>
      </c>
    </row>
    <row r="13" spans="2:15" x14ac:dyDescent="0.3">
      <c r="B13" s="121">
        <v>1</v>
      </c>
      <c r="C13" s="600">
        <f>+'5 Demanda'!B18</f>
        <v>0.16000000000000003</v>
      </c>
      <c r="D13" s="49" t="str">
        <f>+'6 Capital de trabajo'!B14</f>
        <v>Tiempo Parcial</v>
      </c>
      <c r="E13" s="196">
        <f>+'6 Capital de trabajo'!C14</f>
        <v>432</v>
      </c>
      <c r="F13" s="196">
        <f t="shared" si="0"/>
        <v>216</v>
      </c>
      <c r="G13" s="196">
        <f t="shared" si="1"/>
        <v>200</v>
      </c>
      <c r="H13" s="196">
        <f t="shared" si="2"/>
        <v>108</v>
      </c>
      <c r="I13" s="196">
        <f t="shared" si="3"/>
        <v>35.985599999999998</v>
      </c>
      <c r="J13" s="196">
        <f t="shared" si="4"/>
        <v>48.167999999999999</v>
      </c>
      <c r="K13" s="197">
        <f t="shared" si="5"/>
        <v>579.34745600000008</v>
      </c>
      <c r="L13" s="548">
        <f>'1 Estudiantes'!$B$12</f>
        <v>30</v>
      </c>
      <c r="M13" s="816">
        <f t="shared" si="6"/>
        <v>315</v>
      </c>
    </row>
    <row r="14" spans="2:15" x14ac:dyDescent="0.3">
      <c r="B14" s="121">
        <v>1</v>
      </c>
      <c r="C14" s="600">
        <f>+'1 Estudiantes'!B30</f>
        <v>0.25</v>
      </c>
      <c r="D14" s="49" t="str">
        <f>+'1 Estudiantes'!A30</f>
        <v>Ocasional Tipo 2 (Técnico Docente)</v>
      </c>
      <c r="E14" s="196">
        <f>+'6 Capital de trabajo'!C15</f>
        <v>1350</v>
      </c>
      <c r="F14" s="196">
        <f t="shared" si="0"/>
        <v>675</v>
      </c>
      <c r="G14" s="196">
        <f t="shared" si="1"/>
        <v>200</v>
      </c>
      <c r="H14" s="196">
        <f t="shared" si="2"/>
        <v>337.5</v>
      </c>
      <c r="I14" s="196">
        <f t="shared" si="3"/>
        <v>112.455</v>
      </c>
      <c r="J14" s="196">
        <f t="shared" si="4"/>
        <v>150.52500000000001</v>
      </c>
      <c r="K14" s="197">
        <f t="shared" si="5"/>
        <v>2722.5950000000003</v>
      </c>
      <c r="L14" s="548">
        <f>'1 Estudiantes'!$B$12</f>
        <v>30</v>
      </c>
      <c r="M14" s="816">
        <f t="shared" si="6"/>
        <v>315</v>
      </c>
    </row>
    <row r="15" spans="2:15" x14ac:dyDescent="0.3">
      <c r="B15" s="555">
        <f>+L15/M15</f>
        <v>9.5238095238095233E-2</v>
      </c>
      <c r="C15" s="817">
        <v>1</v>
      </c>
      <c r="D15" s="51" t="str">
        <f>+'6 Capital de trabajo'!B16</f>
        <v>Bibliotecario</v>
      </c>
      <c r="E15" s="196">
        <f>+'6 Capital de trabajo'!C16</f>
        <v>800</v>
      </c>
      <c r="F15" s="196">
        <f t="shared" si="0"/>
        <v>400</v>
      </c>
      <c r="G15" s="196">
        <f t="shared" si="1"/>
        <v>200</v>
      </c>
      <c r="H15" s="196">
        <f t="shared" si="2"/>
        <v>200</v>
      </c>
      <c r="I15" s="196">
        <f t="shared" si="3"/>
        <v>66.64</v>
      </c>
      <c r="J15" s="196">
        <f t="shared" si="4"/>
        <v>89.2</v>
      </c>
      <c r="K15" s="197">
        <f t="shared" si="5"/>
        <v>622.38476190476183</v>
      </c>
      <c r="L15" s="548">
        <f>'1 Estudiantes'!$B$12</f>
        <v>30</v>
      </c>
      <c r="M15" s="816">
        <f t="shared" si="6"/>
        <v>315</v>
      </c>
    </row>
    <row r="16" spans="2:15" x14ac:dyDescent="0.3">
      <c r="B16" s="555">
        <f>+L16/M16</f>
        <v>9.5238095238095233E-2</v>
      </c>
      <c r="C16" s="817">
        <v>2</v>
      </c>
      <c r="D16" s="51" t="str">
        <f>+'6 Capital de trabajo'!B17</f>
        <v>Auxiliar de Servicio</v>
      </c>
      <c r="E16" s="196">
        <f>+'6 Capital de trabajo'!C17</f>
        <v>450</v>
      </c>
      <c r="F16" s="196">
        <f t="shared" si="0"/>
        <v>225</v>
      </c>
      <c r="G16" s="196">
        <f t="shared" si="1"/>
        <v>200</v>
      </c>
      <c r="H16" s="196">
        <f t="shared" si="2"/>
        <v>112.5</v>
      </c>
      <c r="I16" s="196">
        <f t="shared" si="3"/>
        <v>37.484999999999999</v>
      </c>
      <c r="J16" s="196">
        <f t="shared" si="4"/>
        <v>50.175000000000004</v>
      </c>
      <c r="K16" s="197">
        <f t="shared" si="5"/>
        <v>716.84952380952382</v>
      </c>
      <c r="L16" s="548">
        <f>'1 Estudiantes'!$B$12</f>
        <v>30</v>
      </c>
      <c r="M16" s="816">
        <f t="shared" si="6"/>
        <v>315</v>
      </c>
    </row>
    <row r="17" spans="2:16" x14ac:dyDescent="0.3">
      <c r="B17" s="555">
        <f>+L17/M17</f>
        <v>9.5238095238095233E-2</v>
      </c>
      <c r="C17" s="817">
        <v>1</v>
      </c>
      <c r="D17" s="51" t="str">
        <f>+'6 Capital de trabajo'!B18</f>
        <v>Guardia</v>
      </c>
      <c r="E17" s="196">
        <f>+'6 Capital de trabajo'!C18</f>
        <v>650</v>
      </c>
      <c r="F17" s="196">
        <f t="shared" si="0"/>
        <v>325</v>
      </c>
      <c r="G17" s="196">
        <f t="shared" si="1"/>
        <v>200</v>
      </c>
      <c r="H17" s="196">
        <f t="shared" si="2"/>
        <v>162.5</v>
      </c>
      <c r="I17" s="196">
        <f t="shared" si="3"/>
        <v>54.144999999999996</v>
      </c>
      <c r="J17" s="196">
        <f t="shared" si="4"/>
        <v>72.474999999999994</v>
      </c>
      <c r="K17" s="197">
        <f t="shared" si="5"/>
        <v>509.25904761904764</v>
      </c>
      <c r="L17" s="548">
        <f>'1 Estudiantes'!$B$12</f>
        <v>30</v>
      </c>
      <c r="M17" s="816">
        <f t="shared" si="6"/>
        <v>315</v>
      </c>
    </row>
    <row r="18" spans="2:16" ht="24.75" customHeight="1" thickBot="1" x14ac:dyDescent="0.35">
      <c r="B18" s="115"/>
      <c r="C18" s="116"/>
      <c r="D18" s="152" t="s">
        <v>115</v>
      </c>
      <c r="E18" s="198">
        <f t="shared" ref="E18:K18" si="7">SUM(E3:E17)</f>
        <v>21792</v>
      </c>
      <c r="F18" s="198">
        <f t="shared" si="7"/>
        <v>10896</v>
      </c>
      <c r="G18" s="198">
        <f t="shared" si="7"/>
        <v>3000</v>
      </c>
      <c r="H18" s="198">
        <f t="shared" si="7"/>
        <v>5448</v>
      </c>
      <c r="I18" s="198">
        <f t="shared" si="7"/>
        <v>1815.2735999999998</v>
      </c>
      <c r="J18" s="198">
        <f t="shared" si="7"/>
        <v>2429.808</v>
      </c>
      <c r="K18" s="199">
        <f t="shared" si="7"/>
        <v>44778.743675047626</v>
      </c>
    </row>
    <row r="19" spans="2:16" ht="10.8" thickBot="1" x14ac:dyDescent="0.35">
      <c r="C19" s="50"/>
    </row>
    <row r="20" spans="2:16" ht="30.75" customHeight="1" thickBot="1" x14ac:dyDescent="0.35">
      <c r="B20" s="1009">
        <f>+'1 Estudiantes'!C3</f>
        <v>2023</v>
      </c>
      <c r="C20" s="1010"/>
      <c r="D20" s="1011"/>
      <c r="E20" s="605" t="s">
        <v>159</v>
      </c>
      <c r="F20" s="606">
        <f>+Inflación!C11/100+1</f>
        <v>1.0134000000000001</v>
      </c>
      <c r="G20" s="165"/>
      <c r="H20" s="165"/>
      <c r="I20" s="165"/>
      <c r="J20" s="165"/>
      <c r="K20" s="165"/>
      <c r="O20" s="48">
        <f>475-26</f>
        <v>449</v>
      </c>
    </row>
    <row r="21" spans="2:16" ht="36.75" customHeight="1" x14ac:dyDescent="0.3">
      <c r="B21" s="194"/>
      <c r="C21" s="211" t="str">
        <f t="shared" ref="C21:C28" si="8">+C2</f>
        <v>Nº</v>
      </c>
      <c r="D21" s="158" t="s">
        <v>202</v>
      </c>
      <c r="E21" s="190" t="s">
        <v>203</v>
      </c>
      <c r="F21" s="190" t="s">
        <v>204</v>
      </c>
      <c r="G21" s="190" t="s">
        <v>205</v>
      </c>
      <c r="H21" s="190" t="s">
        <v>206</v>
      </c>
      <c r="I21" s="190" t="s">
        <v>207</v>
      </c>
      <c r="J21" s="190" t="s">
        <v>208</v>
      </c>
      <c r="K21" s="191" t="s">
        <v>115</v>
      </c>
      <c r="O21" s="48">
        <f>+O22/P22</f>
        <v>0.2909389461113599</v>
      </c>
    </row>
    <row r="22" spans="2:16" x14ac:dyDescent="0.3">
      <c r="B22" s="121">
        <f>+L22/M22</f>
        <v>0.23374737860945313</v>
      </c>
      <c r="C22" s="55">
        <f t="shared" si="8"/>
        <v>1</v>
      </c>
      <c r="D22" s="49" t="str">
        <f t="shared" ref="D22:D37" si="9">+D3</f>
        <v>Decano</v>
      </c>
      <c r="E22" s="196">
        <f t="shared" ref="E22:E36" si="10">+E3*$F$20</f>
        <v>3931.9920000000002</v>
      </c>
      <c r="F22" s="196">
        <f t="shared" ref="F22:F36" si="11">+E22*12/12/2</f>
        <v>1965.9960000000001</v>
      </c>
      <c r="G22" s="196">
        <f>+(400/2)*$F$1*1.05</f>
        <v>210</v>
      </c>
      <c r="H22" s="196">
        <f>+E22*12/24/2</f>
        <v>982.99800000000005</v>
      </c>
      <c r="I22" s="196">
        <f>+E22*8.33%</f>
        <v>327.53493359999999</v>
      </c>
      <c r="J22" s="196">
        <f>+E22*11.15%</f>
        <v>438.41710800000004</v>
      </c>
      <c r="K22" s="197">
        <f>+((((E22+I22+J22)*6)+F22+G22+H22)*C22)*B22</f>
        <v>7327.1991940103881</v>
      </c>
      <c r="L22" s="818">
        <f>+'1 Estudiantes'!$C$12</f>
        <v>86.94</v>
      </c>
      <c r="M22" s="50">
        <f>+$L$1+L22</f>
        <v>371.94</v>
      </c>
      <c r="O22" s="50">
        <f>+L17+L22</f>
        <v>116.94</v>
      </c>
      <c r="P22" s="50">
        <f>+M17+L22</f>
        <v>401.94</v>
      </c>
    </row>
    <row r="23" spans="2:16" x14ac:dyDescent="0.3">
      <c r="B23" s="121">
        <f>+L23/M23</f>
        <v>0.23374737860945313</v>
      </c>
      <c r="C23" s="55">
        <f t="shared" si="8"/>
        <v>1</v>
      </c>
      <c r="D23" s="49" t="str">
        <f t="shared" si="9"/>
        <v>Subdecano</v>
      </c>
      <c r="E23" s="196">
        <f t="shared" si="10"/>
        <v>2918.5920000000001</v>
      </c>
      <c r="F23" s="196">
        <f t="shared" si="11"/>
        <v>1459.296</v>
      </c>
      <c r="G23" s="196">
        <f t="shared" ref="G23:G36" si="12">+(400/2)*$F$1*1.05</f>
        <v>210</v>
      </c>
      <c r="H23" s="196">
        <f t="shared" ref="H23:H36" si="13">+E23*12/24/2</f>
        <v>729.64800000000002</v>
      </c>
      <c r="I23" s="196">
        <f t="shared" ref="I23:I36" si="14">+E23*8.33%</f>
        <v>243.11871360000001</v>
      </c>
      <c r="J23" s="196">
        <f t="shared" ref="J23:J36" si="15">+E23*11.15%</f>
        <v>325.42300800000004</v>
      </c>
      <c r="K23" s="197">
        <f t="shared" ref="K23:K36" si="16">+((((E23+I23+J23)*6)+F23+G23+H23)*C23)*B23</f>
        <v>5451.3970691386357</v>
      </c>
      <c r="L23" s="818">
        <f>+'1 Estudiantes'!$C$12</f>
        <v>86.94</v>
      </c>
      <c r="M23" s="50">
        <f t="shared" ref="M23:M36" si="17">+$L$1+L23</f>
        <v>371.94</v>
      </c>
    </row>
    <row r="24" spans="2:16" x14ac:dyDescent="0.3">
      <c r="B24" s="121">
        <f>+B5</f>
        <v>1</v>
      </c>
      <c r="C24" s="55">
        <f t="shared" si="8"/>
        <v>1</v>
      </c>
      <c r="D24" s="49" t="str">
        <f t="shared" si="9"/>
        <v>Director de Carrera</v>
      </c>
      <c r="E24" s="196">
        <f t="shared" si="10"/>
        <v>2229.48</v>
      </c>
      <c r="F24" s="196">
        <f t="shared" si="11"/>
        <v>1114.74</v>
      </c>
      <c r="G24" s="196">
        <f t="shared" si="12"/>
        <v>210</v>
      </c>
      <c r="H24" s="196">
        <f t="shared" si="13"/>
        <v>557.37</v>
      </c>
      <c r="I24" s="196">
        <f t="shared" si="14"/>
        <v>185.71568400000001</v>
      </c>
      <c r="J24" s="196">
        <f t="shared" si="15"/>
        <v>248.58702</v>
      </c>
      <c r="K24" s="197">
        <f t="shared" si="16"/>
        <v>17864.806224</v>
      </c>
      <c r="L24" s="818">
        <f>+'1 Estudiantes'!$C$12</f>
        <v>86.94</v>
      </c>
      <c r="M24" s="50">
        <f t="shared" si="17"/>
        <v>371.94</v>
      </c>
    </row>
    <row r="25" spans="2:16" x14ac:dyDescent="0.3">
      <c r="B25" s="121">
        <f>+L25/M25</f>
        <v>0.23374737860945313</v>
      </c>
      <c r="C25" s="55">
        <f t="shared" si="8"/>
        <v>1</v>
      </c>
      <c r="D25" s="49" t="str">
        <f t="shared" si="9"/>
        <v>Secretario</v>
      </c>
      <c r="E25" s="196">
        <f t="shared" si="10"/>
        <v>1013.4000000000001</v>
      </c>
      <c r="F25" s="196">
        <f t="shared" si="11"/>
        <v>506.70000000000005</v>
      </c>
      <c r="G25" s="196">
        <f t="shared" si="12"/>
        <v>210</v>
      </c>
      <c r="H25" s="196">
        <f t="shared" si="13"/>
        <v>253.35000000000002</v>
      </c>
      <c r="I25" s="196">
        <f t="shared" si="14"/>
        <v>84.41622000000001</v>
      </c>
      <c r="J25" s="196">
        <f t="shared" si="15"/>
        <v>112.99410000000002</v>
      </c>
      <c r="K25" s="197">
        <f t="shared" si="16"/>
        <v>1924.8890743797388</v>
      </c>
      <c r="L25" s="818">
        <f>+'1 Estudiantes'!$C$12</f>
        <v>86.94</v>
      </c>
      <c r="M25" s="50">
        <f t="shared" si="17"/>
        <v>371.94</v>
      </c>
    </row>
    <row r="26" spans="2:16" x14ac:dyDescent="0.3">
      <c r="B26" s="121">
        <f>+L26/M26</f>
        <v>0.23374737860945313</v>
      </c>
      <c r="C26" s="55">
        <f t="shared" si="8"/>
        <v>1</v>
      </c>
      <c r="D26" s="49" t="str">
        <f t="shared" si="9"/>
        <v>Auxiliar de Secretaria</v>
      </c>
      <c r="E26" s="196">
        <f t="shared" si="10"/>
        <v>861.3900000000001</v>
      </c>
      <c r="F26" s="196">
        <f t="shared" si="11"/>
        <v>430.69499999999999</v>
      </c>
      <c r="G26" s="196">
        <f t="shared" si="12"/>
        <v>210</v>
      </c>
      <c r="H26" s="196">
        <f t="shared" si="13"/>
        <v>215.3475</v>
      </c>
      <c r="I26" s="196">
        <f t="shared" si="14"/>
        <v>71.753787000000003</v>
      </c>
      <c r="J26" s="196">
        <f t="shared" si="15"/>
        <v>96.044985000000011</v>
      </c>
      <c r="K26" s="197">
        <f t="shared" si="16"/>
        <v>1643.5187556489757</v>
      </c>
      <c r="L26" s="818">
        <f>+'1 Estudiantes'!$C$12</f>
        <v>86.94</v>
      </c>
      <c r="M26" s="50">
        <f t="shared" si="17"/>
        <v>371.94</v>
      </c>
    </row>
    <row r="27" spans="2:16" x14ac:dyDescent="0.3">
      <c r="B27" s="121">
        <f>+L27/M27</f>
        <v>0.23374737860945313</v>
      </c>
      <c r="C27" s="55">
        <f t="shared" si="8"/>
        <v>1</v>
      </c>
      <c r="D27" s="51" t="str">
        <f t="shared" si="9"/>
        <v xml:space="preserve">Coordinador  </v>
      </c>
      <c r="E27" s="196">
        <f t="shared" si="10"/>
        <v>912.06000000000006</v>
      </c>
      <c r="F27" s="196">
        <f t="shared" si="11"/>
        <v>456.03000000000003</v>
      </c>
      <c r="G27" s="196">
        <f t="shared" si="12"/>
        <v>210</v>
      </c>
      <c r="H27" s="196">
        <f t="shared" si="13"/>
        <v>228.01500000000001</v>
      </c>
      <c r="I27" s="196">
        <f t="shared" si="14"/>
        <v>75.974598</v>
      </c>
      <c r="J27" s="196">
        <f t="shared" si="15"/>
        <v>101.69469000000001</v>
      </c>
      <c r="K27" s="197">
        <f t="shared" si="16"/>
        <v>1737.3088618925633</v>
      </c>
      <c r="L27" s="818">
        <f>+'1 Estudiantes'!$C$12</f>
        <v>86.94</v>
      </c>
      <c r="M27" s="50">
        <f t="shared" si="17"/>
        <v>371.94</v>
      </c>
    </row>
    <row r="28" spans="2:16" x14ac:dyDescent="0.3">
      <c r="B28" s="121">
        <f>+L28/M28</f>
        <v>0.23374737860945313</v>
      </c>
      <c r="C28" s="55">
        <f t="shared" si="8"/>
        <v>1</v>
      </c>
      <c r="D28" s="51" t="str">
        <f t="shared" si="9"/>
        <v>Bienestar Estudiantil</v>
      </c>
      <c r="E28" s="196">
        <f t="shared" si="10"/>
        <v>912.06000000000006</v>
      </c>
      <c r="F28" s="196">
        <f t="shared" si="11"/>
        <v>456.03000000000003</v>
      </c>
      <c r="G28" s="196">
        <f t="shared" si="12"/>
        <v>210</v>
      </c>
      <c r="H28" s="196">
        <f t="shared" si="13"/>
        <v>228.01500000000001</v>
      </c>
      <c r="I28" s="196">
        <f t="shared" si="14"/>
        <v>75.974598</v>
      </c>
      <c r="J28" s="196">
        <f t="shared" si="15"/>
        <v>101.69469000000001</v>
      </c>
      <c r="K28" s="197">
        <f t="shared" si="16"/>
        <v>1737.3088618925633</v>
      </c>
      <c r="L28" s="818">
        <f>+'1 Estudiantes'!$C$12</f>
        <v>86.94</v>
      </c>
      <c r="M28" s="50">
        <f t="shared" si="17"/>
        <v>371.94</v>
      </c>
    </row>
    <row r="29" spans="2:16" x14ac:dyDescent="0.3">
      <c r="B29" s="121">
        <f>+B10</f>
        <v>1</v>
      </c>
      <c r="C29" s="55">
        <f>+'5 Demanda'!C15</f>
        <v>0.8</v>
      </c>
      <c r="D29" s="49" t="str">
        <f t="shared" si="9"/>
        <v>Tiempo Completo PhD</v>
      </c>
      <c r="E29" s="196">
        <f t="shared" si="10"/>
        <v>2837.5200000000004</v>
      </c>
      <c r="F29" s="196">
        <f t="shared" si="11"/>
        <v>1418.7600000000002</v>
      </c>
      <c r="G29" s="196">
        <f t="shared" si="12"/>
        <v>210</v>
      </c>
      <c r="H29" s="196">
        <f t="shared" si="13"/>
        <v>709.38000000000011</v>
      </c>
      <c r="I29" s="196">
        <f t="shared" si="14"/>
        <v>236.36541600000004</v>
      </c>
      <c r="J29" s="196">
        <f t="shared" si="15"/>
        <v>316.38348000000008</v>
      </c>
      <c r="K29" s="197">
        <f t="shared" si="16"/>
        <v>18143.802700800003</v>
      </c>
      <c r="L29" s="818">
        <f>+'1 Estudiantes'!$C$12</f>
        <v>86.94</v>
      </c>
      <c r="M29" s="50">
        <f t="shared" si="17"/>
        <v>371.94</v>
      </c>
    </row>
    <row r="30" spans="2:16" x14ac:dyDescent="0.3">
      <c r="B30" s="121">
        <f>+B11</f>
        <v>1</v>
      </c>
      <c r="C30" s="55">
        <f>+'5 Demanda'!C16</f>
        <v>2</v>
      </c>
      <c r="D30" s="49" t="str">
        <f t="shared" si="9"/>
        <v>Tiempo Completo Mgs.</v>
      </c>
      <c r="E30" s="196">
        <f t="shared" si="10"/>
        <v>1824.1200000000001</v>
      </c>
      <c r="F30" s="196">
        <f t="shared" si="11"/>
        <v>912.06000000000006</v>
      </c>
      <c r="G30" s="196">
        <f t="shared" si="12"/>
        <v>210</v>
      </c>
      <c r="H30" s="196">
        <f t="shared" si="13"/>
        <v>456.03000000000003</v>
      </c>
      <c r="I30" s="196">
        <f t="shared" si="14"/>
        <v>151.949196</v>
      </c>
      <c r="J30" s="196">
        <f t="shared" si="15"/>
        <v>203.38938000000002</v>
      </c>
      <c r="K30" s="197">
        <f t="shared" si="16"/>
        <v>29309.682912</v>
      </c>
      <c r="L30" s="818">
        <f>+'1 Estudiantes'!$C$12</f>
        <v>86.94</v>
      </c>
      <c r="M30" s="50">
        <f t="shared" si="17"/>
        <v>371.94</v>
      </c>
    </row>
    <row r="31" spans="2:16" x14ac:dyDescent="0.3">
      <c r="B31" s="121">
        <f>+B12</f>
        <v>1</v>
      </c>
      <c r="C31" s="55">
        <f>+'5 Demanda'!C17</f>
        <v>0</v>
      </c>
      <c r="D31" s="49" t="str">
        <f t="shared" si="9"/>
        <v>Medio Tiempo</v>
      </c>
      <c r="E31" s="196">
        <f t="shared" si="10"/>
        <v>912.06000000000006</v>
      </c>
      <c r="F31" s="196">
        <f t="shared" si="11"/>
        <v>456.03000000000003</v>
      </c>
      <c r="G31" s="196">
        <f t="shared" si="12"/>
        <v>210</v>
      </c>
      <c r="H31" s="196">
        <f t="shared" si="13"/>
        <v>228.01500000000001</v>
      </c>
      <c r="I31" s="196">
        <f t="shared" si="14"/>
        <v>75.974598</v>
      </c>
      <c r="J31" s="196">
        <f t="shared" si="15"/>
        <v>101.69469000000001</v>
      </c>
      <c r="K31" s="197">
        <f t="shared" si="16"/>
        <v>0</v>
      </c>
      <c r="L31" s="818">
        <f>+'1 Estudiantes'!$C$12</f>
        <v>86.94</v>
      </c>
      <c r="M31" s="50">
        <f t="shared" si="17"/>
        <v>371.94</v>
      </c>
    </row>
    <row r="32" spans="2:16" x14ac:dyDescent="0.3">
      <c r="B32" s="121">
        <f>+B13</f>
        <v>1</v>
      </c>
      <c r="C32" s="55">
        <f>+'5 Demanda'!C18</f>
        <v>0.53333333333333344</v>
      </c>
      <c r="D32" s="49" t="str">
        <f t="shared" si="9"/>
        <v>Tiempo Parcial</v>
      </c>
      <c r="E32" s="196">
        <f t="shared" si="10"/>
        <v>437.78880000000004</v>
      </c>
      <c r="F32" s="196">
        <f t="shared" si="11"/>
        <v>218.89440000000002</v>
      </c>
      <c r="G32" s="196">
        <f t="shared" si="12"/>
        <v>210</v>
      </c>
      <c r="H32" s="196">
        <f t="shared" si="13"/>
        <v>109.44720000000001</v>
      </c>
      <c r="I32" s="196">
        <f t="shared" si="14"/>
        <v>36.467807040000004</v>
      </c>
      <c r="J32" s="196">
        <f t="shared" si="15"/>
        <v>48.813451200000003</v>
      </c>
      <c r="K32" s="197">
        <f t="shared" si="16"/>
        <v>1960.939706368001</v>
      </c>
      <c r="L32" s="818">
        <f>+'1 Estudiantes'!$C$12</f>
        <v>86.94</v>
      </c>
      <c r="M32" s="50">
        <f t="shared" si="17"/>
        <v>371.94</v>
      </c>
    </row>
    <row r="33" spans="2:13" x14ac:dyDescent="0.3">
      <c r="B33" s="121">
        <f>+B14</f>
        <v>1</v>
      </c>
      <c r="C33" s="55">
        <f>+'1 Estudiantes'!C30</f>
        <v>0.8</v>
      </c>
      <c r="D33" s="49" t="str">
        <f t="shared" si="9"/>
        <v>Ocasional Tipo 2 (Técnico Docente)</v>
      </c>
      <c r="E33" s="196">
        <f t="shared" si="10"/>
        <v>1368.0900000000001</v>
      </c>
      <c r="F33" s="196">
        <f t="shared" si="11"/>
        <v>684.04500000000007</v>
      </c>
      <c r="G33" s="196">
        <f t="shared" si="12"/>
        <v>210</v>
      </c>
      <c r="H33" s="196">
        <f t="shared" si="13"/>
        <v>342.02250000000004</v>
      </c>
      <c r="I33" s="196">
        <f t="shared" si="14"/>
        <v>113.96189700000001</v>
      </c>
      <c r="J33" s="196">
        <f t="shared" si="15"/>
        <v>152.54203500000003</v>
      </c>
      <c r="K33" s="197">
        <f t="shared" si="16"/>
        <v>8834.9048736000004</v>
      </c>
      <c r="L33" s="818">
        <f>+'1 Estudiantes'!$C$12</f>
        <v>86.94</v>
      </c>
      <c r="M33" s="50">
        <f t="shared" si="17"/>
        <v>371.94</v>
      </c>
    </row>
    <row r="34" spans="2:13" x14ac:dyDescent="0.3">
      <c r="B34" s="121">
        <f>+L34/M34</f>
        <v>0.23374737860945313</v>
      </c>
      <c r="C34" s="55">
        <f>+C15</f>
        <v>1</v>
      </c>
      <c r="D34" s="51" t="str">
        <f t="shared" si="9"/>
        <v>Bibliotecario</v>
      </c>
      <c r="E34" s="196">
        <f t="shared" si="10"/>
        <v>810.72</v>
      </c>
      <c r="F34" s="196">
        <f t="shared" si="11"/>
        <v>405.35999999999996</v>
      </c>
      <c r="G34" s="196">
        <f t="shared" si="12"/>
        <v>210</v>
      </c>
      <c r="H34" s="196">
        <f t="shared" si="13"/>
        <v>202.67999999999998</v>
      </c>
      <c r="I34" s="196">
        <f t="shared" si="14"/>
        <v>67.532976000000005</v>
      </c>
      <c r="J34" s="196">
        <f t="shared" si="15"/>
        <v>90.39528</v>
      </c>
      <c r="K34" s="197">
        <f t="shared" si="16"/>
        <v>1549.7286494053878</v>
      </c>
      <c r="L34" s="818">
        <f>+'1 Estudiantes'!$C$12</f>
        <v>86.94</v>
      </c>
      <c r="M34" s="50">
        <f t="shared" si="17"/>
        <v>371.94</v>
      </c>
    </row>
    <row r="35" spans="2:13" x14ac:dyDescent="0.3">
      <c r="B35" s="121">
        <f>+L35/M35</f>
        <v>0.23374737860945313</v>
      </c>
      <c r="C35" s="55">
        <f>+C16</f>
        <v>2</v>
      </c>
      <c r="D35" s="51" t="str">
        <f t="shared" si="9"/>
        <v>Auxiliar de Servicio</v>
      </c>
      <c r="E35" s="196">
        <f t="shared" si="10"/>
        <v>456.03000000000003</v>
      </c>
      <c r="F35" s="196">
        <f t="shared" si="11"/>
        <v>228.01500000000001</v>
      </c>
      <c r="G35" s="196">
        <f t="shared" si="12"/>
        <v>210</v>
      </c>
      <c r="H35" s="196">
        <f t="shared" si="13"/>
        <v>114.00750000000001</v>
      </c>
      <c r="I35" s="196">
        <f t="shared" si="14"/>
        <v>37.987299</v>
      </c>
      <c r="J35" s="196">
        <f t="shared" si="15"/>
        <v>50.847345000000004</v>
      </c>
      <c r="K35" s="197">
        <f t="shared" si="16"/>
        <v>1786.3958114005484</v>
      </c>
      <c r="L35" s="818">
        <f>+'1 Estudiantes'!$C$12</f>
        <v>86.94</v>
      </c>
      <c r="M35" s="50">
        <f t="shared" si="17"/>
        <v>371.94</v>
      </c>
    </row>
    <row r="36" spans="2:13" x14ac:dyDescent="0.3">
      <c r="B36" s="121">
        <f>+L36/M36</f>
        <v>0.23374737860945313</v>
      </c>
      <c r="C36" s="55">
        <f>+C17</f>
        <v>1</v>
      </c>
      <c r="D36" s="51" t="str">
        <f t="shared" si="9"/>
        <v>Guardia</v>
      </c>
      <c r="E36" s="196">
        <f t="shared" si="10"/>
        <v>658.71</v>
      </c>
      <c r="F36" s="196">
        <f t="shared" si="11"/>
        <v>329.35500000000002</v>
      </c>
      <c r="G36" s="196">
        <f t="shared" si="12"/>
        <v>210</v>
      </c>
      <c r="H36" s="196">
        <f t="shared" si="13"/>
        <v>164.67750000000001</v>
      </c>
      <c r="I36" s="196">
        <f t="shared" si="14"/>
        <v>54.870543000000005</v>
      </c>
      <c r="J36" s="196">
        <f t="shared" si="15"/>
        <v>73.446165000000008</v>
      </c>
      <c r="K36" s="197">
        <f t="shared" si="16"/>
        <v>1268.3583306746248</v>
      </c>
      <c r="L36" s="818">
        <f>+'1 Estudiantes'!$C$12</f>
        <v>86.94</v>
      </c>
      <c r="M36" s="50">
        <f t="shared" si="17"/>
        <v>371.94</v>
      </c>
    </row>
    <row r="37" spans="2:13" ht="21.75" customHeight="1" thickBot="1" x14ac:dyDescent="0.35">
      <c r="B37" s="115"/>
      <c r="C37" s="116"/>
      <c r="D37" s="152" t="str">
        <f t="shared" si="9"/>
        <v>TOTAL</v>
      </c>
      <c r="E37" s="198">
        <f>SUM(E22:E36)</f>
        <v>22084.012799999997</v>
      </c>
      <c r="F37" s="198">
        <f>SUM(F22:F36)</f>
        <v>11042.006399999998</v>
      </c>
      <c r="G37" s="198">
        <f>SUM(G22:G36)</f>
        <v>3150</v>
      </c>
      <c r="H37" s="198">
        <f>SUM(H22:H36)</f>
        <v>5521.0031999999992</v>
      </c>
      <c r="I37" s="198">
        <f>SUM(I22:I36)</f>
        <v>1839.5982662399999</v>
      </c>
      <c r="J37" s="198"/>
      <c r="K37" s="199">
        <f>SUM(K22:K36)</f>
        <v>100540.24102521144</v>
      </c>
    </row>
    <row r="38" spans="2:13" ht="35.25" customHeight="1" thickBot="1" x14ac:dyDescent="0.35">
      <c r="C38" s="50"/>
      <c r="D38" s="58"/>
      <c r="E38" s="118"/>
      <c r="F38" s="118"/>
      <c r="G38" s="118"/>
      <c r="H38" s="118"/>
      <c r="I38" s="118"/>
      <c r="J38" s="118"/>
      <c r="K38" s="118"/>
    </row>
    <row r="39" spans="2:13" ht="30" customHeight="1" thickBot="1" x14ac:dyDescent="0.35">
      <c r="B39" s="1009">
        <f>+'1 Estudiantes'!D3</f>
        <v>2024</v>
      </c>
      <c r="C39" s="1010"/>
      <c r="D39" s="1011"/>
      <c r="E39" s="210" t="s">
        <v>159</v>
      </c>
      <c r="F39" s="383">
        <f>+Inflación!C12/100+1</f>
        <v>1.0143</v>
      </c>
      <c r="G39" s="165"/>
      <c r="H39" s="165"/>
      <c r="I39" s="165"/>
      <c r="J39" s="165"/>
      <c r="K39" s="165"/>
    </row>
    <row r="40" spans="2:13" ht="34.5" customHeight="1" x14ac:dyDescent="0.3">
      <c r="B40" s="194"/>
      <c r="C40" s="211" t="s">
        <v>201</v>
      </c>
      <c r="D40" s="158" t="s">
        <v>202</v>
      </c>
      <c r="E40" s="190" t="s">
        <v>203</v>
      </c>
      <c r="F40" s="190" t="s">
        <v>204</v>
      </c>
      <c r="G40" s="190" t="s">
        <v>205</v>
      </c>
      <c r="H40" s="190" t="s">
        <v>206</v>
      </c>
      <c r="I40" s="190" t="s">
        <v>207</v>
      </c>
      <c r="J40" s="190" t="s">
        <v>208</v>
      </c>
      <c r="K40" s="191" t="s">
        <v>115</v>
      </c>
    </row>
    <row r="41" spans="2:13" x14ac:dyDescent="0.3">
      <c r="B41" s="121">
        <f>+L41/M41</f>
        <v>0.27494221671076546</v>
      </c>
      <c r="C41" s="55">
        <f t="shared" ref="C41:C47" si="18">+C3</f>
        <v>1</v>
      </c>
      <c r="D41" s="51" t="str">
        <f t="shared" ref="D41:E55" si="19">+D22</f>
        <v>Decano</v>
      </c>
      <c r="E41" s="196">
        <f t="shared" si="19"/>
        <v>3931.9920000000002</v>
      </c>
      <c r="F41" s="196">
        <f t="shared" ref="F41:F55" si="20">+E41*12/12/2</f>
        <v>1965.9960000000001</v>
      </c>
      <c r="G41" s="196">
        <f>+G22</f>
        <v>210</v>
      </c>
      <c r="H41" s="196">
        <f>+E41*12/24/2</f>
        <v>982.99800000000005</v>
      </c>
      <c r="I41" s="196">
        <f>+E41*8.33%</f>
        <v>327.53493359999999</v>
      </c>
      <c r="J41" s="196">
        <f>+E41*11.15%</f>
        <v>438.41710800000004</v>
      </c>
      <c r="K41" s="197">
        <f>+((((E41+I41+J41)*6)+F41+G41+H41)*C41)*B41</f>
        <v>8618.5197056198267</v>
      </c>
      <c r="L41" s="818">
        <f>+'1 Estudiantes'!$D$12</f>
        <v>108.07212</v>
      </c>
      <c r="M41" s="50">
        <f>+$L$1+L41</f>
        <v>393.07211999999998</v>
      </c>
    </row>
    <row r="42" spans="2:13" x14ac:dyDescent="0.3">
      <c r="B42" s="121">
        <f>+L42/M42</f>
        <v>0.27494221671076546</v>
      </c>
      <c r="C42" s="55">
        <f t="shared" si="18"/>
        <v>1</v>
      </c>
      <c r="D42" s="51" t="str">
        <f t="shared" si="19"/>
        <v>Subdecano</v>
      </c>
      <c r="E42" s="196">
        <f t="shared" si="19"/>
        <v>2918.5920000000001</v>
      </c>
      <c r="F42" s="196">
        <f t="shared" si="20"/>
        <v>1459.296</v>
      </c>
      <c r="G42" s="196">
        <f t="shared" ref="G42:G55" si="21">+G23</f>
        <v>210</v>
      </c>
      <c r="H42" s="196">
        <f t="shared" ref="H42:H55" si="22">+E42*12/24/2</f>
        <v>729.64800000000002</v>
      </c>
      <c r="I42" s="196">
        <f t="shared" ref="I42:I55" si="23">+E42*8.33%</f>
        <v>243.11871360000001</v>
      </c>
      <c r="J42" s="196">
        <f t="shared" ref="J42:J55" si="24">+E42*11.15%</f>
        <v>325.42300800000004</v>
      </c>
      <c r="K42" s="197">
        <f t="shared" ref="K42:K55" si="25">+((((E42+I42+J42)*6)+F42+G42+H42)*C42)*B42</f>
        <v>6412.1326334263831</v>
      </c>
      <c r="L42" s="818">
        <f>+'1 Estudiantes'!$D$12</f>
        <v>108.07212</v>
      </c>
      <c r="M42" s="50">
        <f t="shared" ref="M42:M55" si="26">+$L$1+L42</f>
        <v>393.07211999999998</v>
      </c>
    </row>
    <row r="43" spans="2:13" x14ac:dyDescent="0.3">
      <c r="B43" s="121">
        <f>+B24</f>
        <v>1</v>
      </c>
      <c r="C43" s="55">
        <f t="shared" si="18"/>
        <v>1</v>
      </c>
      <c r="D43" s="51" t="str">
        <f t="shared" si="19"/>
        <v>Director de Carrera</v>
      </c>
      <c r="E43" s="196">
        <f t="shared" si="19"/>
        <v>2229.48</v>
      </c>
      <c r="F43" s="196">
        <f t="shared" si="20"/>
        <v>1114.74</v>
      </c>
      <c r="G43" s="196">
        <f t="shared" si="21"/>
        <v>210</v>
      </c>
      <c r="H43" s="196">
        <f t="shared" si="22"/>
        <v>557.37</v>
      </c>
      <c r="I43" s="196">
        <f t="shared" si="23"/>
        <v>185.71568400000001</v>
      </c>
      <c r="J43" s="196">
        <f t="shared" si="24"/>
        <v>248.58702</v>
      </c>
      <c r="K43" s="197">
        <f t="shared" si="25"/>
        <v>17864.806224</v>
      </c>
      <c r="L43" s="818">
        <f>+'1 Estudiantes'!$D$12</f>
        <v>108.07212</v>
      </c>
      <c r="M43" s="50">
        <f t="shared" si="26"/>
        <v>393.07211999999998</v>
      </c>
    </row>
    <row r="44" spans="2:13" x14ac:dyDescent="0.3">
      <c r="B44" s="121">
        <f>+L44/M44</f>
        <v>0.27494221671076546</v>
      </c>
      <c r="C44" s="55">
        <f t="shared" si="18"/>
        <v>1</v>
      </c>
      <c r="D44" s="51" t="str">
        <f t="shared" si="19"/>
        <v>Secretario</v>
      </c>
      <c r="E44" s="196">
        <f t="shared" si="19"/>
        <v>1013.4000000000001</v>
      </c>
      <c r="F44" s="196">
        <f t="shared" si="20"/>
        <v>506.70000000000005</v>
      </c>
      <c r="G44" s="196">
        <f t="shared" si="21"/>
        <v>210</v>
      </c>
      <c r="H44" s="196">
        <f t="shared" si="22"/>
        <v>253.35000000000002</v>
      </c>
      <c r="I44" s="196">
        <f t="shared" si="23"/>
        <v>84.41622000000001</v>
      </c>
      <c r="J44" s="196">
        <f t="shared" si="24"/>
        <v>112.99410000000002</v>
      </c>
      <c r="K44" s="197">
        <f t="shared" si="25"/>
        <v>2264.1249377027057</v>
      </c>
      <c r="L44" s="818">
        <f>+'1 Estudiantes'!$D$12</f>
        <v>108.07212</v>
      </c>
      <c r="M44" s="50">
        <f t="shared" si="26"/>
        <v>393.07211999999998</v>
      </c>
    </row>
    <row r="45" spans="2:13" x14ac:dyDescent="0.3">
      <c r="B45" s="121">
        <f>+L45/M45</f>
        <v>0.27494221671076546</v>
      </c>
      <c r="C45" s="55">
        <f t="shared" si="18"/>
        <v>1</v>
      </c>
      <c r="D45" s="51" t="str">
        <f t="shared" si="19"/>
        <v>Auxiliar de Secretaria</v>
      </c>
      <c r="E45" s="196">
        <f t="shared" si="19"/>
        <v>861.3900000000001</v>
      </c>
      <c r="F45" s="196">
        <f t="shared" si="20"/>
        <v>430.69499999999999</v>
      </c>
      <c r="G45" s="196">
        <f t="shared" si="21"/>
        <v>210</v>
      </c>
      <c r="H45" s="196">
        <f t="shared" si="22"/>
        <v>215.3475</v>
      </c>
      <c r="I45" s="196">
        <f t="shared" si="23"/>
        <v>71.753787000000003</v>
      </c>
      <c r="J45" s="196">
        <f t="shared" si="24"/>
        <v>96.044985000000011</v>
      </c>
      <c r="K45" s="197">
        <f t="shared" si="25"/>
        <v>1933.166876873689</v>
      </c>
      <c r="L45" s="818">
        <f>+'1 Estudiantes'!$D$12</f>
        <v>108.07212</v>
      </c>
      <c r="M45" s="50">
        <f t="shared" si="26"/>
        <v>393.07211999999998</v>
      </c>
    </row>
    <row r="46" spans="2:13" x14ac:dyDescent="0.3">
      <c r="B46" s="121">
        <f>+L46/M46</f>
        <v>0.27494221671076546</v>
      </c>
      <c r="C46" s="55">
        <f t="shared" si="18"/>
        <v>1</v>
      </c>
      <c r="D46" s="51" t="str">
        <f t="shared" si="19"/>
        <v xml:space="preserve">Coordinador  </v>
      </c>
      <c r="E46" s="196">
        <f t="shared" si="19"/>
        <v>912.06000000000006</v>
      </c>
      <c r="F46" s="196">
        <f t="shared" si="20"/>
        <v>456.03000000000003</v>
      </c>
      <c r="G46" s="196">
        <f t="shared" si="21"/>
        <v>210</v>
      </c>
      <c r="H46" s="196">
        <f t="shared" si="22"/>
        <v>228.01500000000001</v>
      </c>
      <c r="I46" s="196">
        <f t="shared" si="23"/>
        <v>75.974598</v>
      </c>
      <c r="J46" s="196">
        <f t="shared" si="24"/>
        <v>101.69469000000001</v>
      </c>
      <c r="K46" s="197">
        <f t="shared" si="25"/>
        <v>2043.4862304833612</v>
      </c>
      <c r="L46" s="818">
        <f>+'1 Estudiantes'!$D$12</f>
        <v>108.07212</v>
      </c>
      <c r="M46" s="50">
        <f t="shared" si="26"/>
        <v>393.07211999999998</v>
      </c>
    </row>
    <row r="47" spans="2:13" x14ac:dyDescent="0.3">
      <c r="B47" s="121">
        <f>+L47/M47</f>
        <v>0.27494221671076546</v>
      </c>
      <c r="C47" s="55">
        <f t="shared" si="18"/>
        <v>1</v>
      </c>
      <c r="D47" s="51" t="str">
        <f t="shared" si="19"/>
        <v>Bienestar Estudiantil</v>
      </c>
      <c r="E47" s="196">
        <f t="shared" si="19"/>
        <v>912.06000000000006</v>
      </c>
      <c r="F47" s="196">
        <f t="shared" si="20"/>
        <v>456.03000000000003</v>
      </c>
      <c r="G47" s="196">
        <f t="shared" si="21"/>
        <v>210</v>
      </c>
      <c r="H47" s="196">
        <f t="shared" si="22"/>
        <v>228.01500000000001</v>
      </c>
      <c r="I47" s="196">
        <f t="shared" si="23"/>
        <v>75.974598</v>
      </c>
      <c r="J47" s="196">
        <f t="shared" si="24"/>
        <v>101.69469000000001</v>
      </c>
      <c r="K47" s="197">
        <f t="shared" si="25"/>
        <v>2043.4862304833612</v>
      </c>
      <c r="L47" s="818">
        <f>+'1 Estudiantes'!$D$12</f>
        <v>108.07212</v>
      </c>
      <c r="M47" s="50">
        <f t="shared" si="26"/>
        <v>393.07211999999998</v>
      </c>
    </row>
    <row r="48" spans="2:13" x14ac:dyDescent="0.3">
      <c r="B48" s="121">
        <f>+B29</f>
        <v>1</v>
      </c>
      <c r="C48" s="55">
        <f>+'5 Demanda'!D15</f>
        <v>1.0666666666666667</v>
      </c>
      <c r="D48" s="51" t="str">
        <f t="shared" si="19"/>
        <v>Tiempo Completo PhD</v>
      </c>
      <c r="E48" s="196">
        <f t="shared" si="19"/>
        <v>2837.5200000000004</v>
      </c>
      <c r="F48" s="196">
        <f t="shared" si="20"/>
        <v>1418.7600000000002</v>
      </c>
      <c r="G48" s="196">
        <f t="shared" si="21"/>
        <v>210</v>
      </c>
      <c r="H48" s="196">
        <f t="shared" si="22"/>
        <v>709.38000000000011</v>
      </c>
      <c r="I48" s="196">
        <f t="shared" si="23"/>
        <v>236.36541600000004</v>
      </c>
      <c r="J48" s="196">
        <f t="shared" si="24"/>
        <v>316.38348000000008</v>
      </c>
      <c r="K48" s="197">
        <f t="shared" si="25"/>
        <v>24191.736934400004</v>
      </c>
      <c r="L48" s="818">
        <f>+'1 Estudiantes'!$D$12</f>
        <v>108.07212</v>
      </c>
      <c r="M48" s="50">
        <f t="shared" si="26"/>
        <v>393.07211999999998</v>
      </c>
    </row>
    <row r="49" spans="2:13" x14ac:dyDescent="0.3">
      <c r="B49" s="121">
        <f>+B30</f>
        <v>1</v>
      </c>
      <c r="C49" s="55">
        <f>+'5 Demanda'!D16</f>
        <v>2.6666666666666665</v>
      </c>
      <c r="D49" s="51" t="str">
        <f t="shared" si="19"/>
        <v>Tiempo Completo Mgs.</v>
      </c>
      <c r="E49" s="196">
        <f t="shared" si="19"/>
        <v>1824.1200000000001</v>
      </c>
      <c r="F49" s="196">
        <f t="shared" si="20"/>
        <v>912.06000000000006</v>
      </c>
      <c r="G49" s="196">
        <f t="shared" si="21"/>
        <v>210</v>
      </c>
      <c r="H49" s="196">
        <f t="shared" si="22"/>
        <v>456.03000000000003</v>
      </c>
      <c r="I49" s="196">
        <f t="shared" si="23"/>
        <v>151.949196</v>
      </c>
      <c r="J49" s="196">
        <f t="shared" si="24"/>
        <v>203.38938000000002</v>
      </c>
      <c r="K49" s="197">
        <f t="shared" si="25"/>
        <v>39079.577215999998</v>
      </c>
      <c r="L49" s="818">
        <f>+'1 Estudiantes'!$D$12</f>
        <v>108.07212</v>
      </c>
      <c r="M49" s="50">
        <f t="shared" si="26"/>
        <v>393.07211999999998</v>
      </c>
    </row>
    <row r="50" spans="2:13" x14ac:dyDescent="0.3">
      <c r="B50" s="121">
        <f>+B31</f>
        <v>1</v>
      </c>
      <c r="C50" s="55">
        <f>+'5 Demanda'!D17</f>
        <v>0</v>
      </c>
      <c r="D50" s="51" t="str">
        <f t="shared" si="19"/>
        <v>Medio Tiempo</v>
      </c>
      <c r="E50" s="196">
        <f t="shared" si="19"/>
        <v>912.06000000000006</v>
      </c>
      <c r="F50" s="196">
        <f t="shared" si="20"/>
        <v>456.03000000000003</v>
      </c>
      <c r="G50" s="196">
        <f t="shared" si="21"/>
        <v>210</v>
      </c>
      <c r="H50" s="196">
        <f t="shared" si="22"/>
        <v>228.01500000000001</v>
      </c>
      <c r="I50" s="196">
        <f t="shared" si="23"/>
        <v>75.974598</v>
      </c>
      <c r="J50" s="196">
        <f t="shared" si="24"/>
        <v>101.69469000000001</v>
      </c>
      <c r="K50" s="197">
        <f t="shared" si="25"/>
        <v>0</v>
      </c>
      <c r="L50" s="818">
        <f>+'1 Estudiantes'!$D$12</f>
        <v>108.07212</v>
      </c>
      <c r="M50" s="50">
        <f t="shared" si="26"/>
        <v>393.07211999999998</v>
      </c>
    </row>
    <row r="51" spans="2:13" x14ac:dyDescent="0.3">
      <c r="B51" s="121">
        <f>+B32</f>
        <v>1</v>
      </c>
      <c r="C51" s="55">
        <f>+'5 Demanda'!D18</f>
        <v>0.71111111111111147</v>
      </c>
      <c r="D51" s="51" t="str">
        <f t="shared" si="19"/>
        <v>Tiempo Parcial</v>
      </c>
      <c r="E51" s="196">
        <f t="shared" si="19"/>
        <v>437.78880000000004</v>
      </c>
      <c r="F51" s="196">
        <f t="shared" si="20"/>
        <v>218.89440000000002</v>
      </c>
      <c r="G51" s="196">
        <f t="shared" si="21"/>
        <v>210</v>
      </c>
      <c r="H51" s="196">
        <f t="shared" si="22"/>
        <v>109.44720000000001</v>
      </c>
      <c r="I51" s="196">
        <f t="shared" si="23"/>
        <v>36.467807040000004</v>
      </c>
      <c r="J51" s="196">
        <f t="shared" si="24"/>
        <v>48.813451200000003</v>
      </c>
      <c r="K51" s="197">
        <f t="shared" si="25"/>
        <v>2614.5862751573354</v>
      </c>
      <c r="L51" s="818">
        <f>+'1 Estudiantes'!$D$12</f>
        <v>108.07212</v>
      </c>
      <c r="M51" s="50">
        <f t="shared" si="26"/>
        <v>393.07211999999998</v>
      </c>
    </row>
    <row r="52" spans="2:13" x14ac:dyDescent="0.3">
      <c r="B52" s="121">
        <f>+B33</f>
        <v>1</v>
      </c>
      <c r="C52" s="55">
        <f>+'1 Estudiantes'!D30</f>
        <v>1.1000000000000001</v>
      </c>
      <c r="D52" s="51" t="str">
        <f t="shared" si="19"/>
        <v>Ocasional Tipo 2 (Técnico Docente)</v>
      </c>
      <c r="E52" s="196">
        <f t="shared" si="19"/>
        <v>1368.0900000000001</v>
      </c>
      <c r="F52" s="196">
        <f t="shared" si="20"/>
        <v>684.04500000000007</v>
      </c>
      <c r="G52" s="196">
        <f t="shared" si="21"/>
        <v>210</v>
      </c>
      <c r="H52" s="196">
        <f t="shared" si="22"/>
        <v>342.02250000000004</v>
      </c>
      <c r="I52" s="196">
        <f t="shared" si="23"/>
        <v>113.96189700000001</v>
      </c>
      <c r="J52" s="196">
        <f t="shared" si="24"/>
        <v>152.54203500000003</v>
      </c>
      <c r="K52" s="197">
        <f t="shared" si="25"/>
        <v>12147.994201200001</v>
      </c>
      <c r="L52" s="818">
        <f>+'1 Estudiantes'!$D$12</f>
        <v>108.07212</v>
      </c>
      <c r="M52" s="50">
        <f t="shared" si="26"/>
        <v>393.07211999999998</v>
      </c>
    </row>
    <row r="53" spans="2:13" x14ac:dyDescent="0.3">
      <c r="B53" s="121">
        <f>+L53/M53</f>
        <v>0.27494221671076546</v>
      </c>
      <c r="C53" s="55">
        <f>+C15</f>
        <v>1</v>
      </c>
      <c r="D53" s="51" t="str">
        <f t="shared" si="19"/>
        <v>Bibliotecario</v>
      </c>
      <c r="E53" s="196">
        <f t="shared" si="19"/>
        <v>810.72</v>
      </c>
      <c r="F53" s="196">
        <f t="shared" si="20"/>
        <v>405.35999999999996</v>
      </c>
      <c r="G53" s="196">
        <f t="shared" si="21"/>
        <v>210</v>
      </c>
      <c r="H53" s="196">
        <f t="shared" si="22"/>
        <v>202.67999999999998</v>
      </c>
      <c r="I53" s="196">
        <f t="shared" si="23"/>
        <v>67.532976000000005</v>
      </c>
      <c r="J53" s="196">
        <f t="shared" si="24"/>
        <v>90.39528</v>
      </c>
      <c r="K53" s="197">
        <f t="shared" si="25"/>
        <v>1822.8475232640167</v>
      </c>
      <c r="L53" s="818">
        <f>+'1 Estudiantes'!$D$12</f>
        <v>108.07212</v>
      </c>
      <c r="M53" s="50">
        <f t="shared" si="26"/>
        <v>393.07211999999998</v>
      </c>
    </row>
    <row r="54" spans="2:13" x14ac:dyDescent="0.3">
      <c r="B54" s="121">
        <f>+L54/M54</f>
        <v>0.27494221671076546</v>
      </c>
      <c r="C54" s="55">
        <f>+C16</f>
        <v>2</v>
      </c>
      <c r="D54" s="51" t="str">
        <f t="shared" si="19"/>
        <v>Auxiliar de Servicio</v>
      </c>
      <c r="E54" s="196">
        <f t="shared" si="19"/>
        <v>456.03000000000003</v>
      </c>
      <c r="F54" s="196">
        <f t="shared" si="20"/>
        <v>228.01500000000001</v>
      </c>
      <c r="G54" s="196">
        <f t="shared" si="21"/>
        <v>210</v>
      </c>
      <c r="H54" s="196">
        <f t="shared" si="22"/>
        <v>114.00750000000001</v>
      </c>
      <c r="I54" s="196">
        <f t="shared" si="23"/>
        <v>37.987299</v>
      </c>
      <c r="J54" s="196">
        <f t="shared" si="24"/>
        <v>50.847345000000004</v>
      </c>
      <c r="K54" s="197">
        <f t="shared" si="25"/>
        <v>2101.2240959926221</v>
      </c>
      <c r="L54" s="818">
        <f>+'1 Estudiantes'!$D$12</f>
        <v>108.07212</v>
      </c>
      <c r="M54" s="50">
        <f t="shared" si="26"/>
        <v>393.07211999999998</v>
      </c>
    </row>
    <row r="55" spans="2:13" x14ac:dyDescent="0.3">
      <c r="B55" s="121">
        <f>+L55/M55</f>
        <v>0.27494221671076546</v>
      </c>
      <c r="C55" s="55">
        <f>+C17</f>
        <v>1</v>
      </c>
      <c r="D55" s="51" t="str">
        <f t="shared" si="19"/>
        <v>Guardia</v>
      </c>
      <c r="E55" s="196">
        <f t="shared" si="19"/>
        <v>658.71</v>
      </c>
      <c r="F55" s="196">
        <f t="shared" si="20"/>
        <v>329.35500000000002</v>
      </c>
      <c r="G55" s="196">
        <f t="shared" si="21"/>
        <v>210</v>
      </c>
      <c r="H55" s="196">
        <f t="shared" si="22"/>
        <v>164.67750000000001</v>
      </c>
      <c r="I55" s="196">
        <f t="shared" si="23"/>
        <v>54.870543000000005</v>
      </c>
      <c r="J55" s="196">
        <f t="shared" si="24"/>
        <v>73.446165000000008</v>
      </c>
      <c r="K55" s="197">
        <f t="shared" si="25"/>
        <v>1491.8894624349998</v>
      </c>
      <c r="L55" s="818">
        <f>+'1 Estudiantes'!$D$12</f>
        <v>108.07212</v>
      </c>
      <c r="M55" s="50">
        <f t="shared" si="26"/>
        <v>393.07211999999998</v>
      </c>
    </row>
    <row r="56" spans="2:13" ht="24.75" customHeight="1" thickBot="1" x14ac:dyDescent="0.35">
      <c r="B56" s="115"/>
      <c r="C56" s="116"/>
      <c r="D56" s="152" t="str">
        <f>+D37</f>
        <v>TOTAL</v>
      </c>
      <c r="E56" s="198">
        <f>SUM(E41:E55)</f>
        <v>22084.012799999997</v>
      </c>
      <c r="F56" s="198">
        <f>SUM(F41:F55)</f>
        <v>11042.006399999998</v>
      </c>
      <c r="G56" s="198">
        <f>SUM(G41:G55)</f>
        <v>3150</v>
      </c>
      <c r="H56" s="198">
        <f>SUM(H41:H55)</f>
        <v>5521.0031999999992</v>
      </c>
      <c r="I56" s="198">
        <f>SUM(I41:I55)</f>
        <v>1839.5982662399999</v>
      </c>
      <c r="J56" s="198"/>
      <c r="K56" s="199">
        <f>SUM(K41:K55)</f>
        <v>124629.57854703831</v>
      </c>
      <c r="M56" s="117"/>
    </row>
    <row r="57" spans="2:13" ht="10.8" thickBot="1" x14ac:dyDescent="0.35">
      <c r="C57" s="50"/>
      <c r="E57" s="201"/>
      <c r="F57" s="201"/>
      <c r="G57" s="201"/>
      <c r="H57" s="201"/>
      <c r="I57" s="201"/>
      <c r="J57" s="201"/>
      <c r="K57" s="201"/>
      <c r="M57" s="117"/>
    </row>
    <row r="58" spans="2:13" ht="28.5" customHeight="1" thickBot="1" x14ac:dyDescent="0.35">
      <c r="B58" s="1009">
        <f>+'1 Estudiantes'!E3</f>
        <v>2024</v>
      </c>
      <c r="C58" s="1010"/>
      <c r="D58" s="1011"/>
      <c r="E58" s="210" t="s">
        <v>159</v>
      </c>
      <c r="F58" s="383">
        <f>+Inflación!C12/100+1</f>
        <v>1.0143</v>
      </c>
      <c r="G58" s="165"/>
      <c r="H58" s="165"/>
      <c r="I58" s="165"/>
      <c r="J58" s="165"/>
      <c r="K58" s="165"/>
    </row>
    <row r="59" spans="2:13" ht="31.5" customHeight="1" x14ac:dyDescent="0.3">
      <c r="B59" s="194"/>
      <c r="C59" s="211" t="s">
        <v>201</v>
      </c>
      <c r="D59" s="158" t="s">
        <v>202</v>
      </c>
      <c r="E59" s="190" t="s">
        <v>203</v>
      </c>
      <c r="F59" s="190" t="s">
        <v>204</v>
      </c>
      <c r="G59" s="190" t="s">
        <v>205</v>
      </c>
      <c r="H59" s="190" t="s">
        <v>206</v>
      </c>
      <c r="I59" s="190" t="s">
        <v>207</v>
      </c>
      <c r="J59" s="190" t="s">
        <v>208</v>
      </c>
      <c r="K59" s="191" t="s">
        <v>115</v>
      </c>
    </row>
    <row r="60" spans="2:13" x14ac:dyDescent="0.3">
      <c r="B60" s="121">
        <f>+L60/M60</f>
        <v>0.35527474938322856</v>
      </c>
      <c r="C60" s="55">
        <f t="shared" ref="C60:D66" si="27">+C3</f>
        <v>1</v>
      </c>
      <c r="D60" s="51" t="str">
        <f t="shared" si="27"/>
        <v>Decano</v>
      </c>
      <c r="E60" s="196">
        <f t="shared" ref="E60:E74" si="28">+E41*$F$58</f>
        <v>3988.2194856000001</v>
      </c>
      <c r="F60" s="196">
        <f t="shared" ref="F60:F74" si="29">+E60*12/12/2</f>
        <v>1994.1097428</v>
      </c>
      <c r="G60" s="196">
        <f>+G41*1.05</f>
        <v>220.5</v>
      </c>
      <c r="H60" s="196">
        <f>+E60*12/24/2</f>
        <v>997.05487140000002</v>
      </c>
      <c r="I60" s="196">
        <f>+E60*8.33%</f>
        <v>332.21868315047999</v>
      </c>
      <c r="J60" s="196">
        <f>+E60*11.15%</f>
        <v>444.6864726444</v>
      </c>
      <c r="K60" s="197">
        <f>+((((E60+I60+J60)*6)+F60+G60+H60)*C60)*B60</f>
        <v>11298.594117421366</v>
      </c>
      <c r="L60" s="818">
        <f>+'1 Estudiantes'!$E$12</f>
        <v>157.04876376000001</v>
      </c>
      <c r="M60" s="50">
        <f>+$L$1+L60</f>
        <v>442.04876376000004</v>
      </c>
    </row>
    <row r="61" spans="2:13" x14ac:dyDescent="0.3">
      <c r="B61" s="121">
        <f>+L61/M61</f>
        <v>0.35527474938322856</v>
      </c>
      <c r="C61" s="55">
        <f t="shared" si="27"/>
        <v>1</v>
      </c>
      <c r="D61" s="51" t="str">
        <f t="shared" si="27"/>
        <v>Subdecano</v>
      </c>
      <c r="E61" s="196">
        <f t="shared" si="28"/>
        <v>2960.3278656000002</v>
      </c>
      <c r="F61" s="196">
        <f t="shared" si="29"/>
        <v>1480.1639328000001</v>
      </c>
      <c r="G61" s="196">
        <f t="shared" ref="G61:G74" si="30">+G42*1.05</f>
        <v>220.5</v>
      </c>
      <c r="H61" s="196">
        <f t="shared" ref="H61:H74" si="31">+E61*12/24/2</f>
        <v>740.08196640000006</v>
      </c>
      <c r="I61" s="196">
        <f t="shared" ref="I61:I74" si="32">+E61*8.33%</f>
        <v>246.59531120448003</v>
      </c>
      <c r="J61" s="196">
        <f t="shared" ref="J61:J74" si="33">+E61*11.15%</f>
        <v>330.07655701440001</v>
      </c>
      <c r="K61" s="197">
        <f t="shared" ref="K61:K74" si="34">+((((E61+I61+J61)*6)+F61+G61+H61)*C61)*B61</f>
        <v>8406.7755516527141</v>
      </c>
      <c r="L61" s="818">
        <f>+'1 Estudiantes'!$E$12</f>
        <v>157.04876376000001</v>
      </c>
      <c r="M61" s="50">
        <f t="shared" ref="M61:M74" si="35">+$L$1+L61</f>
        <v>442.04876376000004</v>
      </c>
    </row>
    <row r="62" spans="2:13" x14ac:dyDescent="0.3">
      <c r="B62" s="121">
        <f>+B43</f>
        <v>1</v>
      </c>
      <c r="C62" s="55">
        <f t="shared" si="27"/>
        <v>1</v>
      </c>
      <c r="D62" s="51" t="str">
        <f t="shared" si="27"/>
        <v>Director de Carrera</v>
      </c>
      <c r="E62" s="196">
        <f t="shared" si="28"/>
        <v>2261.3615639999998</v>
      </c>
      <c r="F62" s="196">
        <f t="shared" si="29"/>
        <v>1130.6807819999999</v>
      </c>
      <c r="G62" s="196">
        <f t="shared" si="30"/>
        <v>220.5</v>
      </c>
      <c r="H62" s="196">
        <f t="shared" si="31"/>
        <v>565.34039099999995</v>
      </c>
      <c r="I62" s="196">
        <f t="shared" si="32"/>
        <v>188.37141828119999</v>
      </c>
      <c r="J62" s="196">
        <f t="shared" si="33"/>
        <v>252.14181438599999</v>
      </c>
      <c r="K62" s="197">
        <f t="shared" si="34"/>
        <v>18127.7699530032</v>
      </c>
      <c r="L62" s="818">
        <f>+'1 Estudiantes'!$E$12</f>
        <v>157.04876376000001</v>
      </c>
      <c r="M62" s="50">
        <f t="shared" si="35"/>
        <v>442.04876376000004</v>
      </c>
    </row>
    <row r="63" spans="2:13" x14ac:dyDescent="0.3">
      <c r="B63" s="121">
        <f>+L63/M63</f>
        <v>0.35527474938322856</v>
      </c>
      <c r="C63" s="55">
        <f t="shared" si="27"/>
        <v>1</v>
      </c>
      <c r="D63" s="51" t="str">
        <f t="shared" si="27"/>
        <v>Secretario</v>
      </c>
      <c r="E63" s="196">
        <f t="shared" si="28"/>
        <v>1027.8916200000001</v>
      </c>
      <c r="F63" s="196">
        <f t="shared" si="29"/>
        <v>513.94581000000005</v>
      </c>
      <c r="G63" s="196">
        <f t="shared" si="30"/>
        <v>220.5</v>
      </c>
      <c r="H63" s="196">
        <f t="shared" si="31"/>
        <v>256.97290500000003</v>
      </c>
      <c r="I63" s="196">
        <f t="shared" si="32"/>
        <v>85.623371946000006</v>
      </c>
      <c r="J63" s="196">
        <f t="shared" si="33"/>
        <v>114.60991563000002</v>
      </c>
      <c r="K63" s="197">
        <f t="shared" si="34"/>
        <v>2970.1566480076522</v>
      </c>
      <c r="L63" s="818">
        <f>+'1 Estudiantes'!$E$12</f>
        <v>157.04876376000001</v>
      </c>
      <c r="M63" s="50">
        <f t="shared" si="35"/>
        <v>442.04876376000004</v>
      </c>
    </row>
    <row r="64" spans="2:13" x14ac:dyDescent="0.3">
      <c r="B64" s="121">
        <f>+L64/M64</f>
        <v>0.35527474938322856</v>
      </c>
      <c r="C64" s="55">
        <f t="shared" si="27"/>
        <v>1</v>
      </c>
      <c r="D64" s="51" t="str">
        <f t="shared" si="27"/>
        <v>Auxiliar de Secretaria</v>
      </c>
      <c r="E64" s="196">
        <f t="shared" si="28"/>
        <v>873.70787700000005</v>
      </c>
      <c r="F64" s="196">
        <f t="shared" si="29"/>
        <v>436.85393850000008</v>
      </c>
      <c r="G64" s="196">
        <f t="shared" si="30"/>
        <v>220.5</v>
      </c>
      <c r="H64" s="196">
        <f t="shared" si="31"/>
        <v>218.42696925000004</v>
      </c>
      <c r="I64" s="196">
        <f t="shared" si="32"/>
        <v>72.779866154100006</v>
      </c>
      <c r="J64" s="196">
        <f t="shared" si="33"/>
        <v>97.418428285500013</v>
      </c>
      <c r="K64" s="197">
        <f t="shared" si="34"/>
        <v>2536.383863142355</v>
      </c>
      <c r="L64" s="818">
        <f>+'1 Estudiantes'!$E$12</f>
        <v>157.04876376000001</v>
      </c>
      <c r="M64" s="50">
        <f t="shared" si="35"/>
        <v>442.04876376000004</v>
      </c>
    </row>
    <row r="65" spans="2:13" x14ac:dyDescent="0.3">
      <c r="B65" s="121">
        <f>+L65/M65</f>
        <v>0.35527474938322856</v>
      </c>
      <c r="C65" s="55">
        <f t="shared" si="27"/>
        <v>1</v>
      </c>
      <c r="D65" s="51" t="str">
        <f t="shared" si="27"/>
        <v xml:space="preserve">Coordinador  </v>
      </c>
      <c r="E65" s="196">
        <f t="shared" si="28"/>
        <v>925.10245800000007</v>
      </c>
      <c r="F65" s="196">
        <f t="shared" si="29"/>
        <v>462.55122899999998</v>
      </c>
      <c r="G65" s="196">
        <f t="shared" si="30"/>
        <v>220.5</v>
      </c>
      <c r="H65" s="196">
        <f t="shared" si="31"/>
        <v>231.27561449999999</v>
      </c>
      <c r="I65" s="196">
        <f t="shared" si="32"/>
        <v>77.061034751400001</v>
      </c>
      <c r="J65" s="196">
        <f t="shared" si="33"/>
        <v>103.14892406700001</v>
      </c>
      <c r="K65" s="197">
        <f t="shared" si="34"/>
        <v>2680.9747914307873</v>
      </c>
      <c r="L65" s="818">
        <f>+'1 Estudiantes'!$E$12</f>
        <v>157.04876376000001</v>
      </c>
      <c r="M65" s="50">
        <f t="shared" si="35"/>
        <v>442.04876376000004</v>
      </c>
    </row>
    <row r="66" spans="2:13" x14ac:dyDescent="0.3">
      <c r="B66" s="121">
        <f>+L66/M66</f>
        <v>0.35527474938322856</v>
      </c>
      <c r="C66" s="55">
        <f t="shared" si="27"/>
        <v>1</v>
      </c>
      <c r="D66" s="51" t="str">
        <f t="shared" si="27"/>
        <v>Bienestar Estudiantil</v>
      </c>
      <c r="E66" s="196">
        <f t="shared" si="28"/>
        <v>925.10245800000007</v>
      </c>
      <c r="F66" s="196">
        <f t="shared" si="29"/>
        <v>462.55122899999998</v>
      </c>
      <c r="G66" s="196">
        <f t="shared" si="30"/>
        <v>220.5</v>
      </c>
      <c r="H66" s="196">
        <f t="shared" si="31"/>
        <v>231.27561449999999</v>
      </c>
      <c r="I66" s="196">
        <f t="shared" si="32"/>
        <v>77.061034751400001</v>
      </c>
      <c r="J66" s="196">
        <f t="shared" si="33"/>
        <v>103.14892406700001</v>
      </c>
      <c r="K66" s="197">
        <f t="shared" si="34"/>
        <v>2680.9747914307873</v>
      </c>
      <c r="L66" s="818">
        <f>+'1 Estudiantes'!$E$12</f>
        <v>157.04876376000001</v>
      </c>
      <c r="M66" s="50">
        <f t="shared" si="35"/>
        <v>442.04876376000004</v>
      </c>
    </row>
    <row r="67" spans="2:13" x14ac:dyDescent="0.3">
      <c r="B67" s="121">
        <f>+B48</f>
        <v>1</v>
      </c>
      <c r="C67" s="55">
        <f>+'5 Demanda'!E15</f>
        <v>1.6266666666666667</v>
      </c>
      <c r="D67" s="51" t="str">
        <f t="shared" ref="D67:D74" si="36">+D10</f>
        <v>Tiempo Completo PhD</v>
      </c>
      <c r="E67" s="196">
        <f t="shared" si="28"/>
        <v>2878.0965360000005</v>
      </c>
      <c r="F67" s="196">
        <f t="shared" si="29"/>
        <v>1439.0482680000002</v>
      </c>
      <c r="G67" s="196">
        <f t="shared" si="30"/>
        <v>220.5</v>
      </c>
      <c r="H67" s="196">
        <f t="shared" si="31"/>
        <v>719.52413400000012</v>
      </c>
      <c r="I67" s="196">
        <f t="shared" si="32"/>
        <v>239.74544144880002</v>
      </c>
      <c r="J67" s="196">
        <f t="shared" si="33"/>
        <v>320.90776376400004</v>
      </c>
      <c r="K67" s="197">
        <f t="shared" si="34"/>
        <v>37432.155248156931</v>
      </c>
      <c r="L67" s="818">
        <f>+'1 Estudiantes'!$E$12</f>
        <v>157.04876376000001</v>
      </c>
      <c r="M67" s="50">
        <f t="shared" si="35"/>
        <v>442.04876376000004</v>
      </c>
    </row>
    <row r="68" spans="2:13" x14ac:dyDescent="0.3">
      <c r="B68" s="121">
        <f>+B49</f>
        <v>1</v>
      </c>
      <c r="C68" s="55">
        <f>+'5 Demanda'!E16</f>
        <v>4.0666666666666664</v>
      </c>
      <c r="D68" s="51" t="str">
        <f t="shared" si="36"/>
        <v>Tiempo Completo Mgs.</v>
      </c>
      <c r="E68" s="196">
        <f t="shared" si="28"/>
        <v>1850.2049160000001</v>
      </c>
      <c r="F68" s="196">
        <f t="shared" si="29"/>
        <v>925.10245799999996</v>
      </c>
      <c r="G68" s="196">
        <f t="shared" si="30"/>
        <v>220.5</v>
      </c>
      <c r="H68" s="196">
        <f t="shared" si="31"/>
        <v>462.55122899999998</v>
      </c>
      <c r="I68" s="196">
        <f t="shared" si="32"/>
        <v>154.1220695028</v>
      </c>
      <c r="J68" s="196">
        <f t="shared" si="33"/>
        <v>206.29784813400002</v>
      </c>
      <c r="K68" s="197">
        <f t="shared" si="34"/>
        <v>60479.070934537922</v>
      </c>
      <c r="L68" s="818">
        <f>+'1 Estudiantes'!$E$12</f>
        <v>157.04876376000001</v>
      </c>
      <c r="M68" s="50">
        <f t="shared" si="35"/>
        <v>442.04876376000004</v>
      </c>
    </row>
    <row r="69" spans="2:13" x14ac:dyDescent="0.3">
      <c r="B69" s="121">
        <f>+B50</f>
        <v>1</v>
      </c>
      <c r="C69" s="55">
        <f>+'5 Demanda'!E17</f>
        <v>0</v>
      </c>
      <c r="D69" s="51" t="str">
        <f t="shared" si="36"/>
        <v>Medio Tiempo</v>
      </c>
      <c r="E69" s="196">
        <f t="shared" si="28"/>
        <v>925.10245800000007</v>
      </c>
      <c r="F69" s="196">
        <f t="shared" si="29"/>
        <v>462.55122899999998</v>
      </c>
      <c r="G69" s="196">
        <f t="shared" si="30"/>
        <v>220.5</v>
      </c>
      <c r="H69" s="196">
        <f t="shared" si="31"/>
        <v>231.27561449999999</v>
      </c>
      <c r="I69" s="196">
        <f t="shared" si="32"/>
        <v>77.061034751400001</v>
      </c>
      <c r="J69" s="196">
        <f t="shared" si="33"/>
        <v>103.14892406700001</v>
      </c>
      <c r="K69" s="197">
        <f t="shared" si="34"/>
        <v>0</v>
      </c>
      <c r="L69" s="818">
        <f>+'1 Estudiantes'!$E$12</f>
        <v>157.04876376000001</v>
      </c>
      <c r="M69" s="50">
        <f t="shared" si="35"/>
        <v>442.04876376000004</v>
      </c>
    </row>
    <row r="70" spans="2:13" x14ac:dyDescent="0.3">
      <c r="B70" s="121">
        <f>+B51</f>
        <v>1</v>
      </c>
      <c r="C70" s="55">
        <f>+'5 Demanda'!E18</f>
        <v>1.0844444444444445</v>
      </c>
      <c r="D70" s="51" t="str">
        <f t="shared" si="36"/>
        <v>Tiempo Parcial</v>
      </c>
      <c r="E70" s="196">
        <f t="shared" si="28"/>
        <v>444.04917984000002</v>
      </c>
      <c r="F70" s="196">
        <f t="shared" si="29"/>
        <v>222.02458992000001</v>
      </c>
      <c r="G70" s="196">
        <f t="shared" si="30"/>
        <v>220.5</v>
      </c>
      <c r="H70" s="196">
        <f t="shared" si="31"/>
        <v>111.01229496000001</v>
      </c>
      <c r="I70" s="196">
        <f t="shared" si="32"/>
        <v>36.989296680671998</v>
      </c>
      <c r="J70" s="196">
        <f t="shared" si="33"/>
        <v>49.511483552160001</v>
      </c>
      <c r="K70" s="197">
        <f t="shared" si="34"/>
        <v>4052.3917398104272</v>
      </c>
      <c r="L70" s="818">
        <f>+'1 Estudiantes'!$E$12</f>
        <v>157.04876376000001</v>
      </c>
      <c r="M70" s="50">
        <f t="shared" si="35"/>
        <v>442.04876376000004</v>
      </c>
    </row>
    <row r="71" spans="2:13" x14ac:dyDescent="0.3">
      <c r="B71" s="121">
        <f>+B52</f>
        <v>1</v>
      </c>
      <c r="C71" s="55">
        <f>+'1 Estudiantes'!E30</f>
        <v>1.75</v>
      </c>
      <c r="D71" s="51" t="str">
        <f t="shared" si="36"/>
        <v>Ocasional Tipo 2 (Técnico Docente)</v>
      </c>
      <c r="E71" s="196">
        <f t="shared" si="28"/>
        <v>1387.6536870000002</v>
      </c>
      <c r="F71" s="196">
        <f t="shared" si="29"/>
        <v>693.82684350000011</v>
      </c>
      <c r="G71" s="196">
        <f t="shared" si="30"/>
        <v>220.5</v>
      </c>
      <c r="H71" s="196">
        <f t="shared" si="31"/>
        <v>346.91342175000005</v>
      </c>
      <c r="I71" s="196">
        <f t="shared" si="32"/>
        <v>115.59155212710002</v>
      </c>
      <c r="J71" s="196">
        <f t="shared" si="33"/>
        <v>154.72338610050002</v>
      </c>
      <c r="K71" s="197">
        <f t="shared" si="34"/>
        <v>19615.841029077299</v>
      </c>
      <c r="L71" s="818">
        <f>+'1 Estudiantes'!$E$12</f>
        <v>157.04876376000001</v>
      </c>
      <c r="M71" s="50">
        <f t="shared" si="35"/>
        <v>442.04876376000004</v>
      </c>
    </row>
    <row r="72" spans="2:13" x14ac:dyDescent="0.3">
      <c r="B72" s="121">
        <f>+L72/M72</f>
        <v>0.35527474938322856</v>
      </c>
      <c r="C72" s="55">
        <f>+C15</f>
        <v>1</v>
      </c>
      <c r="D72" s="51" t="str">
        <f t="shared" si="36"/>
        <v>Bibliotecario</v>
      </c>
      <c r="E72" s="196">
        <f t="shared" si="28"/>
        <v>822.31329600000004</v>
      </c>
      <c r="F72" s="196">
        <f t="shared" si="29"/>
        <v>411.15664799999996</v>
      </c>
      <c r="G72" s="196">
        <f t="shared" si="30"/>
        <v>220.5</v>
      </c>
      <c r="H72" s="196">
        <f t="shared" si="31"/>
        <v>205.57832399999998</v>
      </c>
      <c r="I72" s="196">
        <f t="shared" si="32"/>
        <v>68.498697556799996</v>
      </c>
      <c r="J72" s="196">
        <f t="shared" si="33"/>
        <v>91.687932504000003</v>
      </c>
      <c r="K72" s="197">
        <f t="shared" si="34"/>
        <v>2391.7929348539228</v>
      </c>
      <c r="L72" s="818">
        <f>+'1 Estudiantes'!$E$12</f>
        <v>157.04876376000001</v>
      </c>
      <c r="M72" s="50">
        <f t="shared" si="35"/>
        <v>442.04876376000004</v>
      </c>
    </row>
    <row r="73" spans="2:13" x14ac:dyDescent="0.3">
      <c r="B73" s="121">
        <f>+L73/M73</f>
        <v>0.35527474938322856</v>
      </c>
      <c r="C73" s="55">
        <f>+C16</f>
        <v>2</v>
      </c>
      <c r="D73" s="51" t="str">
        <f t="shared" si="36"/>
        <v>Auxiliar de Servicio</v>
      </c>
      <c r="E73" s="196">
        <f t="shared" si="28"/>
        <v>462.55122900000003</v>
      </c>
      <c r="F73" s="196">
        <f t="shared" si="29"/>
        <v>231.27561449999999</v>
      </c>
      <c r="G73" s="196">
        <f t="shared" si="30"/>
        <v>220.5</v>
      </c>
      <c r="H73" s="196">
        <f t="shared" si="31"/>
        <v>115.63780724999999</v>
      </c>
      <c r="I73" s="196">
        <f t="shared" si="32"/>
        <v>38.530517375700001</v>
      </c>
      <c r="J73" s="196">
        <f t="shared" si="33"/>
        <v>51.574462033500005</v>
      </c>
      <c r="K73" s="197">
        <f t="shared" si="34"/>
        <v>2759.3128736697895</v>
      </c>
      <c r="L73" s="818">
        <f>+'1 Estudiantes'!$E$12</f>
        <v>157.04876376000001</v>
      </c>
      <c r="M73" s="50">
        <f t="shared" si="35"/>
        <v>442.04876376000004</v>
      </c>
    </row>
    <row r="74" spans="2:13" x14ac:dyDescent="0.3">
      <c r="B74" s="930">
        <f>+L74/M74</f>
        <v>0.35527474938322856</v>
      </c>
      <c r="C74" s="55">
        <f>+C17</f>
        <v>1</v>
      </c>
      <c r="D74" s="51" t="str">
        <f t="shared" si="36"/>
        <v>Guardia</v>
      </c>
      <c r="E74" s="196">
        <f t="shared" si="28"/>
        <v>668.12955299999999</v>
      </c>
      <c r="F74" s="196">
        <f t="shared" si="29"/>
        <v>334.06477649999999</v>
      </c>
      <c r="G74" s="196">
        <f t="shared" si="30"/>
        <v>220.5</v>
      </c>
      <c r="H74" s="196">
        <f t="shared" si="31"/>
        <v>167.03238825</v>
      </c>
      <c r="I74" s="196">
        <f t="shared" si="32"/>
        <v>55.655191764899996</v>
      </c>
      <c r="J74" s="196">
        <f t="shared" si="33"/>
        <v>74.496445159499999</v>
      </c>
      <c r="K74" s="197">
        <f t="shared" si="34"/>
        <v>1958.0201499886248</v>
      </c>
      <c r="L74" s="818">
        <f>+'1 Estudiantes'!$E$12</f>
        <v>157.04876376000001</v>
      </c>
      <c r="M74" s="50">
        <f t="shared" si="35"/>
        <v>442.04876376000004</v>
      </c>
    </row>
    <row r="75" spans="2:13" ht="26.25" customHeight="1" thickBot="1" x14ac:dyDescent="0.35">
      <c r="B75" s="136"/>
      <c r="C75" s="57"/>
      <c r="D75" s="152" t="str">
        <f>+D56</f>
        <v>TOTAL</v>
      </c>
      <c r="E75" s="198">
        <f>SUM(E60:E74)</f>
        <v>22399.814183040005</v>
      </c>
      <c r="F75" s="198">
        <f>SUM(F60:F74)</f>
        <v>11199.907091520003</v>
      </c>
      <c r="G75" s="198">
        <f>SUM(G60:G74)</f>
        <v>3307.5</v>
      </c>
      <c r="H75" s="198">
        <f>SUM(H60:H74)</f>
        <v>5599.9535457600014</v>
      </c>
      <c r="I75" s="198">
        <f>SUM(I60:I74)</f>
        <v>1865.9045214472317</v>
      </c>
      <c r="J75" s="198"/>
      <c r="K75" s="199">
        <f>SUM(K60:K74)</f>
        <v>177390.21462618379</v>
      </c>
      <c r="M75" s="117"/>
    </row>
    <row r="76" spans="2:13" ht="10.8" thickBot="1" x14ac:dyDescent="0.35">
      <c r="C76" s="50"/>
      <c r="E76" s="201"/>
      <c r="F76" s="201"/>
      <c r="G76" s="201"/>
      <c r="H76" s="201"/>
      <c r="I76" s="201"/>
      <c r="J76" s="201"/>
      <c r="K76" s="201"/>
      <c r="M76" s="117"/>
    </row>
    <row r="77" spans="2:13" ht="28.5" customHeight="1" thickBot="1" x14ac:dyDescent="0.35">
      <c r="B77" s="1009">
        <f>+'1 Estudiantes'!F3</f>
        <v>2025</v>
      </c>
      <c r="C77" s="1010"/>
      <c r="D77" s="1011"/>
      <c r="E77" s="210" t="s">
        <v>159</v>
      </c>
      <c r="F77" s="383">
        <f>+Inflación!C13/100+1</f>
        <v>1.0330999999999999</v>
      </c>
      <c r="G77" s="165"/>
      <c r="H77" s="165"/>
      <c r="I77" s="165"/>
      <c r="J77" s="165"/>
      <c r="K77" s="165"/>
      <c r="M77" s="117"/>
    </row>
    <row r="78" spans="2:13" ht="33" customHeight="1" x14ac:dyDescent="0.3">
      <c r="B78" s="194"/>
      <c r="C78" s="211" t="s">
        <v>201</v>
      </c>
      <c r="D78" s="158" t="s">
        <v>202</v>
      </c>
      <c r="E78" s="190" t="s">
        <v>203</v>
      </c>
      <c r="F78" s="190" t="s">
        <v>204</v>
      </c>
      <c r="G78" s="190" t="s">
        <v>205</v>
      </c>
      <c r="H78" s="190" t="s">
        <v>206</v>
      </c>
      <c r="I78" s="190" t="s">
        <v>207</v>
      </c>
      <c r="J78" s="190" t="s">
        <v>208</v>
      </c>
      <c r="K78" s="191" t="s">
        <v>115</v>
      </c>
      <c r="M78" s="117"/>
    </row>
    <row r="79" spans="2:13" x14ac:dyDescent="0.3">
      <c r="B79" s="930">
        <f>+L79/M79</f>
        <v>0.3750408277281751</v>
      </c>
      <c r="C79" s="55">
        <f t="shared" ref="C79:C85" si="37">+C3</f>
        <v>1</v>
      </c>
      <c r="D79" s="51" t="str">
        <f t="shared" ref="D79:D93" si="38">+D22</f>
        <v>Decano</v>
      </c>
      <c r="E79" s="196">
        <f t="shared" ref="E79:E93" si="39">+E60</f>
        <v>3988.2194856000001</v>
      </c>
      <c r="F79" s="196">
        <f t="shared" ref="F79:F93" si="40">+E79*12/12/2</f>
        <v>1994.1097428</v>
      </c>
      <c r="G79" s="196">
        <f>+G60</f>
        <v>220.5</v>
      </c>
      <c r="H79" s="196">
        <f>+E79*12/24/2</f>
        <v>997.05487140000002</v>
      </c>
      <c r="I79" s="196">
        <f>+E79*8.33%</f>
        <v>332.21868315047999</v>
      </c>
      <c r="J79" s="196">
        <f>+E79*11.15%</f>
        <v>444.6864726444</v>
      </c>
      <c r="K79" s="197">
        <f>+((((E79+I79+J79)*6)+F79+G79+H79)*C79)*B79</f>
        <v>11927.203093714816</v>
      </c>
      <c r="L79" s="818">
        <f>+'1 Estudiantes'!$F$12</f>
        <v>171.02978985648002</v>
      </c>
      <c r="M79" s="50">
        <f>+$L$1+L79</f>
        <v>456.02978985648002</v>
      </c>
    </row>
    <row r="80" spans="2:13" x14ac:dyDescent="0.3">
      <c r="B80" s="121">
        <f>+L80/M80</f>
        <v>0.3750408277281751</v>
      </c>
      <c r="C80" s="55">
        <f t="shared" si="37"/>
        <v>1</v>
      </c>
      <c r="D80" s="51" t="str">
        <f t="shared" si="38"/>
        <v>Subdecano</v>
      </c>
      <c r="E80" s="196">
        <f t="shared" si="39"/>
        <v>2960.3278656000002</v>
      </c>
      <c r="F80" s="196">
        <f t="shared" si="40"/>
        <v>1480.1639328000001</v>
      </c>
      <c r="G80" s="196">
        <f t="shared" ref="G80:G93" si="41">+G61</f>
        <v>220.5</v>
      </c>
      <c r="H80" s="196">
        <f t="shared" ref="H80:H93" si="42">+E80*12/24/2</f>
        <v>740.08196640000006</v>
      </c>
      <c r="I80" s="196">
        <f t="shared" ref="I80:I93" si="43">+E80*8.33%</f>
        <v>246.59531120448003</v>
      </c>
      <c r="J80" s="196">
        <f t="shared" ref="J80:J93" si="44">+E80*11.15%</f>
        <v>330.07655701440001</v>
      </c>
      <c r="K80" s="197">
        <f t="shared" ref="K80:K93" si="45">+((((E80+I80+J80)*6)+F80+G80+H80)*C80)*B80</f>
        <v>8874.4952093847223</v>
      </c>
      <c r="L80" s="818">
        <f>+'1 Estudiantes'!$F$12</f>
        <v>171.02978985648002</v>
      </c>
      <c r="M80" s="50">
        <f t="shared" ref="M80:M93" si="46">+$L$1+L80</f>
        <v>456.02978985648002</v>
      </c>
    </row>
    <row r="81" spans="2:13" x14ac:dyDescent="0.3">
      <c r="B81" s="121">
        <f>+B62</f>
        <v>1</v>
      </c>
      <c r="C81" s="55">
        <f t="shared" si="37"/>
        <v>1</v>
      </c>
      <c r="D81" s="51" t="str">
        <f t="shared" si="38"/>
        <v>Director de Carrera</v>
      </c>
      <c r="E81" s="196">
        <f t="shared" si="39"/>
        <v>2261.3615639999998</v>
      </c>
      <c r="F81" s="196">
        <f t="shared" si="40"/>
        <v>1130.6807819999999</v>
      </c>
      <c r="G81" s="196">
        <f t="shared" si="41"/>
        <v>220.5</v>
      </c>
      <c r="H81" s="196">
        <f t="shared" si="42"/>
        <v>565.34039099999995</v>
      </c>
      <c r="I81" s="196">
        <f t="shared" si="43"/>
        <v>188.37141828119999</v>
      </c>
      <c r="J81" s="196">
        <f t="shared" si="44"/>
        <v>252.14181438599999</v>
      </c>
      <c r="K81" s="197">
        <f t="shared" si="45"/>
        <v>18127.7699530032</v>
      </c>
      <c r="L81" s="818">
        <f>+'1 Estudiantes'!$F$12</f>
        <v>171.02978985648002</v>
      </c>
      <c r="M81" s="50">
        <f t="shared" si="46"/>
        <v>456.02978985648002</v>
      </c>
    </row>
    <row r="82" spans="2:13" x14ac:dyDescent="0.3">
      <c r="B82" s="121">
        <f>+L82/M82</f>
        <v>0.3750408277281751</v>
      </c>
      <c r="C82" s="55">
        <f t="shared" si="37"/>
        <v>1</v>
      </c>
      <c r="D82" s="51" t="str">
        <f t="shared" si="38"/>
        <v>Secretario</v>
      </c>
      <c r="E82" s="196">
        <f t="shared" si="39"/>
        <v>1027.8916200000001</v>
      </c>
      <c r="F82" s="196">
        <f t="shared" si="40"/>
        <v>513.94581000000005</v>
      </c>
      <c r="G82" s="196">
        <f t="shared" si="41"/>
        <v>220.5</v>
      </c>
      <c r="H82" s="196">
        <f t="shared" si="42"/>
        <v>256.97290500000003</v>
      </c>
      <c r="I82" s="196">
        <f t="shared" si="43"/>
        <v>85.623371946000006</v>
      </c>
      <c r="J82" s="196">
        <f t="shared" si="44"/>
        <v>114.60991563000002</v>
      </c>
      <c r="K82" s="197">
        <f t="shared" si="45"/>
        <v>3135.4043868441531</v>
      </c>
      <c r="L82" s="818">
        <f>+'1 Estudiantes'!$F$12</f>
        <v>171.02978985648002</v>
      </c>
      <c r="M82" s="50">
        <f t="shared" si="46"/>
        <v>456.02978985648002</v>
      </c>
    </row>
    <row r="83" spans="2:13" x14ac:dyDescent="0.3">
      <c r="B83" s="121">
        <f>+L83/M83</f>
        <v>0.3750408277281751</v>
      </c>
      <c r="C83" s="55">
        <f t="shared" si="37"/>
        <v>1</v>
      </c>
      <c r="D83" s="51" t="str">
        <f t="shared" si="38"/>
        <v>Auxiliar de Secretaria</v>
      </c>
      <c r="E83" s="196">
        <f t="shared" si="39"/>
        <v>873.70787700000005</v>
      </c>
      <c r="F83" s="196">
        <f t="shared" si="40"/>
        <v>436.85393850000008</v>
      </c>
      <c r="G83" s="196">
        <f t="shared" si="41"/>
        <v>220.5</v>
      </c>
      <c r="H83" s="196">
        <f t="shared" si="42"/>
        <v>218.42696925000004</v>
      </c>
      <c r="I83" s="196">
        <f t="shared" si="43"/>
        <v>72.779866154100006</v>
      </c>
      <c r="J83" s="196">
        <f t="shared" si="44"/>
        <v>97.418428285500013</v>
      </c>
      <c r="K83" s="197">
        <f t="shared" si="45"/>
        <v>2677.4982041946396</v>
      </c>
      <c r="L83" s="818">
        <f>+'1 Estudiantes'!$F$12</f>
        <v>171.02978985648002</v>
      </c>
      <c r="M83" s="50">
        <f t="shared" si="46"/>
        <v>456.02978985648002</v>
      </c>
    </row>
    <row r="84" spans="2:13" x14ac:dyDescent="0.3">
      <c r="B84" s="121">
        <f>+L84/M84</f>
        <v>0.3750408277281751</v>
      </c>
      <c r="C84" s="55">
        <f t="shared" si="37"/>
        <v>1</v>
      </c>
      <c r="D84" s="51" t="str">
        <f t="shared" si="38"/>
        <v xml:space="preserve">Coordinador  </v>
      </c>
      <c r="E84" s="196">
        <f t="shared" si="39"/>
        <v>925.10245800000007</v>
      </c>
      <c r="F84" s="196">
        <f t="shared" si="40"/>
        <v>462.55122899999998</v>
      </c>
      <c r="G84" s="196">
        <f t="shared" si="41"/>
        <v>220.5</v>
      </c>
      <c r="H84" s="196">
        <f t="shared" si="42"/>
        <v>231.27561449999999</v>
      </c>
      <c r="I84" s="196">
        <f t="shared" si="43"/>
        <v>77.061034751400001</v>
      </c>
      <c r="J84" s="196">
        <f t="shared" si="44"/>
        <v>103.14892406700001</v>
      </c>
      <c r="K84" s="197">
        <f t="shared" si="45"/>
        <v>2830.1335984111442</v>
      </c>
      <c r="L84" s="818">
        <f>+'1 Estudiantes'!$F$12</f>
        <v>171.02978985648002</v>
      </c>
      <c r="M84" s="50">
        <f t="shared" si="46"/>
        <v>456.02978985648002</v>
      </c>
    </row>
    <row r="85" spans="2:13" x14ac:dyDescent="0.3">
      <c r="B85" s="121">
        <f>+L85/M85</f>
        <v>0.3750408277281751</v>
      </c>
      <c r="C85" s="55">
        <f t="shared" si="37"/>
        <v>1</v>
      </c>
      <c r="D85" s="51" t="str">
        <f t="shared" si="38"/>
        <v>Bienestar Estudiantil</v>
      </c>
      <c r="E85" s="196">
        <f t="shared" si="39"/>
        <v>925.10245800000007</v>
      </c>
      <c r="F85" s="196">
        <f t="shared" si="40"/>
        <v>462.55122899999998</v>
      </c>
      <c r="G85" s="196">
        <f t="shared" si="41"/>
        <v>220.5</v>
      </c>
      <c r="H85" s="196">
        <f t="shared" si="42"/>
        <v>231.27561449999999</v>
      </c>
      <c r="I85" s="196">
        <f t="shared" si="43"/>
        <v>77.061034751400001</v>
      </c>
      <c r="J85" s="196">
        <f t="shared" si="44"/>
        <v>103.14892406700001</v>
      </c>
      <c r="K85" s="197">
        <f t="shared" si="45"/>
        <v>2830.1335984111442</v>
      </c>
      <c r="L85" s="818">
        <f>+'1 Estudiantes'!$F$12</f>
        <v>171.02978985648002</v>
      </c>
      <c r="M85" s="50">
        <f t="shared" si="46"/>
        <v>456.02978985648002</v>
      </c>
    </row>
    <row r="86" spans="2:13" x14ac:dyDescent="0.3">
      <c r="B86" s="121">
        <f>+B67</f>
        <v>1</v>
      </c>
      <c r="C86" s="55">
        <f>+'5 Demanda'!F15</f>
        <v>1.9066666666666667</v>
      </c>
      <c r="D86" s="51" t="str">
        <f t="shared" si="38"/>
        <v>Tiempo Completo PhD</v>
      </c>
      <c r="E86" s="196">
        <f t="shared" si="39"/>
        <v>2878.0965360000005</v>
      </c>
      <c r="F86" s="196">
        <f t="shared" si="40"/>
        <v>1439.0482680000002</v>
      </c>
      <c r="G86" s="196">
        <f t="shared" si="41"/>
        <v>220.5</v>
      </c>
      <c r="H86" s="196">
        <f t="shared" si="42"/>
        <v>719.52413400000012</v>
      </c>
      <c r="I86" s="196">
        <f t="shared" si="43"/>
        <v>239.74544144880002</v>
      </c>
      <c r="J86" s="196">
        <f t="shared" si="44"/>
        <v>320.90776376400004</v>
      </c>
      <c r="K86" s="197">
        <f t="shared" si="45"/>
        <v>43875.395085954442</v>
      </c>
      <c r="L86" s="818">
        <f>+'1 Estudiantes'!$F$12</f>
        <v>171.02978985648002</v>
      </c>
      <c r="M86" s="50">
        <f t="shared" si="46"/>
        <v>456.02978985648002</v>
      </c>
    </row>
    <row r="87" spans="2:13" x14ac:dyDescent="0.3">
      <c r="B87" s="121">
        <f>+B68</f>
        <v>1</v>
      </c>
      <c r="C87" s="55">
        <f>+'5 Demanda'!F16</f>
        <v>4.7666666666666666</v>
      </c>
      <c r="D87" s="51" t="str">
        <f t="shared" si="38"/>
        <v>Tiempo Completo Mgs.</v>
      </c>
      <c r="E87" s="196">
        <f t="shared" si="39"/>
        <v>1850.2049160000001</v>
      </c>
      <c r="F87" s="196">
        <f t="shared" si="40"/>
        <v>925.10245799999996</v>
      </c>
      <c r="G87" s="196">
        <f t="shared" si="41"/>
        <v>220.5</v>
      </c>
      <c r="H87" s="196">
        <f t="shared" si="42"/>
        <v>462.55122899999998</v>
      </c>
      <c r="I87" s="196">
        <f t="shared" si="43"/>
        <v>154.1220695028</v>
      </c>
      <c r="J87" s="196">
        <f t="shared" si="44"/>
        <v>206.29784813400002</v>
      </c>
      <c r="K87" s="197">
        <f t="shared" si="45"/>
        <v>70889.402816712478</v>
      </c>
      <c r="L87" s="818">
        <f>+'1 Estudiantes'!$F$12</f>
        <v>171.02978985648002</v>
      </c>
      <c r="M87" s="50">
        <f t="shared" si="46"/>
        <v>456.02978985648002</v>
      </c>
    </row>
    <row r="88" spans="2:13" x14ac:dyDescent="0.3">
      <c r="B88" s="121">
        <f>+B69</f>
        <v>1</v>
      </c>
      <c r="C88" s="55">
        <f>+'5 Demanda'!F17</f>
        <v>0</v>
      </c>
      <c r="D88" s="51" t="str">
        <f t="shared" si="38"/>
        <v>Medio Tiempo</v>
      </c>
      <c r="E88" s="196">
        <f t="shared" si="39"/>
        <v>925.10245800000007</v>
      </c>
      <c r="F88" s="196">
        <f t="shared" si="40"/>
        <v>462.55122899999998</v>
      </c>
      <c r="G88" s="196">
        <f t="shared" si="41"/>
        <v>220.5</v>
      </c>
      <c r="H88" s="196">
        <f t="shared" si="42"/>
        <v>231.27561449999999</v>
      </c>
      <c r="I88" s="196">
        <f t="shared" si="43"/>
        <v>77.061034751400001</v>
      </c>
      <c r="J88" s="196">
        <f t="shared" si="44"/>
        <v>103.14892406700001</v>
      </c>
      <c r="K88" s="197">
        <f t="shared" si="45"/>
        <v>0</v>
      </c>
      <c r="L88" s="818">
        <f>+'1 Estudiantes'!$F$12</f>
        <v>171.02978985648002</v>
      </c>
      <c r="M88" s="50">
        <f t="shared" si="46"/>
        <v>456.02978985648002</v>
      </c>
    </row>
    <row r="89" spans="2:13" x14ac:dyDescent="0.3">
      <c r="B89" s="121">
        <f>+B70</f>
        <v>1</v>
      </c>
      <c r="C89" s="55">
        <f>+'5 Demanda'!F18</f>
        <v>1.2711111111111113</v>
      </c>
      <c r="D89" s="51" t="str">
        <f t="shared" si="38"/>
        <v>Tiempo Parcial</v>
      </c>
      <c r="E89" s="196">
        <f t="shared" si="39"/>
        <v>444.04917984000002</v>
      </c>
      <c r="F89" s="196">
        <f t="shared" si="40"/>
        <v>222.02458992000001</v>
      </c>
      <c r="G89" s="196">
        <f t="shared" si="41"/>
        <v>220.5</v>
      </c>
      <c r="H89" s="196">
        <f t="shared" si="42"/>
        <v>111.01229496000001</v>
      </c>
      <c r="I89" s="196">
        <f t="shared" si="43"/>
        <v>36.989296680671998</v>
      </c>
      <c r="J89" s="196">
        <f t="shared" si="44"/>
        <v>49.511483552160001</v>
      </c>
      <c r="K89" s="197">
        <f t="shared" si="45"/>
        <v>4749.9345802695998</v>
      </c>
      <c r="L89" s="818">
        <f>+'1 Estudiantes'!$F$12</f>
        <v>171.02978985648002</v>
      </c>
      <c r="M89" s="50">
        <f t="shared" si="46"/>
        <v>456.02978985648002</v>
      </c>
    </row>
    <row r="90" spans="2:13" x14ac:dyDescent="0.3">
      <c r="B90" s="121">
        <f>+B71</f>
        <v>1</v>
      </c>
      <c r="C90" s="55">
        <f>+'1 Estudiantes'!F30</f>
        <v>2.125</v>
      </c>
      <c r="D90" s="51" t="str">
        <f t="shared" si="38"/>
        <v>Ocasional Tipo 2 (Técnico Docente)</v>
      </c>
      <c r="E90" s="196">
        <f t="shared" si="39"/>
        <v>1387.6536870000002</v>
      </c>
      <c r="F90" s="196">
        <f t="shared" si="40"/>
        <v>693.82684350000011</v>
      </c>
      <c r="G90" s="196">
        <f t="shared" si="41"/>
        <v>220.5</v>
      </c>
      <c r="H90" s="196">
        <f t="shared" si="42"/>
        <v>346.91342175000005</v>
      </c>
      <c r="I90" s="196">
        <f t="shared" si="43"/>
        <v>115.59155212710002</v>
      </c>
      <c r="J90" s="196">
        <f t="shared" si="44"/>
        <v>154.72338610050002</v>
      </c>
      <c r="K90" s="197">
        <f t="shared" si="45"/>
        <v>23819.235535308151</v>
      </c>
      <c r="L90" s="818">
        <f>+'1 Estudiantes'!$F$12</f>
        <v>171.02978985648002</v>
      </c>
      <c r="M90" s="50">
        <f t="shared" si="46"/>
        <v>456.02978985648002</v>
      </c>
    </row>
    <row r="91" spans="2:13" x14ac:dyDescent="0.3">
      <c r="B91" s="121">
        <f>+L91/M91</f>
        <v>0.3750408277281751</v>
      </c>
      <c r="C91" s="55">
        <f>+C15</f>
        <v>1</v>
      </c>
      <c r="D91" s="51" t="str">
        <f t="shared" si="38"/>
        <v>Bibliotecario</v>
      </c>
      <c r="E91" s="196">
        <f t="shared" si="39"/>
        <v>822.31329600000004</v>
      </c>
      <c r="F91" s="196">
        <f t="shared" si="40"/>
        <v>411.15664799999996</v>
      </c>
      <c r="G91" s="196">
        <f t="shared" si="41"/>
        <v>220.5</v>
      </c>
      <c r="H91" s="196">
        <f t="shared" si="42"/>
        <v>205.57832399999998</v>
      </c>
      <c r="I91" s="196">
        <f t="shared" si="43"/>
        <v>68.498697556799996</v>
      </c>
      <c r="J91" s="196">
        <f t="shared" si="44"/>
        <v>91.687932504000003</v>
      </c>
      <c r="K91" s="197">
        <f t="shared" si="45"/>
        <v>2524.8628099781354</v>
      </c>
      <c r="L91" s="818">
        <f>+'1 Estudiantes'!$F$12</f>
        <v>171.02978985648002</v>
      </c>
      <c r="M91" s="50">
        <f t="shared" si="46"/>
        <v>456.02978985648002</v>
      </c>
    </row>
    <row r="92" spans="2:13" x14ac:dyDescent="0.3">
      <c r="B92" s="121">
        <f>+L92/M92</f>
        <v>0.3750408277281751</v>
      </c>
      <c r="C92" s="55">
        <f>+C16</f>
        <v>2</v>
      </c>
      <c r="D92" s="51" t="str">
        <f t="shared" si="38"/>
        <v>Auxiliar de Servicio</v>
      </c>
      <c r="E92" s="196">
        <f t="shared" si="39"/>
        <v>462.55122900000003</v>
      </c>
      <c r="F92" s="196">
        <f t="shared" si="40"/>
        <v>231.27561449999999</v>
      </c>
      <c r="G92" s="196">
        <f t="shared" si="41"/>
        <v>220.5</v>
      </c>
      <c r="H92" s="196">
        <f t="shared" si="42"/>
        <v>115.63780724999999</v>
      </c>
      <c r="I92" s="196">
        <f t="shared" si="43"/>
        <v>38.530517375700001</v>
      </c>
      <c r="J92" s="196">
        <f t="shared" si="44"/>
        <v>51.574462033500005</v>
      </c>
      <c r="K92" s="197">
        <f t="shared" si="45"/>
        <v>2912.8301009252068</v>
      </c>
      <c r="L92" s="818">
        <f>+'1 Estudiantes'!$F$12</f>
        <v>171.02978985648002</v>
      </c>
      <c r="M92" s="50">
        <f t="shared" si="46"/>
        <v>456.02978985648002</v>
      </c>
    </row>
    <row r="93" spans="2:13" x14ac:dyDescent="0.3">
      <c r="B93" s="121">
        <f>+L93/M93</f>
        <v>0.3750408277281751</v>
      </c>
      <c r="C93" s="55">
        <f>+C17</f>
        <v>1</v>
      </c>
      <c r="D93" s="51" t="str">
        <f t="shared" si="38"/>
        <v>Guardia</v>
      </c>
      <c r="E93" s="196">
        <f t="shared" si="39"/>
        <v>668.12955299999999</v>
      </c>
      <c r="F93" s="196">
        <f t="shared" si="40"/>
        <v>334.06477649999999</v>
      </c>
      <c r="G93" s="196">
        <f t="shared" si="41"/>
        <v>220.5</v>
      </c>
      <c r="H93" s="196">
        <f t="shared" si="42"/>
        <v>167.03238825</v>
      </c>
      <c r="I93" s="196">
        <f t="shared" si="43"/>
        <v>55.655191764899996</v>
      </c>
      <c r="J93" s="196">
        <f t="shared" si="44"/>
        <v>74.496445159499999</v>
      </c>
      <c r="K93" s="197">
        <f t="shared" si="45"/>
        <v>2066.9566273286218</v>
      </c>
      <c r="L93" s="818">
        <f>+'1 Estudiantes'!$F$12</f>
        <v>171.02978985648002</v>
      </c>
      <c r="M93" s="50">
        <f t="shared" si="46"/>
        <v>456.02978985648002</v>
      </c>
    </row>
    <row r="94" spans="2:13" ht="24" customHeight="1" thickBot="1" x14ac:dyDescent="0.35">
      <c r="B94" s="212"/>
      <c r="C94" s="213"/>
      <c r="D94" s="152" t="s">
        <v>115</v>
      </c>
      <c r="E94" s="198">
        <f>SUM(E79:E93)</f>
        <v>22399.814183040005</v>
      </c>
      <c r="F94" s="198">
        <f>SUM(F79:F93)</f>
        <v>11199.907091520003</v>
      </c>
      <c r="G94" s="198">
        <f>SUM(G79:G93)</f>
        <v>3307.5</v>
      </c>
      <c r="H94" s="198">
        <f>SUM(H79:H93)</f>
        <v>5599.9535457600014</v>
      </c>
      <c r="I94" s="198">
        <f>SUM(I79:I93)</f>
        <v>1865.9045214472317</v>
      </c>
      <c r="J94" s="198"/>
      <c r="K94" s="199">
        <f>SUM(K79:K93)</f>
        <v>201241.25560044043</v>
      </c>
      <c r="M94" s="117"/>
    </row>
    <row r="95" spans="2:13" ht="10.8" thickBot="1" x14ac:dyDescent="0.35">
      <c r="C95" s="50"/>
      <c r="M95" s="117"/>
    </row>
    <row r="96" spans="2:13" ht="24.75" customHeight="1" thickBot="1" x14ac:dyDescent="0.35">
      <c r="B96" s="1009">
        <f>+'1 Estudiantes'!G3</f>
        <v>2025</v>
      </c>
      <c r="C96" s="1010"/>
      <c r="D96" s="1011"/>
      <c r="E96" s="210" t="s">
        <v>159</v>
      </c>
      <c r="F96" s="383">
        <f>+Inflación!C13/100+1</f>
        <v>1.0330999999999999</v>
      </c>
      <c r="G96" s="165"/>
      <c r="H96" s="165"/>
      <c r="I96" s="165"/>
      <c r="J96" s="165"/>
      <c r="K96" s="165"/>
    </row>
    <row r="97" spans="2:13" ht="33.75" customHeight="1" x14ac:dyDescent="0.3">
      <c r="B97" s="194"/>
      <c r="C97" s="211" t="s">
        <v>201</v>
      </c>
      <c r="D97" s="158" t="s">
        <v>202</v>
      </c>
      <c r="E97" s="190" t="s">
        <v>203</v>
      </c>
      <c r="F97" s="190" t="s">
        <v>204</v>
      </c>
      <c r="G97" s="190" t="s">
        <v>205</v>
      </c>
      <c r="H97" s="190" t="s">
        <v>206</v>
      </c>
      <c r="I97" s="190" t="s">
        <v>207</v>
      </c>
      <c r="J97" s="190" t="s">
        <v>208</v>
      </c>
      <c r="K97" s="191" t="s">
        <v>115</v>
      </c>
    </row>
    <row r="98" spans="2:13" x14ac:dyDescent="0.3">
      <c r="B98" s="121">
        <f>+L98/M98</f>
        <v>0.42948479879723322</v>
      </c>
      <c r="C98" s="55">
        <f t="shared" ref="C98:D104" si="47">+C3</f>
        <v>1</v>
      </c>
      <c r="D98" s="51" t="str">
        <f t="shared" si="47"/>
        <v>Decano</v>
      </c>
      <c r="E98" s="196">
        <f t="shared" ref="E98:E112" si="48">+E79*$F$96</f>
        <v>4120.22955057336</v>
      </c>
      <c r="F98" s="196">
        <f t="shared" ref="F98:F112" si="49">+E98*12/12/2</f>
        <v>2060.11477528668</v>
      </c>
      <c r="G98" s="196">
        <f>+G79*1.05</f>
        <v>231.52500000000001</v>
      </c>
      <c r="H98" s="196">
        <f>+E98*12/24/2</f>
        <v>1030.05738764334</v>
      </c>
      <c r="I98" s="196">
        <f>+E98*8.33%</f>
        <v>343.21512156276088</v>
      </c>
      <c r="J98" s="196">
        <f>+E98*11.15%</f>
        <v>459.40559488892967</v>
      </c>
      <c r="K98" s="197">
        <f>+((((E98+I98+J98)*6)+F98+G98+H98)*C98)*B98</f>
        <v>14112.354576339299</v>
      </c>
      <c r="L98" s="818">
        <f>+'1 Estudiantes'!$G$12</f>
        <v>214.54847723454117</v>
      </c>
      <c r="M98" s="50">
        <f>+$L$1+L98</f>
        <v>499.54847723454117</v>
      </c>
    </row>
    <row r="99" spans="2:13" x14ac:dyDescent="0.3">
      <c r="B99" s="121">
        <f>+L99/M99</f>
        <v>0.42948479879723322</v>
      </c>
      <c r="C99" s="55">
        <f t="shared" si="47"/>
        <v>1</v>
      </c>
      <c r="D99" s="51" t="str">
        <f t="shared" si="47"/>
        <v>Subdecano</v>
      </c>
      <c r="E99" s="196">
        <f t="shared" si="48"/>
        <v>3058.3147179513599</v>
      </c>
      <c r="F99" s="196">
        <f t="shared" si="49"/>
        <v>1529.1573589756799</v>
      </c>
      <c r="G99" s="196">
        <f t="shared" ref="G99:G112" si="50">+G80*1.05</f>
        <v>231.52500000000001</v>
      </c>
      <c r="H99" s="196">
        <f t="shared" ref="H99:H112" si="51">+E99*12/24/2</f>
        <v>764.57867948783996</v>
      </c>
      <c r="I99" s="196">
        <f t="shared" ref="I99:I112" si="52">+E99*8.33%</f>
        <v>254.75761600534827</v>
      </c>
      <c r="J99" s="196">
        <f t="shared" ref="J99:J112" si="53">+E99*11.15%</f>
        <v>341.00209105157666</v>
      </c>
      <c r="K99" s="197">
        <f t="shared" ref="K99:K112" si="54">+((((E99+I99+J99)*6)+F99+G99+H99)*C99)*B99</f>
        <v>10500.777744303792</v>
      </c>
      <c r="L99" s="818">
        <f>+'1 Estudiantes'!$G$12</f>
        <v>214.54847723454117</v>
      </c>
      <c r="M99" s="50">
        <f t="shared" ref="M99:M112" si="55">+$L$1+L99</f>
        <v>499.54847723454117</v>
      </c>
    </row>
    <row r="100" spans="2:13" x14ac:dyDescent="0.3">
      <c r="B100" s="121">
        <f>+B81</f>
        <v>1</v>
      </c>
      <c r="C100" s="55">
        <f t="shared" si="47"/>
        <v>1</v>
      </c>
      <c r="D100" s="51" t="str">
        <f t="shared" si="47"/>
        <v>Director de Carrera</v>
      </c>
      <c r="E100" s="196">
        <f t="shared" si="48"/>
        <v>2336.2126317683997</v>
      </c>
      <c r="F100" s="196">
        <f t="shared" si="49"/>
        <v>1168.1063158841998</v>
      </c>
      <c r="G100" s="196">
        <f t="shared" si="50"/>
        <v>231.52500000000001</v>
      </c>
      <c r="H100" s="196">
        <f t="shared" si="51"/>
        <v>584.05315794209992</v>
      </c>
      <c r="I100" s="196">
        <f t="shared" si="52"/>
        <v>194.6065122263077</v>
      </c>
      <c r="J100" s="196">
        <f t="shared" si="53"/>
        <v>260.48770844217654</v>
      </c>
      <c r="K100" s="197">
        <f t="shared" si="54"/>
        <v>18731.525588447606</v>
      </c>
      <c r="L100" s="818">
        <f>+'1 Estudiantes'!$G$12</f>
        <v>214.54847723454117</v>
      </c>
      <c r="M100" s="50">
        <f t="shared" si="55"/>
        <v>499.54847723454117</v>
      </c>
    </row>
    <row r="101" spans="2:13" x14ac:dyDescent="0.3">
      <c r="B101" s="121">
        <f>+L101/M101</f>
        <v>0.42948479879723322</v>
      </c>
      <c r="C101" s="55">
        <f t="shared" si="47"/>
        <v>1</v>
      </c>
      <c r="D101" s="51" t="str">
        <f t="shared" si="47"/>
        <v>Secretario</v>
      </c>
      <c r="E101" s="196">
        <f t="shared" si="48"/>
        <v>1061.9148326219999</v>
      </c>
      <c r="F101" s="196">
        <f t="shared" si="49"/>
        <v>530.95741631099997</v>
      </c>
      <c r="G101" s="196">
        <f t="shared" si="50"/>
        <v>231.52500000000001</v>
      </c>
      <c r="H101" s="196">
        <f t="shared" si="51"/>
        <v>265.47870815549999</v>
      </c>
      <c r="I101" s="196">
        <f t="shared" si="52"/>
        <v>88.457505557412588</v>
      </c>
      <c r="J101" s="196">
        <f t="shared" si="53"/>
        <v>118.403503837353</v>
      </c>
      <c r="K101" s="197">
        <f t="shared" si="54"/>
        <v>3711.0133000770365</v>
      </c>
      <c r="L101" s="818">
        <f>+'1 Estudiantes'!$G$12</f>
        <v>214.54847723454117</v>
      </c>
      <c r="M101" s="50">
        <f t="shared" si="55"/>
        <v>499.54847723454117</v>
      </c>
    </row>
    <row r="102" spans="2:13" x14ac:dyDescent="0.3">
      <c r="B102" s="121">
        <f>+L102/M102</f>
        <v>0.42948479879723322</v>
      </c>
      <c r="C102" s="55">
        <f t="shared" si="47"/>
        <v>1</v>
      </c>
      <c r="D102" s="51" t="str">
        <f t="shared" si="47"/>
        <v>Auxiliar de Secretaria</v>
      </c>
      <c r="E102" s="196">
        <f t="shared" si="48"/>
        <v>902.62760772870001</v>
      </c>
      <c r="F102" s="196">
        <f t="shared" si="49"/>
        <v>451.31380386434995</v>
      </c>
      <c r="G102" s="196">
        <f t="shared" si="50"/>
        <v>231.52500000000001</v>
      </c>
      <c r="H102" s="196">
        <f t="shared" si="51"/>
        <v>225.65690193217497</v>
      </c>
      <c r="I102" s="196">
        <f t="shared" si="52"/>
        <v>75.18887972380071</v>
      </c>
      <c r="J102" s="196">
        <f t="shared" si="53"/>
        <v>100.64297826175006</v>
      </c>
      <c r="K102" s="197">
        <f t="shared" si="54"/>
        <v>3169.2767752717114</v>
      </c>
      <c r="L102" s="818">
        <f>+'1 Estudiantes'!$G$12</f>
        <v>214.54847723454117</v>
      </c>
      <c r="M102" s="50">
        <f t="shared" si="55"/>
        <v>499.54847723454117</v>
      </c>
    </row>
    <row r="103" spans="2:13" x14ac:dyDescent="0.3">
      <c r="B103" s="121">
        <f>+L103/M103</f>
        <v>0.42948479879723322</v>
      </c>
      <c r="C103" s="55">
        <f t="shared" si="47"/>
        <v>1</v>
      </c>
      <c r="D103" s="51" t="str">
        <f t="shared" si="47"/>
        <v xml:space="preserve">Coordinador  </v>
      </c>
      <c r="E103" s="196">
        <f t="shared" si="48"/>
        <v>955.72334935979995</v>
      </c>
      <c r="F103" s="196">
        <f t="shared" si="49"/>
        <v>477.86167467989998</v>
      </c>
      <c r="G103" s="196">
        <f t="shared" si="50"/>
        <v>231.52500000000001</v>
      </c>
      <c r="H103" s="196">
        <f t="shared" si="51"/>
        <v>238.93083733994999</v>
      </c>
      <c r="I103" s="196">
        <f t="shared" si="52"/>
        <v>79.611755001671341</v>
      </c>
      <c r="J103" s="196">
        <f t="shared" si="53"/>
        <v>106.5631534536177</v>
      </c>
      <c r="K103" s="197">
        <f t="shared" si="54"/>
        <v>3349.8556168734858</v>
      </c>
      <c r="L103" s="818">
        <f>+'1 Estudiantes'!$G$12</f>
        <v>214.54847723454117</v>
      </c>
      <c r="M103" s="50">
        <f t="shared" si="55"/>
        <v>499.54847723454117</v>
      </c>
    </row>
    <row r="104" spans="2:13" x14ac:dyDescent="0.3">
      <c r="B104" s="121">
        <f>+L104/M104</f>
        <v>0.42948479879723322</v>
      </c>
      <c r="C104" s="55">
        <f t="shared" si="47"/>
        <v>1</v>
      </c>
      <c r="D104" s="51" t="str">
        <f t="shared" si="47"/>
        <v>Bienestar Estudiantil</v>
      </c>
      <c r="E104" s="196">
        <f t="shared" si="48"/>
        <v>955.72334935979995</v>
      </c>
      <c r="F104" s="196">
        <f t="shared" si="49"/>
        <v>477.86167467989998</v>
      </c>
      <c r="G104" s="196">
        <f t="shared" si="50"/>
        <v>231.52500000000001</v>
      </c>
      <c r="H104" s="196">
        <f t="shared" si="51"/>
        <v>238.93083733994999</v>
      </c>
      <c r="I104" s="196">
        <f t="shared" si="52"/>
        <v>79.611755001671341</v>
      </c>
      <c r="J104" s="196">
        <f t="shared" si="53"/>
        <v>106.5631534536177</v>
      </c>
      <c r="K104" s="197">
        <f t="shared" si="54"/>
        <v>3349.8556168734858</v>
      </c>
      <c r="L104" s="818">
        <f>+'1 Estudiantes'!$G$12</f>
        <v>214.54847723454117</v>
      </c>
      <c r="M104" s="50">
        <f t="shared" si="55"/>
        <v>499.54847723454117</v>
      </c>
    </row>
    <row r="105" spans="2:13" x14ac:dyDescent="0.3">
      <c r="B105" s="121">
        <f>+B86</f>
        <v>1</v>
      </c>
      <c r="C105" s="55">
        <f>+'5 Demanda'!G15</f>
        <v>2.44</v>
      </c>
      <c r="D105" s="51" t="str">
        <f t="shared" ref="D105:D112" si="56">+D10</f>
        <v>Tiempo Completo PhD</v>
      </c>
      <c r="E105" s="196">
        <f t="shared" si="48"/>
        <v>2973.3615313416003</v>
      </c>
      <c r="F105" s="196">
        <f t="shared" si="49"/>
        <v>1486.6807656707999</v>
      </c>
      <c r="G105" s="196">
        <f t="shared" si="50"/>
        <v>231.52500000000001</v>
      </c>
      <c r="H105" s="196">
        <f t="shared" si="51"/>
        <v>743.34038283539996</v>
      </c>
      <c r="I105" s="196">
        <f t="shared" si="52"/>
        <v>247.6810155607553</v>
      </c>
      <c r="J105" s="196">
        <f t="shared" si="53"/>
        <v>331.52981074458842</v>
      </c>
      <c r="K105" s="197">
        <f t="shared" si="54"/>
        <v>58015.831918306387</v>
      </c>
      <c r="L105" s="818">
        <f>+'1 Estudiantes'!$G$12</f>
        <v>214.54847723454117</v>
      </c>
      <c r="M105" s="50">
        <f t="shared" si="55"/>
        <v>499.54847723454117</v>
      </c>
    </row>
    <row r="106" spans="2:13" x14ac:dyDescent="0.3">
      <c r="B106" s="121">
        <f>+B87</f>
        <v>1</v>
      </c>
      <c r="C106" s="55">
        <f>+'5 Demanda'!G16</f>
        <v>6.1</v>
      </c>
      <c r="D106" s="51" t="str">
        <f t="shared" si="56"/>
        <v>Tiempo Completo Mgs.</v>
      </c>
      <c r="E106" s="196">
        <f t="shared" si="48"/>
        <v>1911.4466987195999</v>
      </c>
      <c r="F106" s="196">
        <f t="shared" si="49"/>
        <v>955.72334935979995</v>
      </c>
      <c r="G106" s="196">
        <f t="shared" si="50"/>
        <v>231.52500000000001</v>
      </c>
      <c r="H106" s="196">
        <f t="shared" si="51"/>
        <v>477.86167467989998</v>
      </c>
      <c r="I106" s="196">
        <f t="shared" si="52"/>
        <v>159.22351000334268</v>
      </c>
      <c r="J106" s="196">
        <f t="shared" si="53"/>
        <v>213.1263069072354</v>
      </c>
      <c r="K106" s="197">
        <f t="shared" si="54"/>
        <v>93744.123618706668</v>
      </c>
      <c r="L106" s="818">
        <f>+'1 Estudiantes'!$G$12</f>
        <v>214.54847723454117</v>
      </c>
      <c r="M106" s="50">
        <f t="shared" si="55"/>
        <v>499.54847723454117</v>
      </c>
    </row>
    <row r="107" spans="2:13" x14ac:dyDescent="0.3">
      <c r="B107" s="121">
        <f>+B88</f>
        <v>1</v>
      </c>
      <c r="C107" s="55">
        <f>+'5 Demanda'!G17</f>
        <v>0</v>
      </c>
      <c r="D107" s="51" t="str">
        <f t="shared" si="56"/>
        <v>Medio Tiempo</v>
      </c>
      <c r="E107" s="196">
        <f t="shared" si="48"/>
        <v>955.72334935979995</v>
      </c>
      <c r="F107" s="196">
        <f t="shared" si="49"/>
        <v>477.86167467989998</v>
      </c>
      <c r="G107" s="196">
        <f t="shared" si="50"/>
        <v>231.52500000000001</v>
      </c>
      <c r="H107" s="196">
        <f t="shared" si="51"/>
        <v>238.93083733994999</v>
      </c>
      <c r="I107" s="196">
        <f t="shared" si="52"/>
        <v>79.611755001671341</v>
      </c>
      <c r="J107" s="196">
        <f t="shared" si="53"/>
        <v>106.5631534536177</v>
      </c>
      <c r="K107" s="197">
        <f t="shared" si="54"/>
        <v>0</v>
      </c>
      <c r="L107" s="818">
        <f>+'1 Estudiantes'!$G$12</f>
        <v>214.54847723454117</v>
      </c>
      <c r="M107" s="50">
        <f t="shared" si="55"/>
        <v>499.54847723454117</v>
      </c>
    </row>
    <row r="108" spans="2:13" x14ac:dyDescent="0.3">
      <c r="B108" s="121">
        <f>+B89</f>
        <v>1</v>
      </c>
      <c r="C108" s="55">
        <f>+'5 Demanda'!G18</f>
        <v>1.6266666666666665</v>
      </c>
      <c r="D108" s="51" t="str">
        <f t="shared" si="56"/>
        <v>Tiempo Parcial</v>
      </c>
      <c r="E108" s="196">
        <f t="shared" si="48"/>
        <v>458.74720769270397</v>
      </c>
      <c r="F108" s="196">
        <f t="shared" si="49"/>
        <v>229.37360384635198</v>
      </c>
      <c r="G108" s="196">
        <f t="shared" si="50"/>
        <v>231.52500000000001</v>
      </c>
      <c r="H108" s="196">
        <f t="shared" si="51"/>
        <v>114.68680192317599</v>
      </c>
      <c r="I108" s="196">
        <f t="shared" si="52"/>
        <v>38.213642400802243</v>
      </c>
      <c r="J108" s="196">
        <f t="shared" si="53"/>
        <v>51.15031365773649</v>
      </c>
      <c r="K108" s="197">
        <f t="shared" si="54"/>
        <v>6285.8505515972265</v>
      </c>
      <c r="L108" s="818">
        <f>+'1 Estudiantes'!$G$12</f>
        <v>214.54847723454117</v>
      </c>
      <c r="M108" s="50">
        <f t="shared" si="55"/>
        <v>499.54847723454117</v>
      </c>
    </row>
    <row r="109" spans="2:13" x14ac:dyDescent="0.3">
      <c r="B109" s="121">
        <f>+B90</f>
        <v>1</v>
      </c>
      <c r="C109" s="55">
        <f>+'1 Estudiantes'!G30</f>
        <v>2.95</v>
      </c>
      <c r="D109" s="51" t="str">
        <f t="shared" si="56"/>
        <v>Ocasional Tipo 2 (Técnico Docente)</v>
      </c>
      <c r="E109" s="196">
        <f t="shared" si="48"/>
        <v>1433.5850240397001</v>
      </c>
      <c r="F109" s="196">
        <f t="shared" si="49"/>
        <v>716.79251201985005</v>
      </c>
      <c r="G109" s="196">
        <f t="shared" si="50"/>
        <v>231.52500000000001</v>
      </c>
      <c r="H109" s="196">
        <f t="shared" si="51"/>
        <v>358.39625600992503</v>
      </c>
      <c r="I109" s="196">
        <f t="shared" si="52"/>
        <v>119.41763250250702</v>
      </c>
      <c r="J109" s="196">
        <f t="shared" si="53"/>
        <v>159.84473018042655</v>
      </c>
      <c r="K109" s="197">
        <f t="shared" si="54"/>
        <v>34172.20436067845</v>
      </c>
      <c r="L109" s="818">
        <f>+'1 Estudiantes'!$G$12</f>
        <v>214.54847723454117</v>
      </c>
      <c r="M109" s="50">
        <f t="shared" si="55"/>
        <v>499.54847723454117</v>
      </c>
    </row>
    <row r="110" spans="2:13" x14ac:dyDescent="0.3">
      <c r="B110" s="121">
        <f>+L110/M110</f>
        <v>0.42948479879723322</v>
      </c>
      <c r="C110" s="55">
        <f>+C15</f>
        <v>1</v>
      </c>
      <c r="D110" s="51" t="str">
        <f t="shared" si="56"/>
        <v>Bibliotecario</v>
      </c>
      <c r="E110" s="196">
        <f t="shared" si="48"/>
        <v>849.53186609759996</v>
      </c>
      <c r="F110" s="196">
        <f t="shared" si="49"/>
        <v>424.76593304879998</v>
      </c>
      <c r="G110" s="196">
        <f t="shared" si="50"/>
        <v>231.52500000000001</v>
      </c>
      <c r="H110" s="196">
        <f t="shared" si="51"/>
        <v>212.38296652439999</v>
      </c>
      <c r="I110" s="196">
        <f t="shared" si="52"/>
        <v>70.766004445930079</v>
      </c>
      <c r="J110" s="196">
        <f t="shared" si="53"/>
        <v>94.722803069882403</v>
      </c>
      <c r="K110" s="197">
        <f t="shared" si="54"/>
        <v>2988.6979336699351</v>
      </c>
      <c r="L110" s="818">
        <f>+'1 Estudiantes'!$G$12</f>
        <v>214.54847723454117</v>
      </c>
      <c r="M110" s="50">
        <f t="shared" si="55"/>
        <v>499.54847723454117</v>
      </c>
    </row>
    <row r="111" spans="2:13" x14ac:dyDescent="0.3">
      <c r="B111" s="121">
        <f>+L111/M111</f>
        <v>0.42948479879723322</v>
      </c>
      <c r="C111" s="55">
        <f>+C16</f>
        <v>2</v>
      </c>
      <c r="D111" s="51" t="str">
        <f t="shared" si="56"/>
        <v>Auxiliar de Servicio</v>
      </c>
      <c r="E111" s="196">
        <f t="shared" si="48"/>
        <v>477.86167467989998</v>
      </c>
      <c r="F111" s="196">
        <f t="shared" si="49"/>
        <v>238.93083733994999</v>
      </c>
      <c r="G111" s="196">
        <f t="shared" si="50"/>
        <v>231.52500000000001</v>
      </c>
      <c r="H111" s="196">
        <f t="shared" si="51"/>
        <v>119.46541866997499</v>
      </c>
      <c r="I111" s="196">
        <f t="shared" si="52"/>
        <v>39.80587750083567</v>
      </c>
      <c r="J111" s="196">
        <f t="shared" si="53"/>
        <v>53.281576726808851</v>
      </c>
      <c r="K111" s="197">
        <f t="shared" si="54"/>
        <v>3449.2920849150155</v>
      </c>
      <c r="L111" s="818">
        <f>+'1 Estudiantes'!$G$12</f>
        <v>214.54847723454117</v>
      </c>
      <c r="M111" s="50">
        <f t="shared" si="55"/>
        <v>499.54847723454117</v>
      </c>
    </row>
    <row r="112" spans="2:13" x14ac:dyDescent="0.3">
      <c r="B112" s="121">
        <f>+L112/M112</f>
        <v>0.42948479879723322</v>
      </c>
      <c r="C112" s="55">
        <f>+C17</f>
        <v>1</v>
      </c>
      <c r="D112" s="51" t="str">
        <f t="shared" si="56"/>
        <v>Guardia</v>
      </c>
      <c r="E112" s="196">
        <f t="shared" si="48"/>
        <v>690.24464120429991</v>
      </c>
      <c r="F112" s="196">
        <f t="shared" si="49"/>
        <v>345.12232060214995</v>
      </c>
      <c r="G112" s="196">
        <f t="shared" si="50"/>
        <v>231.52500000000001</v>
      </c>
      <c r="H112" s="196">
        <f t="shared" si="51"/>
        <v>172.56116030107498</v>
      </c>
      <c r="I112" s="196">
        <f t="shared" si="52"/>
        <v>57.49737861231818</v>
      </c>
      <c r="J112" s="196">
        <f t="shared" si="53"/>
        <v>76.962277494279448</v>
      </c>
      <c r="K112" s="197">
        <f t="shared" si="54"/>
        <v>2446.9614088646085</v>
      </c>
      <c r="L112" s="818">
        <f>+'1 Estudiantes'!$G$12</f>
        <v>214.54847723454117</v>
      </c>
      <c r="M112" s="50">
        <f t="shared" si="55"/>
        <v>499.54847723454117</v>
      </c>
    </row>
    <row r="113" spans="2:13" ht="25.5" customHeight="1" thickBot="1" x14ac:dyDescent="0.35">
      <c r="B113" s="136"/>
      <c r="C113" s="57"/>
      <c r="D113" s="152" t="s">
        <v>115</v>
      </c>
      <c r="E113" s="198">
        <f>SUM(E98:E112)</f>
        <v>23141.248032498625</v>
      </c>
      <c r="F113" s="198">
        <f>SUM(F98:F112)</f>
        <v>11570.624016249312</v>
      </c>
      <c r="G113" s="198">
        <f>SUM(G98:G112)</f>
        <v>3472.8750000000009</v>
      </c>
      <c r="H113" s="198">
        <f>SUM(H98:H112)</f>
        <v>5785.3120081246561</v>
      </c>
      <c r="I113" s="198">
        <f>SUM(I98:I112)</f>
        <v>1927.6659611071354</v>
      </c>
      <c r="J113" s="198"/>
      <c r="K113" s="199">
        <f>SUM(K98:K112)</f>
        <v>258027.62109492469</v>
      </c>
    </row>
    <row r="114" spans="2:13" ht="10.8" thickBot="1" x14ac:dyDescent="0.35">
      <c r="C114" s="50"/>
    </row>
    <row r="115" spans="2:13" ht="27.75" customHeight="1" thickBot="1" x14ac:dyDescent="0.35">
      <c r="B115" s="1009">
        <f>+'1 Estudiantes'!H3</f>
        <v>2026</v>
      </c>
      <c r="C115" s="1010"/>
      <c r="D115" s="1011"/>
      <c r="E115" s="210" t="s">
        <v>159</v>
      </c>
      <c r="F115" s="383">
        <f>+Inflación!C14/100+1</f>
        <v>1.0135000000000001</v>
      </c>
      <c r="G115" s="165"/>
      <c r="H115" s="165"/>
      <c r="I115" s="165"/>
      <c r="J115" s="165"/>
      <c r="K115" s="165"/>
    </row>
    <row r="116" spans="2:13" ht="33.75" customHeight="1" x14ac:dyDescent="0.3">
      <c r="B116" s="194" t="s">
        <v>209</v>
      </c>
      <c r="C116" s="211" t="s">
        <v>201</v>
      </c>
      <c r="D116" s="158" t="s">
        <v>202</v>
      </c>
      <c r="E116" s="190" t="s">
        <v>203</v>
      </c>
      <c r="F116" s="190" t="s">
        <v>204</v>
      </c>
      <c r="G116" s="190" t="s">
        <v>205</v>
      </c>
      <c r="H116" s="190" t="s">
        <v>206</v>
      </c>
      <c r="I116" s="190" t="s">
        <v>207</v>
      </c>
      <c r="J116" s="190" t="s">
        <v>208</v>
      </c>
      <c r="K116" s="191" t="s">
        <v>115</v>
      </c>
    </row>
    <row r="117" spans="2:13" x14ac:dyDescent="0.3">
      <c r="B117" s="121">
        <f>+L117/M117</f>
        <v>0.44172928820176682</v>
      </c>
      <c r="C117" s="55">
        <f t="shared" ref="C117:D123" si="57">+C3</f>
        <v>1</v>
      </c>
      <c r="D117" s="51" t="str">
        <f t="shared" si="57"/>
        <v>Decano</v>
      </c>
      <c r="E117" s="196">
        <f t="shared" ref="E117:E131" si="58">+E98</f>
        <v>4120.22955057336</v>
      </c>
      <c r="F117" s="196">
        <f t="shared" ref="F117:F131" si="59">+E117*12/12/2</f>
        <v>2060.11477528668</v>
      </c>
      <c r="G117" s="196">
        <f>+G98</f>
        <v>231.52500000000001</v>
      </c>
      <c r="H117" s="196">
        <f>+E117*12/24/2</f>
        <v>1030.05738764334</v>
      </c>
      <c r="I117" s="196">
        <f>+E117*8.33%</f>
        <v>343.21512156276088</v>
      </c>
      <c r="J117" s="196">
        <f>+E117*11.15%</f>
        <v>459.40559488892967</v>
      </c>
      <c r="K117" s="197">
        <f>+((((E117+I117+J117)*6)+F117+G117+H117)*C117)*B117</f>
        <v>14514.693789664027</v>
      </c>
      <c r="L117" s="818">
        <f>+'1 Estudiantes'!$H$12</f>
        <v>225.5050184022603</v>
      </c>
      <c r="M117" s="50">
        <f>+$L$1+L117</f>
        <v>510.5050184022603</v>
      </c>
    </row>
    <row r="118" spans="2:13" x14ac:dyDescent="0.3">
      <c r="B118" s="121">
        <f>+L118/M118</f>
        <v>0.44172928820176682</v>
      </c>
      <c r="C118" s="55">
        <f t="shared" si="57"/>
        <v>1</v>
      </c>
      <c r="D118" s="51" t="str">
        <f t="shared" si="57"/>
        <v>Subdecano</v>
      </c>
      <c r="E118" s="196">
        <f t="shared" si="58"/>
        <v>3058.3147179513599</v>
      </c>
      <c r="F118" s="196">
        <f t="shared" si="59"/>
        <v>1529.1573589756799</v>
      </c>
      <c r="G118" s="196">
        <f t="shared" ref="G118:G131" si="60">+G99</f>
        <v>231.52500000000001</v>
      </c>
      <c r="H118" s="196">
        <f t="shared" ref="H118:H131" si="61">+E118*12/24/2</f>
        <v>764.57867948783996</v>
      </c>
      <c r="I118" s="196">
        <f t="shared" ref="I118:I131" si="62">+E118*8.33%</f>
        <v>254.75761600534827</v>
      </c>
      <c r="J118" s="196">
        <f t="shared" ref="J118:J131" si="63">+E118*11.15%</f>
        <v>341.00209105157666</v>
      </c>
      <c r="K118" s="197">
        <f t="shared" ref="K118:K131" si="64">+((((E118+I118+J118)*6)+F118+G118+H118)*C118)*B118</f>
        <v>10800.151929815287</v>
      </c>
      <c r="L118" s="818">
        <f>+'1 Estudiantes'!$H$12</f>
        <v>225.5050184022603</v>
      </c>
      <c r="M118" s="50">
        <f t="shared" ref="M118:M131" si="65">+$L$1+L118</f>
        <v>510.5050184022603</v>
      </c>
    </row>
    <row r="119" spans="2:13" x14ac:dyDescent="0.3">
      <c r="B119" s="121">
        <f>+B100</f>
        <v>1</v>
      </c>
      <c r="C119" s="55">
        <f t="shared" si="57"/>
        <v>1</v>
      </c>
      <c r="D119" s="51" t="str">
        <f t="shared" si="57"/>
        <v>Director de Carrera</v>
      </c>
      <c r="E119" s="196">
        <f t="shared" si="58"/>
        <v>2336.2126317683997</v>
      </c>
      <c r="F119" s="196">
        <f t="shared" si="59"/>
        <v>1168.1063158841998</v>
      </c>
      <c r="G119" s="196">
        <f t="shared" si="60"/>
        <v>231.52500000000001</v>
      </c>
      <c r="H119" s="196">
        <f t="shared" si="61"/>
        <v>584.05315794209992</v>
      </c>
      <c r="I119" s="196">
        <f t="shared" si="62"/>
        <v>194.6065122263077</v>
      </c>
      <c r="J119" s="196">
        <f t="shared" si="63"/>
        <v>260.48770844217654</v>
      </c>
      <c r="K119" s="197">
        <f t="shared" si="64"/>
        <v>18731.525588447606</v>
      </c>
      <c r="L119" s="818">
        <f>+'1 Estudiantes'!$H$12</f>
        <v>225.5050184022603</v>
      </c>
      <c r="M119" s="50">
        <f t="shared" si="65"/>
        <v>510.5050184022603</v>
      </c>
    </row>
    <row r="120" spans="2:13" x14ac:dyDescent="0.3">
      <c r="B120" s="121">
        <f>+L120/M120</f>
        <v>0.44172928820176682</v>
      </c>
      <c r="C120" s="55">
        <f t="shared" si="57"/>
        <v>1</v>
      </c>
      <c r="D120" s="51" t="str">
        <f t="shared" si="57"/>
        <v>Secretario</v>
      </c>
      <c r="E120" s="196">
        <f t="shared" si="58"/>
        <v>1061.9148326219999</v>
      </c>
      <c r="F120" s="196">
        <f t="shared" si="59"/>
        <v>530.95741631099997</v>
      </c>
      <c r="G120" s="196">
        <f t="shared" si="60"/>
        <v>231.52500000000001</v>
      </c>
      <c r="H120" s="196">
        <f t="shared" si="61"/>
        <v>265.47870815549999</v>
      </c>
      <c r="I120" s="196">
        <f t="shared" si="62"/>
        <v>88.457505557412588</v>
      </c>
      <c r="J120" s="196">
        <f t="shared" si="63"/>
        <v>118.403503837353</v>
      </c>
      <c r="K120" s="197">
        <f t="shared" si="64"/>
        <v>3816.8132332996538</v>
      </c>
      <c r="L120" s="818">
        <f>+'1 Estudiantes'!$H$12</f>
        <v>225.5050184022603</v>
      </c>
      <c r="M120" s="50">
        <f t="shared" si="65"/>
        <v>510.5050184022603</v>
      </c>
    </row>
    <row r="121" spans="2:13" x14ac:dyDescent="0.3">
      <c r="B121" s="121">
        <f>+L121/M121</f>
        <v>0.44172928820176682</v>
      </c>
      <c r="C121" s="55">
        <f t="shared" si="57"/>
        <v>1</v>
      </c>
      <c r="D121" s="51" t="str">
        <f t="shared" si="57"/>
        <v>Auxiliar de Secretaria</v>
      </c>
      <c r="E121" s="196">
        <f t="shared" si="58"/>
        <v>902.62760772870001</v>
      </c>
      <c r="F121" s="196">
        <f t="shared" si="59"/>
        <v>451.31380386434995</v>
      </c>
      <c r="G121" s="196">
        <f t="shared" si="60"/>
        <v>231.52500000000001</v>
      </c>
      <c r="H121" s="196">
        <f t="shared" si="61"/>
        <v>225.65690193217497</v>
      </c>
      <c r="I121" s="196">
        <f t="shared" si="62"/>
        <v>75.18887972380071</v>
      </c>
      <c r="J121" s="196">
        <f t="shared" si="63"/>
        <v>100.64297826175006</v>
      </c>
      <c r="K121" s="197">
        <f t="shared" si="64"/>
        <v>3259.6319543223435</v>
      </c>
      <c r="L121" s="818">
        <f>+'1 Estudiantes'!$H$12</f>
        <v>225.5050184022603</v>
      </c>
      <c r="M121" s="50">
        <f t="shared" si="65"/>
        <v>510.5050184022603</v>
      </c>
    </row>
    <row r="122" spans="2:13" x14ac:dyDescent="0.3">
      <c r="B122" s="121">
        <f>+L122/M122</f>
        <v>0.44172928820176682</v>
      </c>
      <c r="C122" s="55">
        <f t="shared" si="57"/>
        <v>1</v>
      </c>
      <c r="D122" s="51" t="str">
        <f t="shared" si="57"/>
        <v xml:space="preserve">Coordinador  </v>
      </c>
      <c r="E122" s="196">
        <f t="shared" si="58"/>
        <v>955.72334935979995</v>
      </c>
      <c r="F122" s="196">
        <f t="shared" si="59"/>
        <v>477.86167467989998</v>
      </c>
      <c r="G122" s="196">
        <f t="shared" si="60"/>
        <v>231.52500000000001</v>
      </c>
      <c r="H122" s="196">
        <f t="shared" si="61"/>
        <v>238.93083733994999</v>
      </c>
      <c r="I122" s="196">
        <f t="shared" si="62"/>
        <v>79.611755001671341</v>
      </c>
      <c r="J122" s="196">
        <f t="shared" si="63"/>
        <v>106.5631534536177</v>
      </c>
      <c r="K122" s="197">
        <f t="shared" si="64"/>
        <v>3445.3590473147797</v>
      </c>
      <c r="L122" s="818">
        <f>+'1 Estudiantes'!$H$12</f>
        <v>225.5050184022603</v>
      </c>
      <c r="M122" s="50">
        <f t="shared" si="65"/>
        <v>510.5050184022603</v>
      </c>
    </row>
    <row r="123" spans="2:13" x14ac:dyDescent="0.3">
      <c r="B123" s="121">
        <f>+L123/M123</f>
        <v>0.44172928820176682</v>
      </c>
      <c r="C123" s="55">
        <f t="shared" si="57"/>
        <v>1</v>
      </c>
      <c r="D123" s="51" t="str">
        <f t="shared" si="57"/>
        <v>Bienestar Estudiantil</v>
      </c>
      <c r="E123" s="196">
        <f t="shared" si="58"/>
        <v>955.72334935979995</v>
      </c>
      <c r="F123" s="196">
        <f t="shared" si="59"/>
        <v>477.86167467989998</v>
      </c>
      <c r="G123" s="196">
        <f t="shared" si="60"/>
        <v>231.52500000000001</v>
      </c>
      <c r="H123" s="196">
        <f t="shared" si="61"/>
        <v>238.93083733994999</v>
      </c>
      <c r="I123" s="196">
        <f t="shared" si="62"/>
        <v>79.611755001671341</v>
      </c>
      <c r="J123" s="196">
        <f t="shared" si="63"/>
        <v>106.5631534536177</v>
      </c>
      <c r="K123" s="197">
        <f t="shared" si="64"/>
        <v>3445.3590473147797</v>
      </c>
      <c r="L123" s="818">
        <f>+'1 Estudiantes'!$H$12</f>
        <v>225.5050184022603</v>
      </c>
      <c r="M123" s="50">
        <f t="shared" si="65"/>
        <v>510.5050184022603</v>
      </c>
    </row>
    <row r="124" spans="2:13" x14ac:dyDescent="0.3">
      <c r="B124" s="121">
        <f>+B105</f>
        <v>1</v>
      </c>
      <c r="C124" s="55">
        <f>+'5 Demanda'!H15</f>
        <v>2.6933333333333334</v>
      </c>
      <c r="D124" s="51" t="str">
        <f t="shared" ref="D124:D132" si="66">+D10</f>
        <v>Tiempo Completo PhD</v>
      </c>
      <c r="E124" s="196">
        <f t="shared" si="58"/>
        <v>2973.3615313416003</v>
      </c>
      <c r="F124" s="196">
        <f t="shared" si="59"/>
        <v>1486.6807656707999</v>
      </c>
      <c r="G124" s="196">
        <f t="shared" si="60"/>
        <v>231.52500000000001</v>
      </c>
      <c r="H124" s="196">
        <f t="shared" si="61"/>
        <v>743.34038283539996</v>
      </c>
      <c r="I124" s="196">
        <f t="shared" si="62"/>
        <v>247.6810155607553</v>
      </c>
      <c r="J124" s="196">
        <f t="shared" si="63"/>
        <v>331.52981074458842</v>
      </c>
      <c r="K124" s="197">
        <f t="shared" si="64"/>
        <v>64039.33359288465</v>
      </c>
      <c r="L124" s="818">
        <f>+'1 Estudiantes'!$H$12</f>
        <v>225.5050184022603</v>
      </c>
      <c r="M124" s="50">
        <f t="shared" si="65"/>
        <v>510.5050184022603</v>
      </c>
    </row>
    <row r="125" spans="2:13" x14ac:dyDescent="0.3">
      <c r="B125" s="121">
        <f>+B106</f>
        <v>1</v>
      </c>
      <c r="C125" s="55">
        <f>+'5 Demanda'!H16</f>
        <v>6.7333333333333325</v>
      </c>
      <c r="D125" s="51" t="str">
        <f t="shared" si="66"/>
        <v>Tiempo Completo Mgs.</v>
      </c>
      <c r="E125" s="196">
        <f t="shared" si="58"/>
        <v>1911.4466987195999</v>
      </c>
      <c r="F125" s="196">
        <f t="shared" si="59"/>
        <v>955.72334935979995</v>
      </c>
      <c r="G125" s="196">
        <f t="shared" si="60"/>
        <v>231.52500000000001</v>
      </c>
      <c r="H125" s="196">
        <f t="shared" si="61"/>
        <v>477.86167467989998</v>
      </c>
      <c r="I125" s="196">
        <f t="shared" si="62"/>
        <v>159.22351000334268</v>
      </c>
      <c r="J125" s="196">
        <f t="shared" si="63"/>
        <v>213.1263069072354</v>
      </c>
      <c r="K125" s="197">
        <f t="shared" si="64"/>
        <v>103477.12005999315</v>
      </c>
      <c r="L125" s="818">
        <f>+'1 Estudiantes'!$H$12</f>
        <v>225.5050184022603</v>
      </c>
      <c r="M125" s="50">
        <f t="shared" si="65"/>
        <v>510.5050184022603</v>
      </c>
    </row>
    <row r="126" spans="2:13" x14ac:dyDescent="0.3">
      <c r="B126" s="121">
        <f>+B107</f>
        <v>1</v>
      </c>
      <c r="C126" s="55">
        <f>+'5 Demanda'!H17</f>
        <v>0</v>
      </c>
      <c r="D126" s="51" t="str">
        <f t="shared" si="66"/>
        <v>Medio Tiempo</v>
      </c>
      <c r="E126" s="196">
        <f t="shared" si="58"/>
        <v>955.72334935979995</v>
      </c>
      <c r="F126" s="196">
        <f t="shared" si="59"/>
        <v>477.86167467989998</v>
      </c>
      <c r="G126" s="196">
        <f t="shared" si="60"/>
        <v>231.52500000000001</v>
      </c>
      <c r="H126" s="196">
        <f t="shared" si="61"/>
        <v>238.93083733994999</v>
      </c>
      <c r="I126" s="196">
        <f t="shared" si="62"/>
        <v>79.611755001671341</v>
      </c>
      <c r="J126" s="196">
        <f t="shared" si="63"/>
        <v>106.5631534536177</v>
      </c>
      <c r="K126" s="197">
        <f t="shared" si="64"/>
        <v>0</v>
      </c>
      <c r="L126" s="818">
        <f>+'1 Estudiantes'!$H$12</f>
        <v>225.5050184022603</v>
      </c>
      <c r="M126" s="50">
        <f t="shared" si="65"/>
        <v>510.5050184022603</v>
      </c>
    </row>
    <row r="127" spans="2:13" x14ac:dyDescent="0.3">
      <c r="B127" s="121">
        <f>+B108</f>
        <v>1</v>
      </c>
      <c r="C127" s="55">
        <f>+'5 Demanda'!H18</f>
        <v>1.7955555555555556</v>
      </c>
      <c r="D127" s="51" t="str">
        <f t="shared" si="66"/>
        <v>Tiempo Parcial</v>
      </c>
      <c r="E127" s="196">
        <f t="shared" si="58"/>
        <v>458.74720769270397</v>
      </c>
      <c r="F127" s="196">
        <f t="shared" si="59"/>
        <v>229.37360384635198</v>
      </c>
      <c r="G127" s="196">
        <f t="shared" si="60"/>
        <v>231.52500000000001</v>
      </c>
      <c r="H127" s="196">
        <f t="shared" si="61"/>
        <v>114.68680192317599</v>
      </c>
      <c r="I127" s="196">
        <f t="shared" si="62"/>
        <v>38.213642400802243</v>
      </c>
      <c r="J127" s="196">
        <f t="shared" si="63"/>
        <v>51.15031365773649</v>
      </c>
      <c r="K127" s="197">
        <f t="shared" si="64"/>
        <v>6938.4798438395628</v>
      </c>
      <c r="L127" s="818">
        <f>+'1 Estudiantes'!$H$12</f>
        <v>225.5050184022603</v>
      </c>
      <c r="M127" s="50">
        <f t="shared" si="65"/>
        <v>510.5050184022603</v>
      </c>
    </row>
    <row r="128" spans="2:13" x14ac:dyDescent="0.3">
      <c r="B128" s="121">
        <f>+B109</f>
        <v>1</v>
      </c>
      <c r="C128" s="55">
        <f>+'1 Estudiantes'!H30</f>
        <v>3.4750000000000001</v>
      </c>
      <c r="D128" s="51" t="str">
        <f t="shared" si="66"/>
        <v>Ocasional Tipo 2 (Técnico Docente)</v>
      </c>
      <c r="E128" s="196">
        <f t="shared" si="58"/>
        <v>1433.5850240397001</v>
      </c>
      <c r="F128" s="196">
        <f t="shared" si="59"/>
        <v>716.79251201985005</v>
      </c>
      <c r="G128" s="196">
        <f t="shared" si="60"/>
        <v>231.52500000000001</v>
      </c>
      <c r="H128" s="196">
        <f t="shared" si="61"/>
        <v>358.39625600992503</v>
      </c>
      <c r="I128" s="196">
        <f t="shared" si="62"/>
        <v>119.41763250250702</v>
      </c>
      <c r="J128" s="196">
        <f t="shared" si="63"/>
        <v>159.84473018042655</v>
      </c>
      <c r="K128" s="197">
        <f t="shared" si="64"/>
        <v>40253.698357070381</v>
      </c>
      <c r="L128" s="818">
        <f>+'1 Estudiantes'!$H$12</f>
        <v>225.5050184022603</v>
      </c>
      <c r="M128" s="50">
        <f t="shared" si="65"/>
        <v>510.5050184022603</v>
      </c>
    </row>
    <row r="129" spans="2:13" x14ac:dyDescent="0.3">
      <c r="B129" s="121">
        <f>+L129/M129</f>
        <v>0.44172928820176682</v>
      </c>
      <c r="C129" s="55">
        <f>+C15</f>
        <v>1</v>
      </c>
      <c r="D129" s="51" t="str">
        <f t="shared" si="66"/>
        <v>Bibliotecario</v>
      </c>
      <c r="E129" s="196">
        <f t="shared" si="58"/>
        <v>849.53186609759996</v>
      </c>
      <c r="F129" s="196">
        <f t="shared" si="59"/>
        <v>424.76593304879998</v>
      </c>
      <c r="G129" s="196">
        <f t="shared" si="60"/>
        <v>231.52500000000001</v>
      </c>
      <c r="H129" s="196">
        <f t="shared" si="61"/>
        <v>212.38296652439999</v>
      </c>
      <c r="I129" s="196">
        <f t="shared" si="62"/>
        <v>70.766004445930079</v>
      </c>
      <c r="J129" s="196">
        <f t="shared" si="63"/>
        <v>94.722803069882403</v>
      </c>
      <c r="K129" s="197">
        <f t="shared" si="64"/>
        <v>3073.904861329906</v>
      </c>
      <c r="L129" s="818">
        <f>+'1 Estudiantes'!$H$12</f>
        <v>225.5050184022603</v>
      </c>
      <c r="M129" s="50">
        <f t="shared" si="65"/>
        <v>510.5050184022603</v>
      </c>
    </row>
    <row r="130" spans="2:13" x14ac:dyDescent="0.3">
      <c r="B130" s="121">
        <f>+L130/M130</f>
        <v>0.44172928820176682</v>
      </c>
      <c r="C130" s="55">
        <f>+C16</f>
        <v>2</v>
      </c>
      <c r="D130" s="51" t="str">
        <f t="shared" si="66"/>
        <v>Auxiliar de Servicio</v>
      </c>
      <c r="E130" s="196">
        <f t="shared" si="58"/>
        <v>477.86167467989998</v>
      </c>
      <c r="F130" s="196">
        <f t="shared" si="59"/>
        <v>238.93083733994999</v>
      </c>
      <c r="G130" s="196">
        <f t="shared" si="60"/>
        <v>231.52500000000001</v>
      </c>
      <c r="H130" s="196">
        <f t="shared" si="61"/>
        <v>119.46541866997499</v>
      </c>
      <c r="I130" s="196">
        <f t="shared" si="62"/>
        <v>39.80587750083567</v>
      </c>
      <c r="J130" s="196">
        <f t="shared" si="63"/>
        <v>53.281576726808851</v>
      </c>
      <c r="K130" s="197">
        <f t="shared" si="64"/>
        <v>3547.630420765694</v>
      </c>
      <c r="L130" s="818">
        <f>+'1 Estudiantes'!$H$12</f>
        <v>225.5050184022603</v>
      </c>
      <c r="M130" s="50">
        <f t="shared" si="65"/>
        <v>510.5050184022603</v>
      </c>
    </row>
    <row r="131" spans="2:13" x14ac:dyDescent="0.3">
      <c r="B131" s="121">
        <f>+L131/M131</f>
        <v>0.44172928820176682</v>
      </c>
      <c r="C131" s="55">
        <f>+C17</f>
        <v>1</v>
      </c>
      <c r="D131" s="51" t="str">
        <f t="shared" si="66"/>
        <v>Guardia</v>
      </c>
      <c r="E131" s="196">
        <f t="shared" si="58"/>
        <v>690.24464120429991</v>
      </c>
      <c r="F131" s="196">
        <f t="shared" si="59"/>
        <v>345.12232060214995</v>
      </c>
      <c r="G131" s="196">
        <f t="shared" si="60"/>
        <v>231.52500000000001</v>
      </c>
      <c r="H131" s="196">
        <f t="shared" si="61"/>
        <v>172.56116030107498</v>
      </c>
      <c r="I131" s="196">
        <f t="shared" si="62"/>
        <v>57.49737861231818</v>
      </c>
      <c r="J131" s="196">
        <f t="shared" si="63"/>
        <v>76.962277494279448</v>
      </c>
      <c r="K131" s="197">
        <f t="shared" si="64"/>
        <v>2516.7235823525943</v>
      </c>
      <c r="L131" s="818">
        <f>+'1 Estudiantes'!$H$12</f>
        <v>225.5050184022603</v>
      </c>
      <c r="M131" s="50">
        <f t="shared" si="65"/>
        <v>510.5050184022603</v>
      </c>
    </row>
    <row r="132" spans="2:13" ht="30.75" customHeight="1" thickBot="1" x14ac:dyDescent="0.35">
      <c r="B132" s="136"/>
      <c r="C132" s="57"/>
      <c r="D132" s="152" t="str">
        <f t="shared" si="66"/>
        <v>TOTAL</v>
      </c>
      <c r="E132" s="214">
        <f>SUM(E117:E131)</f>
        <v>23141.248032498625</v>
      </c>
      <c r="F132" s="214">
        <f>SUM(F117:F131)</f>
        <v>11570.624016249312</v>
      </c>
      <c r="G132" s="214">
        <f>SUM(G117:G131)</f>
        <v>3472.8750000000009</v>
      </c>
      <c r="H132" s="214">
        <f>SUM(H117:H131)</f>
        <v>5785.3120081246561</v>
      </c>
      <c r="I132" s="214">
        <f>SUM(I117:I131)</f>
        <v>1927.6659611071354</v>
      </c>
      <c r="J132" s="214"/>
      <c r="K132" s="215">
        <f>SUM(K117:K131)</f>
        <v>281860.42530841433</v>
      </c>
    </row>
    <row r="133" spans="2:13" ht="10.8" thickBot="1" x14ac:dyDescent="0.35">
      <c r="C133" s="50"/>
    </row>
    <row r="134" spans="2:13" ht="28.5" customHeight="1" thickBot="1" x14ac:dyDescent="0.35">
      <c r="B134" s="1009">
        <f>+'1 Estudiantes'!I3</f>
        <v>2026</v>
      </c>
      <c r="C134" s="1010"/>
      <c r="D134" s="1011"/>
      <c r="E134" s="210" t="s">
        <v>159</v>
      </c>
      <c r="F134" s="383">
        <f>+Inflación!C14/100+1</f>
        <v>1.0135000000000001</v>
      </c>
      <c r="G134" s="165"/>
      <c r="H134" s="165"/>
      <c r="I134" s="165"/>
      <c r="J134" s="165"/>
      <c r="K134" s="165"/>
    </row>
    <row r="135" spans="2:13" ht="33.75" customHeight="1" x14ac:dyDescent="0.3">
      <c r="B135" s="194" t="s">
        <v>209</v>
      </c>
      <c r="C135" s="211" t="s">
        <v>201</v>
      </c>
      <c r="D135" s="158" t="s">
        <v>202</v>
      </c>
      <c r="E135" s="190" t="s">
        <v>203</v>
      </c>
      <c r="F135" s="190" t="s">
        <v>204</v>
      </c>
      <c r="G135" s="190" t="s">
        <v>205</v>
      </c>
      <c r="H135" s="190" t="s">
        <v>206</v>
      </c>
      <c r="I135" s="190" t="s">
        <v>207</v>
      </c>
      <c r="J135" s="190" t="s">
        <v>208</v>
      </c>
      <c r="K135" s="191" t="s">
        <v>115</v>
      </c>
    </row>
    <row r="136" spans="2:13" x14ac:dyDescent="0.3">
      <c r="B136" s="121">
        <f>+L136/M136</f>
        <v>0.48376986031484465</v>
      </c>
      <c r="C136" s="55">
        <f t="shared" ref="C136:C142" si="67">+C3</f>
        <v>1</v>
      </c>
      <c r="D136" s="51" t="str">
        <f t="shared" ref="D136:D151" si="68">+D22</f>
        <v>Decano</v>
      </c>
      <c r="E136" s="196">
        <f t="shared" ref="E136:E150" si="69">+E117*$F$134</f>
        <v>4175.8526495061005</v>
      </c>
      <c r="F136" s="196">
        <f t="shared" ref="F136:F150" si="70">+E136*12/12/2</f>
        <v>2087.9263247530503</v>
      </c>
      <c r="G136" s="196">
        <f>+G117*1.05</f>
        <v>243.10125000000002</v>
      </c>
      <c r="H136" s="196">
        <f>+E136*12/24/2</f>
        <v>1043.9631623765251</v>
      </c>
      <c r="I136" s="196">
        <f>+E136*8.33%</f>
        <v>347.84852570385817</v>
      </c>
      <c r="J136" s="196">
        <f>+E136*11.15%</f>
        <v>465.6075704199302</v>
      </c>
      <c r="K136" s="197">
        <f>+((((E136+I136+J136)*6)+F136+G136+H136)*C136)*B136</f>
        <v>16114.781967111096</v>
      </c>
      <c r="L136" s="818">
        <f>+'1 Estudiantes'!$I$12</f>
        <v>267.07935006239512</v>
      </c>
      <c r="M136" s="50">
        <f>+$L$1+L136</f>
        <v>552.07935006239518</v>
      </c>
    </row>
    <row r="137" spans="2:13" x14ac:dyDescent="0.3">
      <c r="B137" s="121">
        <f>+L137/M137</f>
        <v>0.48376986031484465</v>
      </c>
      <c r="C137" s="55">
        <f t="shared" si="67"/>
        <v>1</v>
      </c>
      <c r="D137" s="51" t="str">
        <f t="shared" si="68"/>
        <v>Subdecano</v>
      </c>
      <c r="E137" s="196">
        <f t="shared" si="69"/>
        <v>3099.6019666437032</v>
      </c>
      <c r="F137" s="196">
        <f t="shared" si="70"/>
        <v>1549.8009833218518</v>
      </c>
      <c r="G137" s="196">
        <f t="shared" ref="G137:G150" si="71">+G118*1.05</f>
        <v>243.10125000000002</v>
      </c>
      <c r="H137" s="196">
        <f t="shared" ref="H137:H150" si="72">+E137*12/24/2</f>
        <v>774.90049166092592</v>
      </c>
      <c r="I137" s="196">
        <f t="shared" ref="I137:I150" si="73">+E137*8.33%</f>
        <v>258.19684382142049</v>
      </c>
      <c r="J137" s="196">
        <f t="shared" ref="J137:J150" si="74">+E137*11.15%</f>
        <v>345.60561928077294</v>
      </c>
      <c r="K137" s="197">
        <f t="shared" ref="K137:K150" si="75">+((((E137+I137+J137)*6)+F137+G137+H137)*C137)*B137</f>
        <v>11991.798227586291</v>
      </c>
      <c r="L137" s="818">
        <f>+'1 Estudiantes'!$I$12</f>
        <v>267.07935006239512</v>
      </c>
      <c r="M137" s="50">
        <f t="shared" ref="M137:M150" si="76">+$L$1+L137</f>
        <v>552.07935006239518</v>
      </c>
    </row>
    <row r="138" spans="2:13" x14ac:dyDescent="0.3">
      <c r="B138" s="121">
        <f>+B119</f>
        <v>1</v>
      </c>
      <c r="C138" s="55">
        <f t="shared" si="67"/>
        <v>1</v>
      </c>
      <c r="D138" s="51" t="str">
        <f t="shared" si="68"/>
        <v>Director de Carrera</v>
      </c>
      <c r="E138" s="196">
        <f t="shared" si="69"/>
        <v>2367.7515022972734</v>
      </c>
      <c r="F138" s="196">
        <f t="shared" si="70"/>
        <v>1183.8757511486367</v>
      </c>
      <c r="G138" s="196">
        <f t="shared" si="71"/>
        <v>243.10125000000002</v>
      </c>
      <c r="H138" s="196">
        <f t="shared" si="72"/>
        <v>591.93787557431835</v>
      </c>
      <c r="I138" s="196">
        <f t="shared" si="73"/>
        <v>197.23370014136287</v>
      </c>
      <c r="J138" s="196">
        <f t="shared" si="74"/>
        <v>264.00429250614599</v>
      </c>
      <c r="K138" s="197">
        <f t="shared" si="75"/>
        <v>18992.851846391652</v>
      </c>
      <c r="L138" s="818">
        <f>+'1 Estudiantes'!$I$12</f>
        <v>267.07935006239512</v>
      </c>
      <c r="M138" s="50">
        <f t="shared" si="76"/>
        <v>552.07935006239518</v>
      </c>
    </row>
    <row r="139" spans="2:13" x14ac:dyDescent="0.3">
      <c r="B139" s="121">
        <f>+L139/M139</f>
        <v>0.48376986031484465</v>
      </c>
      <c r="C139" s="55">
        <f t="shared" si="67"/>
        <v>1</v>
      </c>
      <c r="D139" s="51" t="str">
        <f t="shared" si="68"/>
        <v>Secretario</v>
      </c>
      <c r="E139" s="196">
        <f t="shared" si="69"/>
        <v>1076.2506828623971</v>
      </c>
      <c r="F139" s="196">
        <f t="shared" si="70"/>
        <v>538.12534143119854</v>
      </c>
      <c r="G139" s="196">
        <f t="shared" si="71"/>
        <v>243.10125000000002</v>
      </c>
      <c r="H139" s="196">
        <f t="shared" si="72"/>
        <v>269.06267071559927</v>
      </c>
      <c r="I139" s="196">
        <f t="shared" si="73"/>
        <v>89.651681882437671</v>
      </c>
      <c r="J139" s="196">
        <f t="shared" si="74"/>
        <v>120.00195113915727</v>
      </c>
      <c r="K139" s="197">
        <f t="shared" si="75"/>
        <v>4240.5887972796645</v>
      </c>
      <c r="L139" s="818">
        <f>+'1 Estudiantes'!$I$12</f>
        <v>267.07935006239512</v>
      </c>
      <c r="M139" s="50">
        <f t="shared" si="76"/>
        <v>552.07935006239518</v>
      </c>
    </row>
    <row r="140" spans="2:13" x14ac:dyDescent="0.3">
      <c r="B140" s="121">
        <f>+L140/M140</f>
        <v>0.48376986031484465</v>
      </c>
      <c r="C140" s="55">
        <f t="shared" si="67"/>
        <v>1</v>
      </c>
      <c r="D140" s="51" t="str">
        <f t="shared" si="68"/>
        <v>Auxiliar de Secretaria</v>
      </c>
      <c r="E140" s="196">
        <f t="shared" si="69"/>
        <v>914.8130804330375</v>
      </c>
      <c r="F140" s="196">
        <f t="shared" si="70"/>
        <v>457.40654021651875</v>
      </c>
      <c r="G140" s="196">
        <f t="shared" si="71"/>
        <v>243.10125000000002</v>
      </c>
      <c r="H140" s="196">
        <f t="shared" si="72"/>
        <v>228.70327010825937</v>
      </c>
      <c r="I140" s="196">
        <f t="shared" si="73"/>
        <v>76.203929600072016</v>
      </c>
      <c r="J140" s="196">
        <f t="shared" si="74"/>
        <v>102.00165846828368</v>
      </c>
      <c r="K140" s="197">
        <f t="shared" si="75"/>
        <v>3622.1412363509453</v>
      </c>
      <c r="L140" s="818">
        <f>+'1 Estudiantes'!$I$12</f>
        <v>267.07935006239512</v>
      </c>
      <c r="M140" s="50">
        <f t="shared" si="76"/>
        <v>552.07935006239518</v>
      </c>
    </row>
    <row r="141" spans="2:13" x14ac:dyDescent="0.3">
      <c r="B141" s="121">
        <f>+L141/M141</f>
        <v>0.48376986031484465</v>
      </c>
      <c r="C141" s="55">
        <f t="shared" si="67"/>
        <v>1</v>
      </c>
      <c r="D141" s="51" t="str">
        <f t="shared" si="68"/>
        <v xml:space="preserve">Coordinador  </v>
      </c>
      <c r="E141" s="196">
        <f t="shared" si="69"/>
        <v>968.62561457615732</v>
      </c>
      <c r="F141" s="196">
        <f t="shared" si="70"/>
        <v>484.31280728807866</v>
      </c>
      <c r="G141" s="196">
        <f t="shared" si="71"/>
        <v>243.10125000000002</v>
      </c>
      <c r="H141" s="196">
        <f t="shared" si="72"/>
        <v>242.15640364403933</v>
      </c>
      <c r="I141" s="196">
        <f t="shared" si="73"/>
        <v>80.686513694193906</v>
      </c>
      <c r="J141" s="196">
        <f t="shared" si="74"/>
        <v>108.00175602524155</v>
      </c>
      <c r="K141" s="197">
        <f t="shared" si="75"/>
        <v>3828.2904233271856</v>
      </c>
      <c r="L141" s="818">
        <f>+'1 Estudiantes'!$I$12</f>
        <v>267.07935006239512</v>
      </c>
      <c r="M141" s="50">
        <f t="shared" si="76"/>
        <v>552.07935006239518</v>
      </c>
    </row>
    <row r="142" spans="2:13" x14ac:dyDescent="0.3">
      <c r="B142" s="121">
        <f>+L142/M142</f>
        <v>0.48376986031484465</v>
      </c>
      <c r="C142" s="55">
        <f t="shared" si="67"/>
        <v>1</v>
      </c>
      <c r="D142" s="51" t="str">
        <f t="shared" si="68"/>
        <v>Bienestar Estudiantil</v>
      </c>
      <c r="E142" s="196">
        <f t="shared" si="69"/>
        <v>968.62561457615732</v>
      </c>
      <c r="F142" s="196">
        <f t="shared" si="70"/>
        <v>484.31280728807866</v>
      </c>
      <c r="G142" s="196">
        <f t="shared" si="71"/>
        <v>243.10125000000002</v>
      </c>
      <c r="H142" s="196">
        <f t="shared" si="72"/>
        <v>242.15640364403933</v>
      </c>
      <c r="I142" s="196">
        <f t="shared" si="73"/>
        <v>80.686513694193906</v>
      </c>
      <c r="J142" s="196">
        <f t="shared" si="74"/>
        <v>108.00175602524155</v>
      </c>
      <c r="K142" s="197">
        <f t="shared" si="75"/>
        <v>3828.2904233271856</v>
      </c>
      <c r="L142" s="818">
        <f>+'1 Estudiantes'!$I$12</f>
        <v>267.07935006239512</v>
      </c>
      <c r="M142" s="50">
        <f t="shared" si="76"/>
        <v>552.07935006239518</v>
      </c>
    </row>
    <row r="143" spans="2:13" x14ac:dyDescent="0.3">
      <c r="B143" s="121">
        <f>+B124</f>
        <v>1</v>
      </c>
      <c r="C143" s="55">
        <f>+'5 Demanda'!I15</f>
        <v>3.12</v>
      </c>
      <c r="D143" s="51" t="str">
        <f t="shared" si="68"/>
        <v>Tiempo Completo PhD</v>
      </c>
      <c r="E143" s="196">
        <f t="shared" si="69"/>
        <v>3013.5019120147122</v>
      </c>
      <c r="F143" s="196">
        <f t="shared" si="70"/>
        <v>1506.7509560073561</v>
      </c>
      <c r="G143" s="196">
        <f t="shared" si="71"/>
        <v>243.10125000000002</v>
      </c>
      <c r="H143" s="196">
        <f t="shared" si="72"/>
        <v>753.37547800367804</v>
      </c>
      <c r="I143" s="196">
        <f t="shared" si="73"/>
        <v>251.02470927082553</v>
      </c>
      <c r="J143" s="196">
        <f t="shared" si="74"/>
        <v>336.00546318964041</v>
      </c>
      <c r="K143" s="197">
        <f t="shared" si="75"/>
        <v>75212.030995489768</v>
      </c>
      <c r="L143" s="818">
        <f>+'1 Estudiantes'!$I$12</f>
        <v>267.07935006239512</v>
      </c>
      <c r="M143" s="50">
        <f t="shared" si="76"/>
        <v>552.07935006239518</v>
      </c>
    </row>
    <row r="144" spans="2:13" x14ac:dyDescent="0.3">
      <c r="B144" s="121">
        <f>+B125</f>
        <v>1</v>
      </c>
      <c r="C144" s="55">
        <f>+'5 Demanda'!I16</f>
        <v>7.8</v>
      </c>
      <c r="D144" s="51" t="str">
        <f t="shared" si="68"/>
        <v>Tiempo Completo Mgs.</v>
      </c>
      <c r="E144" s="196">
        <f t="shared" si="69"/>
        <v>1937.2512291523146</v>
      </c>
      <c r="F144" s="196">
        <f t="shared" si="70"/>
        <v>968.62561457615732</v>
      </c>
      <c r="G144" s="196">
        <f t="shared" si="71"/>
        <v>243.10125000000002</v>
      </c>
      <c r="H144" s="196">
        <f t="shared" si="72"/>
        <v>484.31280728807866</v>
      </c>
      <c r="I144" s="196">
        <f t="shared" si="73"/>
        <v>161.37302738838781</v>
      </c>
      <c r="J144" s="196">
        <f t="shared" si="74"/>
        <v>216.0035120504831</v>
      </c>
      <c r="K144" s="197">
        <f t="shared" si="75"/>
        <v>121553.68901060852</v>
      </c>
      <c r="L144" s="818">
        <f>+'1 Estudiantes'!$I$12</f>
        <v>267.07935006239512</v>
      </c>
      <c r="M144" s="50">
        <f t="shared" si="76"/>
        <v>552.07935006239518</v>
      </c>
    </row>
    <row r="145" spans="2:13" x14ac:dyDescent="0.3">
      <c r="B145" s="121">
        <f>+B126</f>
        <v>1</v>
      </c>
      <c r="C145" s="55">
        <f>+'5 Demanda'!I17</f>
        <v>0</v>
      </c>
      <c r="D145" s="51" t="str">
        <f t="shared" si="68"/>
        <v>Medio Tiempo</v>
      </c>
      <c r="E145" s="196">
        <f t="shared" si="69"/>
        <v>968.62561457615732</v>
      </c>
      <c r="F145" s="196">
        <f t="shared" si="70"/>
        <v>484.31280728807866</v>
      </c>
      <c r="G145" s="196">
        <f t="shared" si="71"/>
        <v>243.10125000000002</v>
      </c>
      <c r="H145" s="196">
        <f t="shared" si="72"/>
        <v>242.15640364403933</v>
      </c>
      <c r="I145" s="196">
        <f t="shared" si="73"/>
        <v>80.686513694193906</v>
      </c>
      <c r="J145" s="196">
        <f t="shared" si="74"/>
        <v>108.00175602524155</v>
      </c>
      <c r="K145" s="197">
        <f t="shared" si="75"/>
        <v>0</v>
      </c>
      <c r="L145" s="818">
        <f>+'1 Estudiantes'!$I$12</f>
        <v>267.07935006239512</v>
      </c>
      <c r="M145" s="50">
        <f t="shared" si="76"/>
        <v>552.07935006239518</v>
      </c>
    </row>
    <row r="146" spans="2:13" x14ac:dyDescent="0.3">
      <c r="B146" s="121">
        <f>+B127</f>
        <v>1</v>
      </c>
      <c r="C146" s="55">
        <f>+'5 Demanda'!I18</f>
        <v>2.08</v>
      </c>
      <c r="D146" s="51" t="str">
        <f t="shared" si="68"/>
        <v>Tiempo Parcial</v>
      </c>
      <c r="E146" s="196">
        <f t="shared" si="69"/>
        <v>464.94029499655551</v>
      </c>
      <c r="F146" s="196">
        <f t="shared" si="70"/>
        <v>232.47014749827773</v>
      </c>
      <c r="G146" s="196">
        <f t="shared" si="71"/>
        <v>243.10125000000002</v>
      </c>
      <c r="H146" s="196">
        <f t="shared" si="72"/>
        <v>116.23507374913886</v>
      </c>
      <c r="I146" s="196">
        <f t="shared" si="73"/>
        <v>38.729526573213072</v>
      </c>
      <c r="J146" s="196">
        <f t="shared" si="74"/>
        <v>51.840842892115937</v>
      </c>
      <c r="K146" s="197">
        <f t="shared" si="75"/>
        <v>8163.7305526789451</v>
      </c>
      <c r="L146" s="818">
        <f>+'1 Estudiantes'!$I$12</f>
        <v>267.07935006239512</v>
      </c>
      <c r="M146" s="50">
        <f t="shared" si="76"/>
        <v>552.07935006239518</v>
      </c>
    </row>
    <row r="147" spans="2:13" x14ac:dyDescent="0.3">
      <c r="B147" s="121">
        <f>+B128</f>
        <v>1</v>
      </c>
      <c r="C147" s="55">
        <f>+'1 Estudiantes'!I30</f>
        <v>4.7249999999999996</v>
      </c>
      <c r="D147" s="51" t="str">
        <f t="shared" si="68"/>
        <v>Ocasional Tipo 2 (Técnico Docente)</v>
      </c>
      <c r="E147" s="196">
        <f t="shared" si="69"/>
        <v>1452.9384218642363</v>
      </c>
      <c r="F147" s="196">
        <f t="shared" si="70"/>
        <v>726.46921093211813</v>
      </c>
      <c r="G147" s="196">
        <f t="shared" si="71"/>
        <v>243.10125000000002</v>
      </c>
      <c r="H147" s="196">
        <f t="shared" si="72"/>
        <v>363.23460546605907</v>
      </c>
      <c r="I147" s="196">
        <f t="shared" si="73"/>
        <v>121.02977054129087</v>
      </c>
      <c r="J147" s="196">
        <f t="shared" si="74"/>
        <v>162.00263403786235</v>
      </c>
      <c r="K147" s="197">
        <f t="shared" si="75"/>
        <v>55512.276868401481</v>
      </c>
      <c r="L147" s="818">
        <f>+'1 Estudiantes'!$I$12</f>
        <v>267.07935006239512</v>
      </c>
      <c r="M147" s="50">
        <f t="shared" si="76"/>
        <v>552.07935006239518</v>
      </c>
    </row>
    <row r="148" spans="2:13" x14ac:dyDescent="0.3">
      <c r="B148" s="121">
        <f>+L148/M148</f>
        <v>0.48376986031484465</v>
      </c>
      <c r="C148" s="55">
        <f>+C15</f>
        <v>1</v>
      </c>
      <c r="D148" s="51" t="str">
        <f t="shared" si="68"/>
        <v>Bibliotecario</v>
      </c>
      <c r="E148" s="196">
        <f t="shared" si="69"/>
        <v>861.00054628991757</v>
      </c>
      <c r="F148" s="196">
        <f t="shared" si="70"/>
        <v>430.50027314495878</v>
      </c>
      <c r="G148" s="196">
        <f t="shared" si="71"/>
        <v>243.10125000000002</v>
      </c>
      <c r="H148" s="196">
        <f t="shared" si="72"/>
        <v>215.25013657247939</v>
      </c>
      <c r="I148" s="196">
        <f t="shared" si="73"/>
        <v>71.721345505950126</v>
      </c>
      <c r="J148" s="196">
        <f t="shared" si="74"/>
        <v>96.001560911325811</v>
      </c>
      <c r="K148" s="197">
        <f t="shared" si="75"/>
        <v>3415.9920493747049</v>
      </c>
      <c r="L148" s="818">
        <f>+'1 Estudiantes'!$I$12</f>
        <v>267.07935006239512</v>
      </c>
      <c r="M148" s="50">
        <f t="shared" si="76"/>
        <v>552.07935006239518</v>
      </c>
    </row>
    <row r="149" spans="2:13" x14ac:dyDescent="0.3">
      <c r="B149" s="121">
        <f>+L149/M149</f>
        <v>0.48376986031484465</v>
      </c>
      <c r="C149" s="55">
        <f>+C16</f>
        <v>2</v>
      </c>
      <c r="D149" s="51" t="str">
        <f t="shared" si="68"/>
        <v>Auxiliar de Servicio</v>
      </c>
      <c r="E149" s="196">
        <f t="shared" si="69"/>
        <v>484.31280728807866</v>
      </c>
      <c r="F149" s="196">
        <f t="shared" si="70"/>
        <v>242.15640364403933</v>
      </c>
      <c r="G149" s="196">
        <f t="shared" si="71"/>
        <v>243.10125000000002</v>
      </c>
      <c r="H149" s="196">
        <f t="shared" si="72"/>
        <v>121.07820182201966</v>
      </c>
      <c r="I149" s="196">
        <f t="shared" si="73"/>
        <v>40.343256847096953</v>
      </c>
      <c r="J149" s="196">
        <f t="shared" si="74"/>
        <v>54.000878012620774</v>
      </c>
      <c r="K149" s="197">
        <f t="shared" si="75"/>
        <v>3945.8954810820501</v>
      </c>
      <c r="L149" s="818">
        <f>+'1 Estudiantes'!$I$12</f>
        <v>267.07935006239512</v>
      </c>
      <c r="M149" s="50">
        <f t="shared" si="76"/>
        <v>552.07935006239518</v>
      </c>
    </row>
    <row r="150" spans="2:13" x14ac:dyDescent="0.3">
      <c r="B150" s="121">
        <f>+L150/M150</f>
        <v>0.48376986031484465</v>
      </c>
      <c r="C150" s="55">
        <f>+C17</f>
        <v>1</v>
      </c>
      <c r="D150" s="51" t="str">
        <f t="shared" si="68"/>
        <v>Guardia</v>
      </c>
      <c r="E150" s="196">
        <f t="shared" si="69"/>
        <v>699.56294386055799</v>
      </c>
      <c r="F150" s="196">
        <f t="shared" si="70"/>
        <v>349.781471930279</v>
      </c>
      <c r="G150" s="196">
        <f t="shared" si="71"/>
        <v>243.10125000000002</v>
      </c>
      <c r="H150" s="196">
        <f t="shared" si="72"/>
        <v>174.8907359651395</v>
      </c>
      <c r="I150" s="196">
        <f t="shared" si="73"/>
        <v>58.273593223584477</v>
      </c>
      <c r="J150" s="196">
        <f t="shared" si="74"/>
        <v>78.00126824045222</v>
      </c>
      <c r="K150" s="197">
        <f t="shared" si="75"/>
        <v>2797.5444884459844</v>
      </c>
      <c r="L150" s="818">
        <f>+'1 Estudiantes'!$I$12</f>
        <v>267.07935006239512</v>
      </c>
      <c r="M150" s="50">
        <f t="shared" si="76"/>
        <v>552.07935006239518</v>
      </c>
    </row>
    <row r="151" spans="2:13" ht="25.5" customHeight="1" thickBot="1" x14ac:dyDescent="0.35">
      <c r="B151" s="136"/>
      <c r="C151" s="116"/>
      <c r="D151" s="152" t="str">
        <f t="shared" si="68"/>
        <v>TOTAL</v>
      </c>
      <c r="E151" s="214">
        <f>SUM(E136:E150)</f>
        <v>23453.65488093736</v>
      </c>
      <c r="F151" s="214">
        <f>SUM(F136:F150)</f>
        <v>11726.82744046868</v>
      </c>
      <c r="G151" s="214">
        <f>SUM(G136:G150)</f>
        <v>3646.5187500000011</v>
      </c>
      <c r="H151" s="214">
        <f>SUM(H136:H150)</f>
        <v>5863.41372023434</v>
      </c>
      <c r="I151" s="214">
        <f>SUM(I136:I150)</f>
        <v>1953.6894515820813</v>
      </c>
      <c r="J151" s="214"/>
      <c r="K151" s="215">
        <f>SUM(K136:K150)</f>
        <v>333219.90236745542</v>
      </c>
    </row>
    <row r="152" spans="2:13" ht="259.5" hidden="1" customHeight="1" thickBot="1" x14ac:dyDescent="0.35">
      <c r="C152" s="50"/>
    </row>
    <row r="153" spans="2:13" ht="30" hidden="1" customHeight="1" thickBot="1" x14ac:dyDescent="0.35">
      <c r="B153" s="1012">
        <f>+'1 Estudiantes'!J3</f>
        <v>0</v>
      </c>
      <c r="C153" s="1013"/>
      <c r="D153" s="1014"/>
      <c r="E153" s="210" t="s">
        <v>159</v>
      </c>
      <c r="F153" s="383">
        <f>+F134</f>
        <v>1.0135000000000001</v>
      </c>
      <c r="G153" s="165"/>
      <c r="H153" s="165"/>
      <c r="I153" s="165"/>
      <c r="J153" s="165"/>
      <c r="K153" s="165"/>
    </row>
    <row r="154" spans="2:13" ht="33.75" hidden="1" customHeight="1" x14ac:dyDescent="0.3">
      <c r="B154" s="194" t="s">
        <v>209</v>
      </c>
      <c r="C154" s="211" t="s">
        <v>201</v>
      </c>
      <c r="D154" s="158" t="s">
        <v>202</v>
      </c>
      <c r="E154" s="190" t="s">
        <v>203</v>
      </c>
      <c r="F154" s="190" t="s">
        <v>204</v>
      </c>
      <c r="G154" s="190" t="s">
        <v>205</v>
      </c>
      <c r="H154" s="190" t="s">
        <v>206</v>
      </c>
      <c r="I154" s="190" t="s">
        <v>207</v>
      </c>
      <c r="J154" s="190" t="s">
        <v>208</v>
      </c>
      <c r="K154" s="191" t="s">
        <v>115</v>
      </c>
    </row>
    <row r="155" spans="2:13" hidden="1" x14ac:dyDescent="0.3">
      <c r="B155" s="121">
        <f>+B136</f>
        <v>0.48376986031484465</v>
      </c>
      <c r="C155" s="55">
        <f>+C3</f>
        <v>1</v>
      </c>
      <c r="D155" s="51" t="str">
        <f>+D41</f>
        <v>Decano</v>
      </c>
      <c r="E155" s="196">
        <f>+E136</f>
        <v>4175.8526495061005</v>
      </c>
      <c r="F155" s="196">
        <f t="shared" ref="F155:F170" si="77">+E155*12/12/2</f>
        <v>2087.9263247530503</v>
      </c>
      <c r="G155" s="196">
        <f t="shared" ref="G155:G170" si="78">+(394/2)*$F$1</f>
        <v>197</v>
      </c>
      <c r="H155" s="196"/>
      <c r="I155" s="196">
        <f t="shared" ref="I155:I170" si="79">+E155*8.33%/2</f>
        <v>173.92426285192909</v>
      </c>
      <c r="J155" s="196">
        <f t="shared" ref="J155:J170" si="80">+E155*11.15%/2</f>
        <v>232.8037852099651</v>
      </c>
      <c r="K155" s="197">
        <f t="shared" ref="K155:K170" si="81">+((((E155+I155+J155)*6)+F155+G155)*C155)*B155</f>
        <v>14406.865032619326</v>
      </c>
    </row>
    <row r="156" spans="2:13" hidden="1" x14ac:dyDescent="0.3">
      <c r="B156" s="121">
        <f>+B137</f>
        <v>0.48376986031484465</v>
      </c>
      <c r="C156" s="55">
        <f>+C4</f>
        <v>1</v>
      </c>
      <c r="D156" s="51" t="str">
        <f>+D42</f>
        <v>Subdecano</v>
      </c>
      <c r="E156" s="196">
        <f>+E137</f>
        <v>3099.6019666437032</v>
      </c>
      <c r="F156" s="196">
        <f t="shared" si="77"/>
        <v>1549.8009833218518</v>
      </c>
      <c r="G156" s="196"/>
      <c r="H156" s="196"/>
      <c r="I156" s="196">
        <f t="shared" si="79"/>
        <v>129.09842191071024</v>
      </c>
      <c r="J156" s="196">
        <f t="shared" si="80"/>
        <v>172.80280964038647</v>
      </c>
      <c r="K156" s="197">
        <f t="shared" si="81"/>
        <v>10623.015367524597</v>
      </c>
    </row>
    <row r="157" spans="2:13" hidden="1" x14ac:dyDescent="0.3">
      <c r="B157" s="121" t="e">
        <f>+#REF!</f>
        <v>#REF!</v>
      </c>
      <c r="C157" s="55" t="e">
        <f>+#REF!</f>
        <v>#REF!</v>
      </c>
      <c r="D157" s="51" t="e">
        <f>+#REF!</f>
        <v>#REF!</v>
      </c>
      <c r="E157" s="196" t="e">
        <f>+#REF!</f>
        <v>#REF!</v>
      </c>
      <c r="F157" s="196" t="e">
        <f t="shared" si="77"/>
        <v>#REF!</v>
      </c>
      <c r="G157" s="196"/>
      <c r="H157" s="196"/>
      <c r="I157" s="196" t="e">
        <f t="shared" si="79"/>
        <v>#REF!</v>
      </c>
      <c r="J157" s="196" t="e">
        <f t="shared" si="80"/>
        <v>#REF!</v>
      </c>
      <c r="K157" s="197" t="e">
        <f t="shared" si="81"/>
        <v>#REF!</v>
      </c>
    </row>
    <row r="158" spans="2:13" hidden="1" x14ac:dyDescent="0.3">
      <c r="B158" s="121">
        <f t="shared" ref="B158:B170" si="82">+B138</f>
        <v>1</v>
      </c>
      <c r="C158" s="55">
        <f>+C5</f>
        <v>1</v>
      </c>
      <c r="D158" s="51" t="str">
        <f t="shared" ref="D158:D171" si="83">+D43</f>
        <v>Director de Carrera</v>
      </c>
      <c r="E158" s="196">
        <f t="shared" ref="E158:E170" si="84">+E138</f>
        <v>2367.7515022972734</v>
      </c>
      <c r="F158" s="196">
        <f t="shared" si="77"/>
        <v>1183.8757511486367</v>
      </c>
      <c r="G158" s="196">
        <f t="shared" si="78"/>
        <v>197</v>
      </c>
      <c r="H158" s="196"/>
      <c r="I158" s="196">
        <f t="shared" si="79"/>
        <v>98.616850070681437</v>
      </c>
      <c r="J158" s="196">
        <f t="shared" si="80"/>
        <v>132.00214625307299</v>
      </c>
      <c r="K158" s="197">
        <f t="shared" si="81"/>
        <v>16971.098742874805</v>
      </c>
    </row>
    <row r="159" spans="2:13" hidden="1" x14ac:dyDescent="0.3">
      <c r="B159" s="121">
        <f t="shared" si="82"/>
        <v>0.48376986031484465</v>
      </c>
      <c r="C159" s="55">
        <f>+C6</f>
        <v>1</v>
      </c>
      <c r="D159" s="51" t="str">
        <f t="shared" si="83"/>
        <v>Secretario</v>
      </c>
      <c r="E159" s="196">
        <f t="shared" si="84"/>
        <v>1076.2506828623971</v>
      </c>
      <c r="F159" s="196">
        <f t="shared" si="77"/>
        <v>538.12534143119854</v>
      </c>
      <c r="G159" s="196">
        <f t="shared" si="78"/>
        <v>197</v>
      </c>
      <c r="H159" s="196"/>
      <c r="I159" s="196">
        <f t="shared" si="79"/>
        <v>44.825840941218836</v>
      </c>
      <c r="J159" s="196">
        <f t="shared" si="80"/>
        <v>60.000975569578635</v>
      </c>
      <c r="K159" s="197">
        <f t="shared" si="81"/>
        <v>3783.8496650947313</v>
      </c>
    </row>
    <row r="160" spans="2:13" hidden="1" x14ac:dyDescent="0.3">
      <c r="B160" s="121">
        <f t="shared" si="82"/>
        <v>0.48376986031484465</v>
      </c>
      <c r="C160" s="55">
        <f>+C7</f>
        <v>1</v>
      </c>
      <c r="D160" s="51" t="str">
        <f t="shared" si="83"/>
        <v>Auxiliar de Secretaria</v>
      </c>
      <c r="E160" s="196">
        <f t="shared" si="84"/>
        <v>914.8130804330375</v>
      </c>
      <c r="F160" s="196">
        <f t="shared" si="77"/>
        <v>457.40654021651875</v>
      </c>
      <c r="G160" s="196">
        <f t="shared" si="78"/>
        <v>197</v>
      </c>
      <c r="H160" s="196"/>
      <c r="I160" s="196">
        <f t="shared" si="79"/>
        <v>38.101964800036008</v>
      </c>
      <c r="J160" s="196">
        <f t="shared" si="80"/>
        <v>51.00082923414184</v>
      </c>
      <c r="K160" s="197">
        <f t="shared" si="81"/>
        <v>3230.5676147028257</v>
      </c>
    </row>
    <row r="161" spans="2:11" hidden="1" x14ac:dyDescent="0.3">
      <c r="B161" s="121">
        <f t="shared" si="82"/>
        <v>0.48376986031484465</v>
      </c>
      <c r="C161" s="55">
        <f>+C8</f>
        <v>1</v>
      </c>
      <c r="D161" s="51" t="str">
        <f t="shared" si="83"/>
        <v xml:space="preserve">Coordinador  </v>
      </c>
      <c r="E161" s="196">
        <f t="shared" si="84"/>
        <v>968.62561457615732</v>
      </c>
      <c r="F161" s="196">
        <f t="shared" si="77"/>
        <v>484.31280728807866</v>
      </c>
      <c r="G161" s="196">
        <f t="shared" si="78"/>
        <v>197</v>
      </c>
      <c r="H161" s="196"/>
      <c r="I161" s="196">
        <f t="shared" si="79"/>
        <v>40.343256847096953</v>
      </c>
      <c r="J161" s="196">
        <f t="shared" si="80"/>
        <v>54.000878012620774</v>
      </c>
      <c r="K161" s="197">
        <f t="shared" si="81"/>
        <v>3414.9949648334614</v>
      </c>
    </row>
    <row r="162" spans="2:11" hidden="1" x14ac:dyDescent="0.3">
      <c r="B162" s="121">
        <f t="shared" si="82"/>
        <v>0.48376986031484465</v>
      </c>
      <c r="C162" s="55">
        <f>+C9</f>
        <v>1</v>
      </c>
      <c r="D162" s="51" t="str">
        <f t="shared" si="83"/>
        <v>Bienestar Estudiantil</v>
      </c>
      <c r="E162" s="196">
        <f t="shared" si="84"/>
        <v>968.62561457615732</v>
      </c>
      <c r="F162" s="196">
        <f t="shared" si="77"/>
        <v>484.31280728807866</v>
      </c>
      <c r="G162" s="196">
        <f t="shared" si="78"/>
        <v>197</v>
      </c>
      <c r="H162" s="196"/>
      <c r="I162" s="196">
        <f t="shared" si="79"/>
        <v>40.343256847096953</v>
      </c>
      <c r="J162" s="196">
        <f t="shared" si="80"/>
        <v>54.000878012620774</v>
      </c>
      <c r="K162" s="197">
        <f t="shared" si="81"/>
        <v>3414.9949648334614</v>
      </c>
    </row>
    <row r="163" spans="2:11" hidden="1" x14ac:dyDescent="0.3">
      <c r="B163" s="121">
        <f t="shared" si="82"/>
        <v>1</v>
      </c>
      <c r="C163" s="55" t="e">
        <f>+'5 Demanda'!#REF!</f>
        <v>#REF!</v>
      </c>
      <c r="D163" s="51" t="str">
        <f t="shared" si="83"/>
        <v>Tiempo Completo PhD</v>
      </c>
      <c r="E163" s="196">
        <f t="shared" si="84"/>
        <v>3013.5019120147122</v>
      </c>
      <c r="F163" s="196">
        <f t="shared" si="77"/>
        <v>1506.7509560073561</v>
      </c>
      <c r="G163" s="196">
        <f t="shared" si="78"/>
        <v>197</v>
      </c>
      <c r="H163" s="196"/>
      <c r="I163" s="196">
        <f t="shared" si="79"/>
        <v>125.51235463541276</v>
      </c>
      <c r="J163" s="196">
        <f t="shared" si="80"/>
        <v>168.0027315948202</v>
      </c>
      <c r="K163" s="197" t="e">
        <f t="shared" si="81"/>
        <v>#REF!</v>
      </c>
    </row>
    <row r="164" spans="2:11" hidden="1" x14ac:dyDescent="0.3">
      <c r="B164" s="121">
        <f t="shared" si="82"/>
        <v>1</v>
      </c>
      <c r="C164" s="55" t="e">
        <f>+'5 Demanda'!#REF!</f>
        <v>#REF!</v>
      </c>
      <c r="D164" s="51" t="str">
        <f t="shared" si="83"/>
        <v>Tiempo Completo Mgs.</v>
      </c>
      <c r="E164" s="196">
        <f t="shared" si="84"/>
        <v>1937.2512291523146</v>
      </c>
      <c r="F164" s="196">
        <f t="shared" si="77"/>
        <v>968.62561457615732</v>
      </c>
      <c r="G164" s="196">
        <f t="shared" si="78"/>
        <v>197</v>
      </c>
      <c r="H164" s="196"/>
      <c r="I164" s="196">
        <f t="shared" si="79"/>
        <v>80.686513694193906</v>
      </c>
      <c r="J164" s="196">
        <f t="shared" si="80"/>
        <v>108.00175602524155</v>
      </c>
      <c r="K164" s="197" t="e">
        <f t="shared" si="81"/>
        <v>#REF!</v>
      </c>
    </row>
    <row r="165" spans="2:11" hidden="1" x14ac:dyDescent="0.3">
      <c r="B165" s="121">
        <f t="shared" si="82"/>
        <v>1</v>
      </c>
      <c r="C165" s="55" t="e">
        <f>+'5 Demanda'!#REF!</f>
        <v>#REF!</v>
      </c>
      <c r="D165" s="51" t="str">
        <f t="shared" si="83"/>
        <v>Medio Tiempo</v>
      </c>
      <c r="E165" s="196">
        <f t="shared" si="84"/>
        <v>968.62561457615732</v>
      </c>
      <c r="F165" s="196">
        <f t="shared" si="77"/>
        <v>484.31280728807866</v>
      </c>
      <c r="G165" s="196">
        <f t="shared" si="78"/>
        <v>197</v>
      </c>
      <c r="H165" s="196"/>
      <c r="I165" s="196">
        <f t="shared" si="79"/>
        <v>40.343256847096953</v>
      </c>
      <c r="J165" s="196">
        <f t="shared" si="80"/>
        <v>54.000878012620774</v>
      </c>
      <c r="K165" s="197" t="e">
        <f t="shared" si="81"/>
        <v>#REF!</v>
      </c>
    </row>
    <row r="166" spans="2:11" hidden="1" x14ac:dyDescent="0.3">
      <c r="B166" s="121">
        <f t="shared" si="82"/>
        <v>1</v>
      </c>
      <c r="C166" s="55" t="e">
        <f>+'5 Demanda'!#REF!</f>
        <v>#REF!</v>
      </c>
      <c r="D166" s="51" t="str">
        <f t="shared" si="83"/>
        <v>Tiempo Parcial</v>
      </c>
      <c r="E166" s="196">
        <f t="shared" si="84"/>
        <v>464.94029499655551</v>
      </c>
      <c r="F166" s="196">
        <f t="shared" si="77"/>
        <v>232.47014749827773</v>
      </c>
      <c r="G166" s="196">
        <f t="shared" si="78"/>
        <v>197</v>
      </c>
      <c r="H166" s="196"/>
      <c r="I166" s="196">
        <f t="shared" si="79"/>
        <v>19.364763286606536</v>
      </c>
      <c r="J166" s="196">
        <f t="shared" si="80"/>
        <v>25.920421446057968</v>
      </c>
      <c r="K166" s="197" t="e">
        <f t="shared" si="81"/>
        <v>#REF!</v>
      </c>
    </row>
    <row r="167" spans="2:11" hidden="1" x14ac:dyDescent="0.3">
      <c r="B167" s="121">
        <f t="shared" si="82"/>
        <v>1</v>
      </c>
      <c r="C167" s="55" t="e">
        <f>+'1 Estudiantes'!#REF!</f>
        <v>#REF!</v>
      </c>
      <c r="D167" s="51" t="str">
        <f t="shared" si="83"/>
        <v>Ocasional Tipo 2 (Técnico Docente)</v>
      </c>
      <c r="E167" s="196">
        <f t="shared" si="84"/>
        <v>1452.9384218642363</v>
      </c>
      <c r="F167" s="196">
        <f t="shared" si="77"/>
        <v>726.46921093211813</v>
      </c>
      <c r="G167" s="196">
        <f t="shared" si="78"/>
        <v>197</v>
      </c>
      <c r="H167" s="196"/>
      <c r="I167" s="196">
        <f t="shared" si="79"/>
        <v>60.514885270645436</v>
      </c>
      <c r="J167" s="196">
        <f t="shared" si="80"/>
        <v>81.001317018931175</v>
      </c>
      <c r="K167" s="197" t="e">
        <f t="shared" si="81"/>
        <v>#REF!</v>
      </c>
    </row>
    <row r="168" spans="2:11" hidden="1" x14ac:dyDescent="0.3">
      <c r="B168" s="121">
        <f t="shared" si="82"/>
        <v>0.48376986031484465</v>
      </c>
      <c r="C168" s="55">
        <f>+C15</f>
        <v>1</v>
      </c>
      <c r="D168" s="51" t="str">
        <f t="shared" si="83"/>
        <v>Bibliotecario</v>
      </c>
      <c r="E168" s="196">
        <f t="shared" si="84"/>
        <v>861.00054628991757</v>
      </c>
      <c r="F168" s="196">
        <f t="shared" si="77"/>
        <v>430.50027314495878</v>
      </c>
      <c r="G168" s="196">
        <f t="shared" si="78"/>
        <v>197</v>
      </c>
      <c r="H168" s="196"/>
      <c r="I168" s="196">
        <f t="shared" si="79"/>
        <v>35.860672752975063</v>
      </c>
      <c r="J168" s="196">
        <f t="shared" si="80"/>
        <v>48.000780455662905</v>
      </c>
      <c r="K168" s="197">
        <f t="shared" si="81"/>
        <v>3046.1402645721896</v>
      </c>
    </row>
    <row r="169" spans="2:11" hidden="1" x14ac:dyDescent="0.3">
      <c r="B169" s="121">
        <f t="shared" si="82"/>
        <v>0.48376986031484465</v>
      </c>
      <c r="C169" s="55">
        <f>+C16</f>
        <v>2</v>
      </c>
      <c r="D169" s="51" t="str">
        <f t="shared" si="83"/>
        <v>Auxiliar de Servicio</v>
      </c>
      <c r="E169" s="196">
        <f t="shared" si="84"/>
        <v>484.31280728807866</v>
      </c>
      <c r="F169" s="196">
        <f t="shared" si="77"/>
        <v>242.15640364403933</v>
      </c>
      <c r="G169" s="196">
        <f t="shared" si="78"/>
        <v>197</v>
      </c>
      <c r="H169" s="196"/>
      <c r="I169" s="196">
        <f t="shared" si="79"/>
        <v>20.171628423548476</v>
      </c>
      <c r="J169" s="196">
        <f t="shared" si="80"/>
        <v>27.000439006310387</v>
      </c>
      <c r="K169" s="197">
        <f t="shared" si="81"/>
        <v>3510.2976273154854</v>
      </c>
    </row>
    <row r="170" spans="2:11" hidden="1" x14ac:dyDescent="0.3">
      <c r="B170" s="121">
        <f t="shared" si="82"/>
        <v>0.48376986031484465</v>
      </c>
      <c r="C170" s="55">
        <f>+C17</f>
        <v>1</v>
      </c>
      <c r="D170" s="51" t="str">
        <f t="shared" si="83"/>
        <v>Guardia</v>
      </c>
      <c r="E170" s="196">
        <f t="shared" si="84"/>
        <v>699.56294386055799</v>
      </c>
      <c r="F170" s="196">
        <f t="shared" si="77"/>
        <v>349.781471930279</v>
      </c>
      <c r="G170" s="196">
        <f t="shared" si="78"/>
        <v>197</v>
      </c>
      <c r="H170" s="196"/>
      <c r="I170" s="196">
        <f t="shared" si="79"/>
        <v>29.136796611792239</v>
      </c>
      <c r="J170" s="196">
        <f t="shared" si="80"/>
        <v>39.00063412022611</v>
      </c>
      <c r="K170" s="197">
        <f t="shared" si="81"/>
        <v>2492.8582141802831</v>
      </c>
    </row>
    <row r="171" spans="2:11" ht="27.75" hidden="1" customHeight="1" thickBot="1" x14ac:dyDescent="0.35">
      <c r="B171" s="136"/>
      <c r="C171" s="139"/>
      <c r="D171" s="152" t="str">
        <f t="shared" si="83"/>
        <v>TOTAL</v>
      </c>
      <c r="E171" s="214" t="e">
        <f>SUM(E155:E170)</f>
        <v>#REF!</v>
      </c>
      <c r="F171" s="214" t="e">
        <f>SUM(F155:F170)</f>
        <v>#REF!</v>
      </c>
      <c r="G171" s="214">
        <f>SUM(G155:G170)</f>
        <v>2758</v>
      </c>
      <c r="H171" s="214">
        <f>SUM(H155:H170)</f>
        <v>0</v>
      </c>
      <c r="I171" s="214" t="e">
        <f>SUM(I155:I170)</f>
        <v>#REF!</v>
      </c>
      <c r="J171" s="214"/>
      <c r="K171" s="215" t="e">
        <f>SUM(K155:K170)</f>
        <v>#REF!</v>
      </c>
    </row>
    <row r="172" spans="2:11" hidden="1" x14ac:dyDescent="0.3"/>
    <row r="173" spans="2:11" ht="27" hidden="1" customHeight="1" thickBot="1" x14ac:dyDescent="0.35">
      <c r="B173" s="1012">
        <f>+'1 Estudiantes'!K3</f>
        <v>0</v>
      </c>
      <c r="C173" s="1013"/>
      <c r="D173" s="1014"/>
      <c r="E173" s="210" t="s">
        <v>159</v>
      </c>
      <c r="F173" s="383">
        <f>+Inflación!C15/100+1</f>
        <v>1.0053000000000001</v>
      </c>
      <c r="G173" s="165"/>
      <c r="H173" s="165"/>
      <c r="I173" s="165"/>
      <c r="J173" s="165"/>
      <c r="K173" s="165"/>
    </row>
    <row r="174" spans="2:11" ht="46.8" hidden="1" x14ac:dyDescent="0.3">
      <c r="B174" s="194" t="s">
        <v>209</v>
      </c>
      <c r="C174" s="211" t="s">
        <v>201</v>
      </c>
      <c r="D174" s="158" t="s">
        <v>202</v>
      </c>
      <c r="E174" s="190" t="s">
        <v>203</v>
      </c>
      <c r="F174" s="190" t="s">
        <v>204</v>
      </c>
      <c r="G174" s="190" t="s">
        <v>205</v>
      </c>
      <c r="H174" s="190" t="s">
        <v>206</v>
      </c>
      <c r="I174" s="190" t="s">
        <v>207</v>
      </c>
      <c r="J174" s="190" t="s">
        <v>208</v>
      </c>
      <c r="K174" s="191" t="s">
        <v>115</v>
      </c>
    </row>
    <row r="175" spans="2:11" hidden="1" x14ac:dyDescent="0.3">
      <c r="B175" s="121">
        <f t="shared" ref="B175:B190" si="85">+B155</f>
        <v>0.48376986031484465</v>
      </c>
      <c r="C175" s="55">
        <f>+C3</f>
        <v>1</v>
      </c>
      <c r="D175" s="51" t="str">
        <f>+D60</f>
        <v>Decano</v>
      </c>
      <c r="E175" s="196">
        <f t="shared" ref="E175:E190" si="86">+E155*$F$173</f>
        <v>4197.9846685484836</v>
      </c>
      <c r="F175" s="196">
        <f t="shared" ref="F175:F190" si="87">+E175*12/12/2</f>
        <v>2098.9923342742418</v>
      </c>
      <c r="G175" s="196">
        <f t="shared" ref="G175:G190" si="88">+(394/2)*$F$1</f>
        <v>197</v>
      </c>
      <c r="H175" s="196"/>
      <c r="I175" s="196">
        <f t="shared" ref="I175:I190" si="89">+E175*8.33%/2</f>
        <v>174.84606144504434</v>
      </c>
      <c r="J175" s="196">
        <f t="shared" ref="J175:J190" si="90">+E175*11.15%/2</f>
        <v>234.03764527157796</v>
      </c>
      <c r="K175" s="197">
        <f t="shared" ref="K175:K190" si="91">+((((E175+I175+J175)*6)+F175+G175)*C175)*B175</f>
        <v>14482.716313181058</v>
      </c>
    </row>
    <row r="176" spans="2:11" hidden="1" x14ac:dyDescent="0.3">
      <c r="B176" s="121">
        <f t="shared" si="85"/>
        <v>0.48376986031484465</v>
      </c>
      <c r="C176" s="55">
        <f>+C4</f>
        <v>1</v>
      </c>
      <c r="D176" s="51" t="str">
        <f>+D61</f>
        <v>Subdecano</v>
      </c>
      <c r="E176" s="196">
        <f t="shared" si="86"/>
        <v>3116.0298570669152</v>
      </c>
      <c r="F176" s="196">
        <f t="shared" si="87"/>
        <v>1558.0149285334576</v>
      </c>
      <c r="G176" s="196"/>
      <c r="H176" s="196"/>
      <c r="I176" s="196">
        <f t="shared" si="89"/>
        <v>129.78264354683702</v>
      </c>
      <c r="J176" s="196">
        <f t="shared" si="90"/>
        <v>173.71866453148053</v>
      </c>
      <c r="K176" s="197">
        <f t="shared" si="91"/>
        <v>10679.317348972478</v>
      </c>
    </row>
    <row r="177" spans="2:11" hidden="1" x14ac:dyDescent="0.3">
      <c r="B177" s="121" t="e">
        <f t="shared" si="85"/>
        <v>#REF!</v>
      </c>
      <c r="C177" s="55" t="e">
        <f>+#REF!</f>
        <v>#REF!</v>
      </c>
      <c r="D177" s="51" t="e">
        <f>+#REF!</f>
        <v>#REF!</v>
      </c>
      <c r="E177" s="196" t="e">
        <f t="shared" si="86"/>
        <v>#REF!</v>
      </c>
      <c r="F177" s="196" t="e">
        <f t="shared" si="87"/>
        <v>#REF!</v>
      </c>
      <c r="G177" s="196"/>
      <c r="H177" s="196"/>
      <c r="I177" s="196" t="e">
        <f t="shared" si="89"/>
        <v>#REF!</v>
      </c>
      <c r="J177" s="196" t="e">
        <f t="shared" si="90"/>
        <v>#REF!</v>
      </c>
      <c r="K177" s="197" t="e">
        <f t="shared" si="91"/>
        <v>#REF!</v>
      </c>
    </row>
    <row r="178" spans="2:11" hidden="1" x14ac:dyDescent="0.3">
      <c r="B178" s="121">
        <f t="shared" si="85"/>
        <v>1</v>
      </c>
      <c r="C178" s="55">
        <f>+C5</f>
        <v>1</v>
      </c>
      <c r="D178" s="51" t="str">
        <f t="shared" ref="D178:D191" si="92">+D62</f>
        <v>Director de Carrera</v>
      </c>
      <c r="E178" s="196">
        <f t="shared" si="86"/>
        <v>2380.3005852594492</v>
      </c>
      <c r="F178" s="196">
        <f t="shared" si="87"/>
        <v>1190.1502926297246</v>
      </c>
      <c r="G178" s="196">
        <f t="shared" si="88"/>
        <v>197</v>
      </c>
      <c r="H178" s="196"/>
      <c r="I178" s="196">
        <f t="shared" si="89"/>
        <v>99.139519376056057</v>
      </c>
      <c r="J178" s="196">
        <f t="shared" si="90"/>
        <v>132.7017576282143</v>
      </c>
      <c r="K178" s="197">
        <f t="shared" si="91"/>
        <v>17060.001466212041</v>
      </c>
    </row>
    <row r="179" spans="2:11" hidden="1" x14ac:dyDescent="0.3">
      <c r="B179" s="121">
        <f t="shared" si="85"/>
        <v>0.48376986031484465</v>
      </c>
      <c r="C179" s="55">
        <f>+C6</f>
        <v>1</v>
      </c>
      <c r="D179" s="51" t="str">
        <f t="shared" si="92"/>
        <v>Secretario</v>
      </c>
      <c r="E179" s="196">
        <f t="shared" si="86"/>
        <v>1081.954811481568</v>
      </c>
      <c r="F179" s="196">
        <f t="shared" si="87"/>
        <v>540.97740574078398</v>
      </c>
      <c r="G179" s="196">
        <f t="shared" si="88"/>
        <v>197</v>
      </c>
      <c r="H179" s="196"/>
      <c r="I179" s="196">
        <f t="shared" si="89"/>
        <v>45.063417898207305</v>
      </c>
      <c r="J179" s="196">
        <f t="shared" si="90"/>
        <v>60.318980740097416</v>
      </c>
      <c r="K179" s="197">
        <f t="shared" si="91"/>
        <v>3803.3989642085794</v>
      </c>
    </row>
    <row r="180" spans="2:11" hidden="1" x14ac:dyDescent="0.3">
      <c r="B180" s="121">
        <f t="shared" si="85"/>
        <v>0.48376986031484465</v>
      </c>
      <c r="C180" s="55">
        <f>+C7</f>
        <v>1</v>
      </c>
      <c r="D180" s="51" t="str">
        <f t="shared" si="92"/>
        <v>Auxiliar de Secretaria</v>
      </c>
      <c r="E180" s="196">
        <f t="shared" si="86"/>
        <v>919.66158975933263</v>
      </c>
      <c r="F180" s="196">
        <f t="shared" si="87"/>
        <v>459.83079487966626</v>
      </c>
      <c r="G180" s="196">
        <f t="shared" si="88"/>
        <v>197</v>
      </c>
      <c r="H180" s="196"/>
      <c r="I180" s="196">
        <f t="shared" si="89"/>
        <v>38.303905213476206</v>
      </c>
      <c r="J180" s="196">
        <f t="shared" si="90"/>
        <v>51.271133629082797</v>
      </c>
      <c r="K180" s="197">
        <f t="shared" si="91"/>
        <v>3247.1845189495962</v>
      </c>
    </row>
    <row r="181" spans="2:11" hidden="1" x14ac:dyDescent="0.3">
      <c r="B181" s="121">
        <f t="shared" si="85"/>
        <v>0.48376986031484465</v>
      </c>
      <c r="C181" s="55">
        <f>+C8</f>
        <v>1</v>
      </c>
      <c r="D181" s="51" t="str">
        <f t="shared" si="92"/>
        <v xml:space="preserve">Coordinador  </v>
      </c>
      <c r="E181" s="196">
        <f t="shared" si="86"/>
        <v>973.75933033341107</v>
      </c>
      <c r="F181" s="196">
        <f t="shared" si="87"/>
        <v>486.87966516670554</v>
      </c>
      <c r="G181" s="196">
        <f t="shared" si="88"/>
        <v>197</v>
      </c>
      <c r="H181" s="196"/>
      <c r="I181" s="196">
        <f t="shared" si="89"/>
        <v>40.557076108386568</v>
      </c>
      <c r="J181" s="196">
        <f t="shared" si="90"/>
        <v>54.28708266608767</v>
      </c>
      <c r="K181" s="197">
        <f t="shared" si="91"/>
        <v>3432.5893340359235</v>
      </c>
    </row>
    <row r="182" spans="2:11" hidden="1" x14ac:dyDescent="0.3">
      <c r="B182" s="121">
        <f t="shared" si="85"/>
        <v>0.48376986031484465</v>
      </c>
      <c r="C182" s="55">
        <f>+C9</f>
        <v>1</v>
      </c>
      <c r="D182" s="51" t="str">
        <f t="shared" si="92"/>
        <v>Bienestar Estudiantil</v>
      </c>
      <c r="E182" s="196">
        <f t="shared" si="86"/>
        <v>973.75933033341107</v>
      </c>
      <c r="F182" s="196">
        <f t="shared" si="87"/>
        <v>486.87966516670554</v>
      </c>
      <c r="G182" s="196">
        <f t="shared" si="88"/>
        <v>197</v>
      </c>
      <c r="H182" s="196"/>
      <c r="I182" s="196">
        <f t="shared" si="89"/>
        <v>40.557076108386568</v>
      </c>
      <c r="J182" s="196">
        <f t="shared" si="90"/>
        <v>54.28708266608767</v>
      </c>
      <c r="K182" s="197">
        <f t="shared" si="91"/>
        <v>3432.5893340359235</v>
      </c>
    </row>
    <row r="183" spans="2:11" hidden="1" x14ac:dyDescent="0.3">
      <c r="B183" s="121">
        <f t="shared" si="85"/>
        <v>1</v>
      </c>
      <c r="C183" s="55" t="e">
        <f>+'5 Demanda'!#REF!</f>
        <v>#REF!</v>
      </c>
      <c r="D183" s="51" t="str">
        <f t="shared" si="92"/>
        <v>Tiempo Completo PhD</v>
      </c>
      <c r="E183" s="196">
        <f t="shared" si="86"/>
        <v>3029.4734721483906</v>
      </c>
      <c r="F183" s="196">
        <f t="shared" si="87"/>
        <v>1514.7367360741953</v>
      </c>
      <c r="G183" s="196">
        <f t="shared" si="88"/>
        <v>197</v>
      </c>
      <c r="H183" s="196"/>
      <c r="I183" s="196">
        <f t="shared" si="89"/>
        <v>126.17757011498047</v>
      </c>
      <c r="J183" s="196">
        <f t="shared" si="90"/>
        <v>168.89314607227277</v>
      </c>
      <c r="K183" s="197" t="e">
        <f t="shared" si="91"/>
        <v>#REF!</v>
      </c>
    </row>
    <row r="184" spans="2:11" hidden="1" x14ac:dyDescent="0.3">
      <c r="B184" s="121">
        <f t="shared" si="85"/>
        <v>1</v>
      </c>
      <c r="C184" s="55" t="e">
        <f>+'5 Demanda'!#REF!</f>
        <v>#REF!</v>
      </c>
      <c r="D184" s="51" t="str">
        <f t="shared" si="92"/>
        <v>Tiempo Completo Mgs.</v>
      </c>
      <c r="E184" s="196">
        <f t="shared" si="86"/>
        <v>1947.5186606668221</v>
      </c>
      <c r="F184" s="196">
        <f t="shared" si="87"/>
        <v>973.75933033341107</v>
      </c>
      <c r="G184" s="196">
        <f t="shared" si="88"/>
        <v>197</v>
      </c>
      <c r="H184" s="196"/>
      <c r="I184" s="196">
        <f t="shared" si="89"/>
        <v>81.114152216773135</v>
      </c>
      <c r="J184" s="196">
        <f t="shared" si="90"/>
        <v>108.57416533217534</v>
      </c>
      <c r="K184" s="197" t="e">
        <f t="shared" si="91"/>
        <v>#REF!</v>
      </c>
    </row>
    <row r="185" spans="2:11" hidden="1" x14ac:dyDescent="0.3">
      <c r="B185" s="121">
        <f t="shared" si="85"/>
        <v>1</v>
      </c>
      <c r="C185" s="55" t="e">
        <f>+'5 Demanda'!#REF!</f>
        <v>#REF!</v>
      </c>
      <c r="D185" s="51" t="str">
        <f t="shared" si="92"/>
        <v>Medio Tiempo</v>
      </c>
      <c r="E185" s="196">
        <f t="shared" si="86"/>
        <v>973.75933033341107</v>
      </c>
      <c r="F185" s="196">
        <f t="shared" si="87"/>
        <v>486.87966516670554</v>
      </c>
      <c r="G185" s="196">
        <f t="shared" si="88"/>
        <v>197</v>
      </c>
      <c r="H185" s="196"/>
      <c r="I185" s="196">
        <f t="shared" si="89"/>
        <v>40.557076108386568</v>
      </c>
      <c r="J185" s="196">
        <f t="shared" si="90"/>
        <v>54.28708266608767</v>
      </c>
      <c r="K185" s="197" t="e">
        <f t="shared" si="91"/>
        <v>#REF!</v>
      </c>
    </row>
    <row r="186" spans="2:11" hidden="1" x14ac:dyDescent="0.3">
      <c r="B186" s="121">
        <f t="shared" si="85"/>
        <v>1</v>
      </c>
      <c r="C186" s="55" t="e">
        <f>+'5 Demanda'!#REF!</f>
        <v>#REF!</v>
      </c>
      <c r="D186" s="51" t="str">
        <f t="shared" si="92"/>
        <v>Tiempo Parcial</v>
      </c>
      <c r="E186" s="196">
        <f t="shared" si="86"/>
        <v>467.40447856003732</v>
      </c>
      <c r="F186" s="196">
        <f t="shared" si="87"/>
        <v>233.70223928001869</v>
      </c>
      <c r="G186" s="196">
        <f t="shared" si="88"/>
        <v>197</v>
      </c>
      <c r="H186" s="196"/>
      <c r="I186" s="196">
        <f t="shared" si="89"/>
        <v>19.467396532025553</v>
      </c>
      <c r="J186" s="196">
        <f t="shared" si="90"/>
        <v>26.057799679722081</v>
      </c>
      <c r="K186" s="197" t="e">
        <f t="shared" si="91"/>
        <v>#REF!</v>
      </c>
    </row>
    <row r="187" spans="2:11" hidden="1" x14ac:dyDescent="0.3">
      <c r="B187" s="121">
        <f t="shared" si="85"/>
        <v>1</v>
      </c>
      <c r="C187" s="55">
        <f>+'1 Estudiantes'!K30</f>
        <v>0</v>
      </c>
      <c r="D187" s="51" t="str">
        <f t="shared" si="92"/>
        <v>Ocasional Tipo 2 (Técnico Docente)</v>
      </c>
      <c r="E187" s="196">
        <f t="shared" si="86"/>
        <v>1460.6389955001168</v>
      </c>
      <c r="F187" s="196">
        <f t="shared" si="87"/>
        <v>730.31949775005842</v>
      </c>
      <c r="G187" s="196">
        <f t="shared" si="88"/>
        <v>197</v>
      </c>
      <c r="H187" s="196"/>
      <c r="I187" s="196">
        <f t="shared" si="89"/>
        <v>60.835614162579866</v>
      </c>
      <c r="J187" s="196">
        <f t="shared" si="90"/>
        <v>81.430623999131512</v>
      </c>
      <c r="K187" s="197">
        <f t="shared" si="91"/>
        <v>0</v>
      </c>
    </row>
    <row r="188" spans="2:11" hidden="1" x14ac:dyDescent="0.3">
      <c r="B188" s="121">
        <f t="shared" si="85"/>
        <v>0.48376986031484465</v>
      </c>
      <c r="C188" s="55">
        <f>+C15</f>
        <v>1</v>
      </c>
      <c r="D188" s="51" t="str">
        <f t="shared" si="92"/>
        <v>Bibliotecario</v>
      </c>
      <c r="E188" s="196">
        <f t="shared" si="86"/>
        <v>865.56384918525418</v>
      </c>
      <c r="F188" s="196">
        <f t="shared" si="87"/>
        <v>432.78192459262709</v>
      </c>
      <c r="G188" s="196">
        <f t="shared" si="88"/>
        <v>197</v>
      </c>
      <c r="H188" s="196"/>
      <c r="I188" s="196">
        <f t="shared" si="89"/>
        <v>36.050734318565837</v>
      </c>
      <c r="J188" s="196">
        <f t="shared" si="90"/>
        <v>48.255184592077924</v>
      </c>
      <c r="K188" s="197">
        <f t="shared" si="91"/>
        <v>3061.779703863268</v>
      </c>
    </row>
    <row r="189" spans="2:11" hidden="1" x14ac:dyDescent="0.3">
      <c r="B189" s="121">
        <f t="shared" si="85"/>
        <v>0.48376986031484465</v>
      </c>
      <c r="C189" s="55">
        <f>+C16</f>
        <v>2</v>
      </c>
      <c r="D189" s="51" t="str">
        <f t="shared" si="92"/>
        <v>Auxiliar de Servicio</v>
      </c>
      <c r="E189" s="196">
        <f t="shared" si="86"/>
        <v>486.87966516670554</v>
      </c>
      <c r="F189" s="196">
        <f t="shared" si="87"/>
        <v>243.43983258335277</v>
      </c>
      <c r="G189" s="196">
        <f t="shared" si="88"/>
        <v>197</v>
      </c>
      <c r="H189" s="196"/>
      <c r="I189" s="196">
        <f t="shared" si="89"/>
        <v>20.278538054193284</v>
      </c>
      <c r="J189" s="196">
        <f t="shared" si="90"/>
        <v>27.143541333043835</v>
      </c>
      <c r="K189" s="197">
        <f t="shared" si="91"/>
        <v>3527.8919965179475</v>
      </c>
    </row>
    <row r="190" spans="2:11" hidden="1" x14ac:dyDescent="0.3">
      <c r="B190" s="121">
        <f t="shared" si="85"/>
        <v>0.48376986031484465</v>
      </c>
      <c r="C190" s="55">
        <f>+C17</f>
        <v>1</v>
      </c>
      <c r="D190" s="51" t="str">
        <f t="shared" si="92"/>
        <v>Guardia</v>
      </c>
      <c r="E190" s="196">
        <f t="shared" si="86"/>
        <v>703.27062746301897</v>
      </c>
      <c r="F190" s="196">
        <f t="shared" si="87"/>
        <v>351.63531373150948</v>
      </c>
      <c r="G190" s="196">
        <f t="shared" si="88"/>
        <v>197</v>
      </c>
      <c r="H190" s="196"/>
      <c r="I190" s="196">
        <f t="shared" si="89"/>
        <v>29.291221633834741</v>
      </c>
      <c r="J190" s="196">
        <f t="shared" si="90"/>
        <v>39.207337481063306</v>
      </c>
      <c r="K190" s="197">
        <f t="shared" si="91"/>
        <v>2505.5652586042843</v>
      </c>
    </row>
    <row r="191" spans="2:11" ht="26.25" hidden="1" customHeight="1" thickBot="1" x14ac:dyDescent="0.35">
      <c r="B191" s="136"/>
      <c r="C191" s="139"/>
      <c r="D191" s="152" t="str">
        <f t="shared" si="92"/>
        <v>TOTAL</v>
      </c>
      <c r="E191" s="214" t="e">
        <f>SUM(E175:E190)</f>
        <v>#REF!</v>
      </c>
      <c r="F191" s="214" t="e">
        <f t="shared" ref="F191:K191" si="93">SUM(F175:F190)</f>
        <v>#REF!</v>
      </c>
      <c r="G191" s="214">
        <f t="shared" si="93"/>
        <v>2758</v>
      </c>
      <c r="H191" s="214">
        <f t="shared" si="93"/>
        <v>0</v>
      </c>
      <c r="I191" s="214" t="e">
        <f t="shared" si="93"/>
        <v>#REF!</v>
      </c>
      <c r="J191" s="214"/>
      <c r="K191" s="215" t="e">
        <f t="shared" si="93"/>
        <v>#REF!</v>
      </c>
    </row>
    <row r="192" spans="2:11" ht="27" customHeight="1" thickBot="1" x14ac:dyDescent="0.35"/>
    <row r="193" spans="2:14" ht="23.25" customHeight="1" thickBot="1" x14ac:dyDescent="0.35">
      <c r="B193" s="962" t="s">
        <v>495</v>
      </c>
      <c r="C193" s="963"/>
      <c r="D193" s="963"/>
      <c r="E193" s="963"/>
      <c r="F193" s="963"/>
      <c r="G193" s="963"/>
      <c r="H193" s="963"/>
      <c r="I193" s="963"/>
      <c r="J193" s="963"/>
      <c r="K193" s="963"/>
      <c r="L193" s="969"/>
      <c r="M193" s="120"/>
      <c r="N193" s="58"/>
    </row>
    <row r="194" spans="2:14" ht="47.4" thickBot="1" x14ac:dyDescent="0.35">
      <c r="B194" s="216" t="str">
        <f t="shared" ref="B194:C196" si="94">+B174</f>
        <v>N° CARRERAS</v>
      </c>
      <c r="C194" s="217" t="str">
        <f t="shared" si="94"/>
        <v>Nº</v>
      </c>
      <c r="D194" s="130" t="s">
        <v>494</v>
      </c>
      <c r="E194" s="130">
        <f>+'1 Estudiantes'!B3</f>
        <v>2023</v>
      </c>
      <c r="F194" s="130">
        <f>+'1 Estudiantes'!C3</f>
        <v>2023</v>
      </c>
      <c r="G194" s="130">
        <f>+'1 Estudiantes'!D3</f>
        <v>2024</v>
      </c>
      <c r="H194" s="130">
        <f>+'1 Estudiantes'!E3</f>
        <v>2024</v>
      </c>
      <c r="I194" s="130">
        <f>+'1 Estudiantes'!F3</f>
        <v>2025</v>
      </c>
      <c r="J194" s="130">
        <f>+'1 Estudiantes'!G3</f>
        <v>2025</v>
      </c>
      <c r="K194" s="130">
        <f>+'1 Estudiantes'!H3</f>
        <v>2026</v>
      </c>
      <c r="L194" s="813">
        <f>+'1 Estudiantes'!I3</f>
        <v>2026</v>
      </c>
      <c r="M194" s="810"/>
    </row>
    <row r="195" spans="2:14" x14ac:dyDescent="0.3">
      <c r="B195" s="203">
        <f t="shared" si="94"/>
        <v>0.48376986031484465</v>
      </c>
      <c r="C195" s="204">
        <f t="shared" si="94"/>
        <v>1</v>
      </c>
      <c r="D195" s="202" t="str">
        <f t="shared" ref="D195:D209" si="95">+D3</f>
        <v>Decano</v>
      </c>
      <c r="E195" s="205">
        <f t="shared" ref="E195:E209" si="96">+K3</f>
        <v>2945.2327619047614</v>
      </c>
      <c r="F195" s="205">
        <f t="shared" ref="F195:F209" si="97">+K22</f>
        <v>7327.1991940103881</v>
      </c>
      <c r="G195" s="205">
        <f t="shared" ref="G195:G209" si="98">+K41</f>
        <v>8618.5197056198267</v>
      </c>
      <c r="H195" s="205">
        <f t="shared" ref="H195:H209" si="99">+K60</f>
        <v>11298.594117421366</v>
      </c>
      <c r="I195" s="205">
        <f t="shared" ref="I195:I209" si="100">+K79</f>
        <v>11927.203093714816</v>
      </c>
      <c r="J195" s="205">
        <f t="shared" ref="J195:J209" si="101">+K98</f>
        <v>14112.354576339299</v>
      </c>
      <c r="K195" s="205">
        <f t="shared" ref="K195:K209" si="102">+K117</f>
        <v>14514.693789664027</v>
      </c>
      <c r="L195" s="814">
        <f t="shared" ref="L195:L209" si="103">+K136</f>
        <v>16114.781967111096</v>
      </c>
      <c r="M195" s="811"/>
    </row>
    <row r="196" spans="2:14" x14ac:dyDescent="0.3">
      <c r="B196" s="203">
        <f t="shared" si="94"/>
        <v>0.48376986031484465</v>
      </c>
      <c r="C196" s="204">
        <f t="shared" si="94"/>
        <v>1</v>
      </c>
      <c r="D196" s="202" t="str">
        <f t="shared" si="95"/>
        <v>Subdecano</v>
      </c>
      <c r="E196" s="205">
        <f t="shared" si="96"/>
        <v>2191.0613333333331</v>
      </c>
      <c r="F196" s="205">
        <f t="shared" si="97"/>
        <v>5451.3970691386357</v>
      </c>
      <c r="G196" s="205">
        <f t="shared" si="98"/>
        <v>6412.1326334263831</v>
      </c>
      <c r="H196" s="205">
        <f t="shared" si="99"/>
        <v>8406.7755516527141</v>
      </c>
      <c r="I196" s="205">
        <f t="shared" si="100"/>
        <v>8874.4952093847223</v>
      </c>
      <c r="J196" s="205">
        <f t="shared" si="101"/>
        <v>10500.777744303792</v>
      </c>
      <c r="K196" s="205">
        <f t="shared" si="102"/>
        <v>10800.151929815287</v>
      </c>
      <c r="L196" s="814">
        <f t="shared" si="103"/>
        <v>11991.798227586291</v>
      </c>
      <c r="M196" s="811"/>
    </row>
    <row r="197" spans="2:14" x14ac:dyDescent="0.3">
      <c r="B197" s="203">
        <f t="shared" ref="B197:C201" si="104">+B178</f>
        <v>1</v>
      </c>
      <c r="C197" s="204">
        <f t="shared" si="104"/>
        <v>1</v>
      </c>
      <c r="D197" s="202" t="str">
        <f t="shared" si="95"/>
        <v>Director de Carrera</v>
      </c>
      <c r="E197" s="205">
        <f t="shared" si="96"/>
        <v>17621.36</v>
      </c>
      <c r="F197" s="205">
        <f t="shared" si="97"/>
        <v>17864.806224</v>
      </c>
      <c r="G197" s="205">
        <f t="shared" si="98"/>
        <v>17864.806224</v>
      </c>
      <c r="H197" s="205">
        <f t="shared" si="99"/>
        <v>18127.7699530032</v>
      </c>
      <c r="I197" s="205">
        <f t="shared" si="100"/>
        <v>18127.7699530032</v>
      </c>
      <c r="J197" s="205">
        <f t="shared" si="101"/>
        <v>18731.525588447606</v>
      </c>
      <c r="K197" s="205">
        <f t="shared" si="102"/>
        <v>18731.525588447606</v>
      </c>
      <c r="L197" s="814">
        <f t="shared" si="103"/>
        <v>18992.851846391652</v>
      </c>
      <c r="M197" s="811"/>
    </row>
    <row r="198" spans="2:14" x14ac:dyDescent="0.3">
      <c r="B198" s="203">
        <f t="shared" si="104"/>
        <v>0.48376986031484465</v>
      </c>
      <c r="C198" s="204">
        <f t="shared" si="104"/>
        <v>1</v>
      </c>
      <c r="D198" s="202" t="str">
        <f t="shared" si="95"/>
        <v>Secretario</v>
      </c>
      <c r="E198" s="205">
        <f t="shared" si="96"/>
        <v>773.2190476190475</v>
      </c>
      <c r="F198" s="205">
        <f t="shared" si="97"/>
        <v>1924.8890743797388</v>
      </c>
      <c r="G198" s="205">
        <f t="shared" si="98"/>
        <v>2264.1249377027057</v>
      </c>
      <c r="H198" s="205">
        <f t="shared" si="99"/>
        <v>2970.1566480076522</v>
      </c>
      <c r="I198" s="205">
        <f t="shared" si="100"/>
        <v>3135.4043868441531</v>
      </c>
      <c r="J198" s="205">
        <f t="shared" si="101"/>
        <v>3711.0133000770365</v>
      </c>
      <c r="K198" s="205">
        <f t="shared" si="102"/>
        <v>3816.8132332996538</v>
      </c>
      <c r="L198" s="814">
        <f t="shared" si="103"/>
        <v>4240.5887972796645</v>
      </c>
      <c r="M198" s="811"/>
    </row>
    <row r="199" spans="2:14" x14ac:dyDescent="0.3">
      <c r="B199" s="203">
        <f t="shared" si="104"/>
        <v>0.48376986031484465</v>
      </c>
      <c r="C199" s="204">
        <f t="shared" si="104"/>
        <v>1</v>
      </c>
      <c r="D199" s="202" t="str">
        <f t="shared" si="95"/>
        <v>Auxiliar de Secretaria</v>
      </c>
      <c r="E199" s="205">
        <f t="shared" si="96"/>
        <v>660.09333333333325</v>
      </c>
      <c r="F199" s="205">
        <f t="shared" si="97"/>
        <v>1643.5187556489757</v>
      </c>
      <c r="G199" s="205">
        <f t="shared" si="98"/>
        <v>1933.166876873689</v>
      </c>
      <c r="H199" s="205">
        <f t="shared" si="99"/>
        <v>2536.383863142355</v>
      </c>
      <c r="I199" s="205">
        <f t="shared" si="100"/>
        <v>2677.4982041946396</v>
      </c>
      <c r="J199" s="205">
        <f t="shared" si="101"/>
        <v>3169.2767752717114</v>
      </c>
      <c r="K199" s="205">
        <f t="shared" si="102"/>
        <v>3259.6319543223435</v>
      </c>
      <c r="L199" s="814">
        <f t="shared" si="103"/>
        <v>3622.1412363509453</v>
      </c>
      <c r="M199" s="811"/>
    </row>
    <row r="200" spans="2:14" x14ac:dyDescent="0.3">
      <c r="B200" s="203">
        <f t="shared" si="104"/>
        <v>0.48376986031484465</v>
      </c>
      <c r="C200" s="204">
        <f t="shared" si="104"/>
        <v>1</v>
      </c>
      <c r="D200" s="202" t="str">
        <f t="shared" si="95"/>
        <v xml:space="preserve">Coordinador  </v>
      </c>
      <c r="E200" s="205">
        <f t="shared" si="96"/>
        <v>697.80190476190478</v>
      </c>
      <c r="F200" s="205">
        <f t="shared" si="97"/>
        <v>1737.3088618925633</v>
      </c>
      <c r="G200" s="205">
        <f t="shared" si="98"/>
        <v>2043.4862304833612</v>
      </c>
      <c r="H200" s="205">
        <f t="shared" si="99"/>
        <v>2680.9747914307873</v>
      </c>
      <c r="I200" s="205">
        <f t="shared" si="100"/>
        <v>2830.1335984111442</v>
      </c>
      <c r="J200" s="205">
        <f t="shared" si="101"/>
        <v>3349.8556168734858</v>
      </c>
      <c r="K200" s="205">
        <f t="shared" si="102"/>
        <v>3445.3590473147797</v>
      </c>
      <c r="L200" s="814">
        <f t="shared" si="103"/>
        <v>3828.2904233271856</v>
      </c>
      <c r="M200" s="811"/>
    </row>
    <row r="201" spans="2:14" x14ac:dyDescent="0.3">
      <c r="B201" s="203">
        <f t="shared" si="104"/>
        <v>0.48376986031484465</v>
      </c>
      <c r="C201" s="204">
        <f t="shared" si="104"/>
        <v>1</v>
      </c>
      <c r="D201" s="202" t="str">
        <f t="shared" si="95"/>
        <v>Bienestar Estudiantil</v>
      </c>
      <c r="E201" s="205">
        <f t="shared" si="96"/>
        <v>697.80190476190478</v>
      </c>
      <c r="F201" s="205">
        <f t="shared" si="97"/>
        <v>1737.3088618925633</v>
      </c>
      <c r="G201" s="205">
        <f t="shared" si="98"/>
        <v>2043.4862304833612</v>
      </c>
      <c r="H201" s="205">
        <f t="shared" si="99"/>
        <v>2680.9747914307873</v>
      </c>
      <c r="I201" s="205">
        <f t="shared" si="100"/>
        <v>2830.1335984111442</v>
      </c>
      <c r="J201" s="205">
        <f t="shared" si="101"/>
        <v>3349.8556168734858</v>
      </c>
      <c r="K201" s="205">
        <f t="shared" si="102"/>
        <v>3445.3590473147797</v>
      </c>
      <c r="L201" s="814">
        <f t="shared" si="103"/>
        <v>3828.2904233271856</v>
      </c>
      <c r="M201" s="811"/>
    </row>
    <row r="202" spans="2:14" x14ac:dyDescent="0.3">
      <c r="B202" s="203">
        <f t="shared" ref="B202:B209" si="105">+B183</f>
        <v>1</v>
      </c>
      <c r="C202" s="204">
        <f>+C143</f>
        <v>3.12</v>
      </c>
      <c r="D202" s="202" t="str">
        <f t="shared" si="95"/>
        <v>Tiempo Completo PhD</v>
      </c>
      <c r="E202" s="205">
        <f t="shared" si="96"/>
        <v>5369.4335999999994</v>
      </c>
      <c r="F202" s="205">
        <f t="shared" si="97"/>
        <v>18143.802700800003</v>
      </c>
      <c r="G202" s="205">
        <f t="shared" si="98"/>
        <v>24191.736934400004</v>
      </c>
      <c r="H202" s="205">
        <f t="shared" si="99"/>
        <v>37432.155248156931</v>
      </c>
      <c r="I202" s="205">
        <f t="shared" si="100"/>
        <v>43875.395085954442</v>
      </c>
      <c r="J202" s="205">
        <f t="shared" si="101"/>
        <v>58015.831918306387</v>
      </c>
      <c r="K202" s="205">
        <f t="shared" si="102"/>
        <v>64039.33359288465</v>
      </c>
      <c r="L202" s="814">
        <f t="shared" si="103"/>
        <v>75212.030995489768</v>
      </c>
      <c r="M202" s="811"/>
    </row>
    <row r="203" spans="2:14" x14ac:dyDescent="0.3">
      <c r="B203" s="203">
        <f t="shared" si="105"/>
        <v>1</v>
      </c>
      <c r="C203" s="204">
        <f>+C144</f>
        <v>7.8</v>
      </c>
      <c r="D203" s="202" t="str">
        <f t="shared" si="95"/>
        <v>Tiempo Completo Mgs.</v>
      </c>
      <c r="E203" s="205">
        <f t="shared" si="96"/>
        <v>8672.3040000000001</v>
      </c>
      <c r="F203" s="205">
        <f t="shared" si="97"/>
        <v>29309.682912</v>
      </c>
      <c r="G203" s="205">
        <f t="shared" si="98"/>
        <v>39079.577215999998</v>
      </c>
      <c r="H203" s="205">
        <f t="shared" si="99"/>
        <v>60479.070934537922</v>
      </c>
      <c r="I203" s="205">
        <f t="shared" si="100"/>
        <v>70889.402816712478</v>
      </c>
      <c r="J203" s="205">
        <f t="shared" si="101"/>
        <v>93744.123618706668</v>
      </c>
      <c r="K203" s="205">
        <f t="shared" si="102"/>
        <v>103477.12005999315</v>
      </c>
      <c r="L203" s="814">
        <f t="shared" si="103"/>
        <v>121553.68901060852</v>
      </c>
      <c r="M203" s="811"/>
    </row>
    <row r="204" spans="2:14" x14ac:dyDescent="0.3">
      <c r="B204" s="203">
        <f t="shared" si="105"/>
        <v>1</v>
      </c>
      <c r="C204" s="204">
        <f>+C145</f>
        <v>0</v>
      </c>
      <c r="D204" s="202" t="str">
        <f t="shared" si="95"/>
        <v>Medio Tiempo</v>
      </c>
      <c r="E204" s="205">
        <f t="shared" si="96"/>
        <v>0</v>
      </c>
      <c r="F204" s="205">
        <f t="shared" si="97"/>
        <v>0</v>
      </c>
      <c r="G204" s="205">
        <f t="shared" si="98"/>
        <v>0</v>
      </c>
      <c r="H204" s="205">
        <f t="shared" si="99"/>
        <v>0</v>
      </c>
      <c r="I204" s="205">
        <f t="shared" si="100"/>
        <v>0</v>
      </c>
      <c r="J204" s="205">
        <f t="shared" si="101"/>
        <v>0</v>
      </c>
      <c r="K204" s="205">
        <f t="shared" si="102"/>
        <v>0</v>
      </c>
      <c r="L204" s="814">
        <f t="shared" si="103"/>
        <v>0</v>
      </c>
      <c r="M204" s="811"/>
    </row>
    <row r="205" spans="2:14" x14ac:dyDescent="0.3">
      <c r="B205" s="203">
        <f t="shared" si="105"/>
        <v>1</v>
      </c>
      <c r="C205" s="204">
        <f>+C146</f>
        <v>2.08</v>
      </c>
      <c r="D205" s="202" t="str">
        <f t="shared" si="95"/>
        <v>Tiempo Parcial</v>
      </c>
      <c r="E205" s="205">
        <f t="shared" si="96"/>
        <v>579.34745600000008</v>
      </c>
      <c r="F205" s="205">
        <f t="shared" si="97"/>
        <v>1960.939706368001</v>
      </c>
      <c r="G205" s="205">
        <f t="shared" si="98"/>
        <v>2614.5862751573354</v>
      </c>
      <c r="H205" s="205">
        <f t="shared" si="99"/>
        <v>4052.3917398104272</v>
      </c>
      <c r="I205" s="205">
        <f t="shared" si="100"/>
        <v>4749.9345802695998</v>
      </c>
      <c r="J205" s="205">
        <f t="shared" si="101"/>
        <v>6285.8505515972265</v>
      </c>
      <c r="K205" s="205">
        <f t="shared" si="102"/>
        <v>6938.4798438395628</v>
      </c>
      <c r="L205" s="814">
        <f t="shared" si="103"/>
        <v>8163.7305526789451</v>
      </c>
      <c r="M205" s="811"/>
    </row>
    <row r="206" spans="2:14" x14ac:dyDescent="0.3">
      <c r="B206" s="203">
        <f t="shared" si="105"/>
        <v>1</v>
      </c>
      <c r="C206" s="204">
        <f>+C147</f>
        <v>4.7249999999999996</v>
      </c>
      <c r="D206" s="202" t="str">
        <f t="shared" si="95"/>
        <v>Ocasional Tipo 2 (Técnico Docente)</v>
      </c>
      <c r="E206" s="205">
        <f t="shared" si="96"/>
        <v>2722.5950000000003</v>
      </c>
      <c r="F206" s="205">
        <f t="shared" si="97"/>
        <v>8834.9048736000004</v>
      </c>
      <c r="G206" s="205">
        <f t="shared" si="98"/>
        <v>12147.994201200001</v>
      </c>
      <c r="H206" s="205">
        <f t="shared" si="99"/>
        <v>19615.841029077299</v>
      </c>
      <c r="I206" s="205">
        <f t="shared" si="100"/>
        <v>23819.235535308151</v>
      </c>
      <c r="J206" s="205">
        <f t="shared" si="101"/>
        <v>34172.20436067845</v>
      </c>
      <c r="K206" s="205">
        <f t="shared" si="102"/>
        <v>40253.698357070381</v>
      </c>
      <c r="L206" s="814">
        <f t="shared" si="103"/>
        <v>55512.276868401481</v>
      </c>
      <c r="M206" s="811"/>
    </row>
    <row r="207" spans="2:14" x14ac:dyDescent="0.3">
      <c r="B207" s="203">
        <f t="shared" si="105"/>
        <v>0.48376986031484465</v>
      </c>
      <c r="C207" s="204">
        <f>+C188</f>
        <v>1</v>
      </c>
      <c r="D207" s="202" t="str">
        <f t="shared" si="95"/>
        <v>Bibliotecario</v>
      </c>
      <c r="E207" s="205">
        <f t="shared" si="96"/>
        <v>622.38476190476183</v>
      </c>
      <c r="F207" s="205">
        <f t="shared" si="97"/>
        <v>1549.7286494053878</v>
      </c>
      <c r="G207" s="205">
        <f t="shared" si="98"/>
        <v>1822.8475232640167</v>
      </c>
      <c r="H207" s="205">
        <f t="shared" si="99"/>
        <v>2391.7929348539228</v>
      </c>
      <c r="I207" s="205">
        <f t="shared" si="100"/>
        <v>2524.8628099781354</v>
      </c>
      <c r="J207" s="205">
        <f t="shared" si="101"/>
        <v>2988.6979336699351</v>
      </c>
      <c r="K207" s="205">
        <f t="shared" si="102"/>
        <v>3073.904861329906</v>
      </c>
      <c r="L207" s="814">
        <f t="shared" si="103"/>
        <v>3415.9920493747049</v>
      </c>
      <c r="M207" s="811"/>
    </row>
    <row r="208" spans="2:14" x14ac:dyDescent="0.3">
      <c r="B208" s="203">
        <f t="shared" si="105"/>
        <v>0.48376986031484465</v>
      </c>
      <c r="C208" s="204">
        <f>+C189</f>
        <v>2</v>
      </c>
      <c r="D208" s="202" t="str">
        <f t="shared" si="95"/>
        <v>Auxiliar de Servicio</v>
      </c>
      <c r="E208" s="205">
        <f t="shared" si="96"/>
        <v>716.84952380952382</v>
      </c>
      <c r="F208" s="205">
        <f t="shared" si="97"/>
        <v>1786.3958114005484</v>
      </c>
      <c r="G208" s="205">
        <f t="shared" si="98"/>
        <v>2101.2240959926221</v>
      </c>
      <c r="H208" s="205">
        <f t="shared" si="99"/>
        <v>2759.3128736697895</v>
      </c>
      <c r="I208" s="205">
        <f t="shared" si="100"/>
        <v>2912.8301009252068</v>
      </c>
      <c r="J208" s="205">
        <f t="shared" si="101"/>
        <v>3449.2920849150155</v>
      </c>
      <c r="K208" s="205">
        <f t="shared" si="102"/>
        <v>3547.630420765694</v>
      </c>
      <c r="L208" s="814">
        <f t="shared" si="103"/>
        <v>3945.8954810820501</v>
      </c>
      <c r="M208" s="811"/>
    </row>
    <row r="209" spans="2:13" x14ac:dyDescent="0.3">
      <c r="B209" s="203">
        <f t="shared" si="105"/>
        <v>0.48376986031484465</v>
      </c>
      <c r="C209" s="204">
        <f>+C190</f>
        <v>1</v>
      </c>
      <c r="D209" s="202" t="str">
        <f t="shared" si="95"/>
        <v>Guardia</v>
      </c>
      <c r="E209" s="205">
        <f t="shared" si="96"/>
        <v>509.25904761904764</v>
      </c>
      <c r="F209" s="205">
        <f t="shared" si="97"/>
        <v>1268.3583306746248</v>
      </c>
      <c r="G209" s="205">
        <f t="shared" si="98"/>
        <v>1491.8894624349998</v>
      </c>
      <c r="H209" s="205">
        <f t="shared" si="99"/>
        <v>1958.0201499886248</v>
      </c>
      <c r="I209" s="205">
        <f t="shared" si="100"/>
        <v>2066.9566273286218</v>
      </c>
      <c r="J209" s="205">
        <f t="shared" si="101"/>
        <v>2446.9614088646085</v>
      </c>
      <c r="K209" s="205">
        <f t="shared" si="102"/>
        <v>2516.7235823525943</v>
      </c>
      <c r="L209" s="814">
        <f t="shared" si="103"/>
        <v>2797.5444884459844</v>
      </c>
      <c r="M209" s="811"/>
    </row>
    <row r="210" spans="2:13" ht="27" customHeight="1" thickBot="1" x14ac:dyDescent="0.35">
      <c r="B210" s="1005" t="s">
        <v>115</v>
      </c>
      <c r="C210" s="1006"/>
      <c r="D210" s="1006"/>
      <c r="E210" s="155">
        <f t="shared" ref="E210:L210" si="106">SUM(E195:E209)</f>
        <v>44778.743675047626</v>
      </c>
      <c r="F210" s="155">
        <f t="shared" si="106"/>
        <v>100540.24102521144</v>
      </c>
      <c r="G210" s="155">
        <f t="shared" si="106"/>
        <v>124629.57854703831</v>
      </c>
      <c r="H210" s="155">
        <f t="shared" si="106"/>
        <v>177390.21462618379</v>
      </c>
      <c r="I210" s="155">
        <f t="shared" si="106"/>
        <v>201241.25560044043</v>
      </c>
      <c r="J210" s="155">
        <f t="shared" si="106"/>
        <v>258027.62109492469</v>
      </c>
      <c r="K210" s="155">
        <f t="shared" si="106"/>
        <v>281860.42530841433</v>
      </c>
      <c r="L210" s="815">
        <f t="shared" si="106"/>
        <v>333219.90236745542</v>
      </c>
      <c r="M210" s="812"/>
    </row>
    <row r="214" spans="2:13" ht="3.75" customHeight="1" x14ac:dyDescent="0.3"/>
    <row r="216" spans="2:13" ht="35.25" customHeight="1" x14ac:dyDescent="0.3"/>
    <row r="225" spans="4:5" x14ac:dyDescent="0.3">
      <c r="D225" s="117"/>
      <c r="E225" s="200"/>
    </row>
    <row r="226" spans="4:5" ht="10.8" thickBot="1" x14ac:dyDescent="0.35"/>
    <row r="227" spans="4:5" ht="10.8" thickBot="1" x14ac:dyDescent="0.35">
      <c r="D227" s="1003" t="s">
        <v>159</v>
      </c>
      <c r="E227" s="1004"/>
    </row>
    <row r="228" spans="4:5" ht="10.8" thickBot="1" x14ac:dyDescent="0.35">
      <c r="D228" s="206">
        <v>2016</v>
      </c>
      <c r="E228" s="207">
        <f>+F1</f>
        <v>1</v>
      </c>
    </row>
    <row r="229" spans="4:5" ht="10.8" thickBot="1" x14ac:dyDescent="0.35">
      <c r="D229" s="208">
        <v>2017</v>
      </c>
      <c r="E229" s="209">
        <f>+F39</f>
        <v>1.0143</v>
      </c>
    </row>
    <row r="230" spans="4:5" ht="10.8" thickBot="1" x14ac:dyDescent="0.35">
      <c r="D230" s="208">
        <v>2018</v>
      </c>
      <c r="E230" s="209">
        <f>+F77</f>
        <v>1.0330999999999999</v>
      </c>
    </row>
    <row r="231" spans="4:5" ht="10.8" thickBot="1" x14ac:dyDescent="0.35">
      <c r="D231" s="208">
        <v>2019</v>
      </c>
      <c r="E231" s="209">
        <f>+F115</f>
        <v>1.0135000000000001</v>
      </c>
    </row>
    <row r="232" spans="4:5" ht="10.8" thickBot="1" x14ac:dyDescent="0.35">
      <c r="D232" s="208">
        <v>2020</v>
      </c>
      <c r="E232" s="209">
        <f>+F153</f>
        <v>1.0135000000000001</v>
      </c>
    </row>
    <row r="233" spans="4:5" ht="10.8" thickBot="1" x14ac:dyDescent="0.35">
      <c r="D233" s="208">
        <v>2021</v>
      </c>
      <c r="E233" s="209">
        <f>+F173</f>
        <v>1.0053000000000001</v>
      </c>
    </row>
    <row r="234" spans="4:5" x14ac:dyDescent="0.3">
      <c r="D234" s="117"/>
      <c r="E234" s="200"/>
    </row>
    <row r="235" spans="4:5" x14ac:dyDescent="0.3">
      <c r="D235" s="117"/>
      <c r="E235" s="200"/>
    </row>
    <row r="236" spans="4:5" x14ac:dyDescent="0.3">
      <c r="D236" s="117"/>
      <c r="E236" s="664">
        <f>SUM(E203:L203)</f>
        <v>527204.97056855867</v>
      </c>
    </row>
    <row r="237" spans="4:5" x14ac:dyDescent="0.3">
      <c r="D237" s="117"/>
      <c r="E237" s="200">
        <v>49</v>
      </c>
    </row>
    <row r="238" spans="4:5" x14ac:dyDescent="0.3">
      <c r="D238" s="117"/>
      <c r="E238" s="200">
        <f>+E236/E237/6</f>
        <v>1793.2141856073424</v>
      </c>
    </row>
    <row r="239" spans="4:5" x14ac:dyDescent="0.3">
      <c r="D239" s="117"/>
      <c r="E239" s="200"/>
    </row>
  </sheetData>
  <mergeCells count="13">
    <mergeCell ref="D227:E227"/>
    <mergeCell ref="B210:D210"/>
    <mergeCell ref="B1:D1"/>
    <mergeCell ref="B20:D20"/>
    <mergeCell ref="B39:D39"/>
    <mergeCell ref="B58:D58"/>
    <mergeCell ref="B77:D77"/>
    <mergeCell ref="B96:D96"/>
    <mergeCell ref="B115:D115"/>
    <mergeCell ref="B134:D134"/>
    <mergeCell ref="B153:D153"/>
    <mergeCell ref="B173:D173"/>
    <mergeCell ref="B193:L19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landscape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2:J440"/>
  <sheetViews>
    <sheetView topLeftCell="B1" workbookViewId="0">
      <selection activeCell="E55" sqref="E55"/>
    </sheetView>
  </sheetViews>
  <sheetFormatPr baseColWidth="10" defaultColWidth="11.44140625" defaultRowHeight="14.4" x14ac:dyDescent="0.3"/>
  <cols>
    <col min="1" max="1" width="75.5546875" hidden="1" customWidth="1"/>
    <col min="2" max="2" width="75.5546875" customWidth="1"/>
    <col min="3" max="3" width="11.5546875" style="655" bestFit="1" customWidth="1"/>
    <col min="4" max="10" width="12" style="655" bestFit="1" customWidth="1"/>
  </cols>
  <sheetData>
    <row r="2" spans="1:10" x14ac:dyDescent="0.3">
      <c r="B2" s="657" t="s">
        <v>214</v>
      </c>
      <c r="C2" s="661">
        <v>60</v>
      </c>
      <c r="D2" s="662">
        <v>113.7</v>
      </c>
      <c r="E2" s="662">
        <v>161.76150000000001</v>
      </c>
      <c r="F2" s="662">
        <v>209.82300000000001</v>
      </c>
      <c r="G2" s="662">
        <v>257.8845</v>
      </c>
      <c r="H2" s="662">
        <v>305.94600000000003</v>
      </c>
      <c r="I2" s="662">
        <v>354.00750000000005</v>
      </c>
      <c r="J2" s="662">
        <v>402.06900000000007</v>
      </c>
    </row>
    <row r="3" spans="1:10" ht="16.2" thickBot="1" x14ac:dyDescent="0.35">
      <c r="B3" s="658" t="s">
        <v>215</v>
      </c>
      <c r="C3" s="689">
        <v>2020</v>
      </c>
      <c r="D3" s="689">
        <v>2021</v>
      </c>
      <c r="E3" s="689">
        <v>2021</v>
      </c>
      <c r="F3" s="689">
        <v>2022</v>
      </c>
      <c r="G3" s="689">
        <v>2022</v>
      </c>
      <c r="H3" s="689">
        <v>2023</v>
      </c>
      <c r="I3" s="689">
        <v>2023</v>
      </c>
      <c r="J3" s="689">
        <v>2024</v>
      </c>
    </row>
    <row r="4" spans="1:10" x14ac:dyDescent="0.3">
      <c r="A4" s="654" t="str">
        <f>'Planta central'!A4</f>
        <v>Auditoría</v>
      </c>
      <c r="B4" s="654" t="str">
        <f>+UPPER(A4)</f>
        <v>AUDITORÍA</v>
      </c>
      <c r="C4" s="656">
        <f>SUBTOTAL(9,'Planta central'!M4:M8)</f>
        <v>96.168570823629054</v>
      </c>
      <c r="D4" s="656">
        <f>SUBTOTAL(9,'Planta central'!N4:N8)</f>
        <v>278.69651824687696</v>
      </c>
      <c r="E4" s="656">
        <f>SUBTOTAL(9,'Planta central'!O4:O8)</f>
        <v>346.43804420932463</v>
      </c>
      <c r="F4" s="656">
        <f>SUBTOTAL(9,'Planta central'!P4:P8)</f>
        <v>503.43850534723163</v>
      </c>
      <c r="G4" s="656">
        <f>SUBTOTAL(9,'Planta central'!Q4:Q8)</f>
        <v>548.25634862544314</v>
      </c>
      <c r="H4" s="656">
        <f>SUBTOTAL(9,'Planta central'!R4:R8)</f>
        <v>687.7606809343913</v>
      </c>
      <c r="I4" s="656">
        <f>SUBTOTAL(9,'Planta central'!S4:S8)</f>
        <v>722.88317777671818</v>
      </c>
      <c r="J4" s="656">
        <f>SUBTOTAL(9,'Planta central'!T4:T8)</f>
        <v>856.15464640014216</v>
      </c>
    </row>
    <row r="5" spans="1:10" hidden="1" x14ac:dyDescent="0.3">
      <c r="A5">
        <f>'Planta central'!A5</f>
        <v>0</v>
      </c>
      <c r="C5"/>
      <c r="D5"/>
      <c r="E5"/>
      <c r="F5"/>
      <c r="G5"/>
      <c r="H5"/>
      <c r="I5"/>
      <c r="J5"/>
    </row>
    <row r="6" spans="1:10" hidden="1" x14ac:dyDescent="0.3">
      <c r="A6">
        <f>'Planta central'!A6</f>
        <v>0</v>
      </c>
      <c r="C6"/>
      <c r="D6"/>
      <c r="E6"/>
      <c r="F6"/>
      <c r="G6"/>
      <c r="H6"/>
      <c r="I6"/>
      <c r="J6"/>
    </row>
    <row r="7" spans="1:10" hidden="1" x14ac:dyDescent="0.3">
      <c r="A7">
        <f>'Planta central'!A7</f>
        <v>0</v>
      </c>
      <c r="C7"/>
      <c r="D7"/>
      <c r="E7"/>
      <c r="F7"/>
      <c r="G7"/>
      <c r="H7"/>
      <c r="I7"/>
      <c r="J7"/>
    </row>
    <row r="8" spans="1:10" hidden="1" x14ac:dyDescent="0.3">
      <c r="A8">
        <f>'Planta central'!A8</f>
        <v>0</v>
      </c>
      <c r="C8"/>
      <c r="D8"/>
      <c r="E8"/>
      <c r="F8"/>
      <c r="G8"/>
      <c r="H8"/>
      <c r="I8"/>
      <c r="J8"/>
    </row>
    <row r="9" spans="1:10" x14ac:dyDescent="0.3">
      <c r="A9" s="654" t="str">
        <f>'Planta central'!A9</f>
        <v>TITULACION Y REGISTRO</v>
      </c>
      <c r="B9" s="654" t="str">
        <f>+UPPER(A9)</f>
        <v>TITULACION Y REGISTRO</v>
      </c>
      <c r="C9" s="656">
        <f>SUBTOTAL(9,'Planta central'!M9:M13)</f>
        <v>81.230404403980515</v>
      </c>
      <c r="D9" s="656">
        <f>SUBTOTAL(9,'Planta central'!N9:N13)</f>
        <v>235.40571196273555</v>
      </c>
      <c r="E9" s="656">
        <f>SUBTOTAL(9,'Planta central'!O9:O13)</f>
        <v>292.62473374651705</v>
      </c>
      <c r="F9" s="656">
        <f>SUBTOTAL(9,'Planta central'!P9:P13)</f>
        <v>425.23781971233336</v>
      </c>
      <c r="G9" s="656">
        <f>SUBTOTAL(9,'Planta central'!Q9:Q13)</f>
        <v>463.09396650565594</v>
      </c>
      <c r="H9" s="656">
        <f>SUBTOTAL(9,'Planta central'!R9:R13)</f>
        <v>580.92865233399959</v>
      </c>
      <c r="I9" s="656">
        <f>SUBTOTAL(9,'Planta central'!S9:S13)</f>
        <v>610.59546133142248</v>
      </c>
      <c r="J9" s="656">
        <f>SUBTOTAL(9,'Planta central'!T9:T13)</f>
        <v>723.16545378402122</v>
      </c>
    </row>
    <row r="10" spans="1:10" hidden="1" x14ac:dyDescent="0.3">
      <c r="A10">
        <f>'Planta central'!A10</f>
        <v>0</v>
      </c>
      <c r="C10"/>
      <c r="D10"/>
      <c r="E10"/>
      <c r="F10"/>
      <c r="G10"/>
      <c r="H10"/>
      <c r="I10"/>
      <c r="J10"/>
    </row>
    <row r="11" spans="1:10" hidden="1" x14ac:dyDescent="0.3">
      <c r="A11">
        <f>'Planta central'!A11</f>
        <v>0</v>
      </c>
      <c r="C11"/>
      <c r="D11"/>
      <c r="E11"/>
      <c r="F11"/>
      <c r="G11"/>
      <c r="H11"/>
      <c r="I11"/>
      <c r="J11"/>
    </row>
    <row r="12" spans="1:10" x14ac:dyDescent="0.3">
      <c r="A12" s="654" t="str">
        <f>'Planta central'!A12</f>
        <v>UNIDAD COORDINADORA DE ESTUDIOS NO PRESENCIALES</v>
      </c>
      <c r="B12" s="654" t="str">
        <f>+UPPER(A12)</f>
        <v>UNIDAD COORDINADORA DE ESTUDIOS NO PRESENCIALES</v>
      </c>
      <c r="C12" s="656">
        <f>SUBTOTAL(9,'Planta central'!M12:M14)</f>
        <v>50.287478297692147</v>
      </c>
      <c r="D12" s="656">
        <f>SUBTOTAL(9,'Planta central'!N12:N14)</f>
        <v>145.73311210671181</v>
      </c>
      <c r="E12" s="656">
        <f>SUBTOTAL(9,'Planta central'!O12:O14)</f>
        <v>181.15581296951939</v>
      </c>
      <c r="F12" s="656">
        <f>SUBTOTAL(9,'Planta central'!P12:P14)</f>
        <v>263.25287664201267</v>
      </c>
      <c r="G12" s="656">
        <f>SUBTOTAL(9,'Planta central'!Q12:Q14)</f>
        <v>286.68856152221963</v>
      </c>
      <c r="H12" s="656">
        <f>SUBTOTAL(9,'Planta central'!R12:R14)</f>
        <v>359.63672975782953</v>
      </c>
      <c r="I12" s="656">
        <f>SUBTOTAL(9,'Planta central'!S12:S14)</f>
        <v>378.00262396414439</v>
      </c>
      <c r="J12" s="656">
        <f>SUBTOTAL(9,'Planta central'!T12:T14)</f>
        <v>447.69156733414729</v>
      </c>
    </row>
    <row r="13" spans="1:10" hidden="1" x14ac:dyDescent="0.3">
      <c r="A13">
        <f>'Planta central'!A13</f>
        <v>0</v>
      </c>
      <c r="C13"/>
      <c r="D13"/>
      <c r="E13"/>
      <c r="F13"/>
      <c r="G13"/>
      <c r="H13"/>
      <c r="I13"/>
      <c r="J13"/>
    </row>
    <row r="14" spans="1:10" hidden="1" x14ac:dyDescent="0.3">
      <c r="A14">
        <f>'Planta central'!A14</f>
        <v>0</v>
      </c>
      <c r="C14"/>
      <c r="D14"/>
      <c r="E14"/>
      <c r="F14"/>
      <c r="G14"/>
      <c r="H14"/>
      <c r="I14"/>
      <c r="J14"/>
    </row>
    <row r="15" spans="1:10" x14ac:dyDescent="0.3">
      <c r="A15" s="654" t="str">
        <f>'Planta central'!A15</f>
        <v>Rectorado</v>
      </c>
      <c r="B15" s="654" t="str">
        <f>+UPPER(A15)</f>
        <v>RECTORADO</v>
      </c>
      <c r="C15" s="656">
        <f>SUBTOTAL(9,'Planta central'!M15:M17)</f>
        <v>35.511683252170229</v>
      </c>
      <c r="D15" s="656">
        <f>SUBTOTAL(9,'Planta central'!N15:N17)</f>
        <v>102.91285806478932</v>
      </c>
      <c r="E15" s="656">
        <f>SUBTOTAL(9,'Planta central'!O15:O17)</f>
        <v>127.92742979435104</v>
      </c>
      <c r="F15" s="656">
        <f>SUBTOTAL(9,'Planta central'!P15:P17)</f>
        <v>185.90219845966772</v>
      </c>
      <c r="G15" s="656">
        <f>SUBTOTAL(9,'Planta central'!Q15:Q17)</f>
        <v>202.45185746895186</v>
      </c>
      <c r="H15" s="656">
        <f>SUBTOTAL(9,'Planta central'!R15:R17)</f>
        <v>253.96591885961607</v>
      </c>
      <c r="I15" s="656">
        <f>SUBTOTAL(9,'Planta central'!S15:S17)</f>
        <v>266.93542617586291</v>
      </c>
      <c r="J15" s="656">
        <f>SUBTOTAL(9,'Planta central'!T15:T17)</f>
        <v>316.14790942037553</v>
      </c>
    </row>
    <row r="16" spans="1:10" hidden="1" x14ac:dyDescent="0.3">
      <c r="A16">
        <f>'Planta central'!A16</f>
        <v>0</v>
      </c>
      <c r="C16"/>
      <c r="D16"/>
      <c r="E16"/>
      <c r="F16"/>
      <c r="G16"/>
      <c r="H16"/>
      <c r="I16"/>
      <c r="J16"/>
    </row>
    <row r="17" spans="1:10" hidden="1" x14ac:dyDescent="0.3">
      <c r="A17">
        <f>'Planta central'!A17</f>
        <v>0</v>
      </c>
      <c r="C17"/>
      <c r="D17"/>
      <c r="E17"/>
      <c r="F17"/>
      <c r="G17"/>
      <c r="H17"/>
      <c r="I17"/>
      <c r="J17"/>
    </row>
    <row r="18" spans="1:10" hidden="1" x14ac:dyDescent="0.3">
      <c r="A18">
        <f>'Planta central'!A18</f>
        <v>0</v>
      </c>
      <c r="C18"/>
      <c r="D18"/>
      <c r="E18"/>
      <c r="F18"/>
      <c r="G18"/>
      <c r="H18"/>
      <c r="I18"/>
      <c r="J18"/>
    </row>
    <row r="19" spans="1:10" hidden="1" x14ac:dyDescent="0.3">
      <c r="A19">
        <f>'Planta central'!A19</f>
        <v>0</v>
      </c>
      <c r="C19"/>
      <c r="D19"/>
      <c r="E19"/>
      <c r="F19"/>
      <c r="G19"/>
      <c r="H19"/>
      <c r="I19"/>
      <c r="J19"/>
    </row>
    <row r="20" spans="1:10" hidden="1" x14ac:dyDescent="0.3">
      <c r="A20">
        <f>'Planta central'!A20</f>
        <v>0</v>
      </c>
      <c r="C20"/>
      <c r="D20"/>
      <c r="E20"/>
      <c r="F20"/>
      <c r="G20"/>
      <c r="H20"/>
      <c r="I20"/>
      <c r="J20"/>
    </row>
    <row r="21" spans="1:10" hidden="1" x14ac:dyDescent="0.3">
      <c r="A21">
        <f>'Planta central'!A21</f>
        <v>0</v>
      </c>
      <c r="C21"/>
      <c r="D21"/>
      <c r="E21"/>
      <c r="F21"/>
      <c r="G21"/>
      <c r="H21"/>
      <c r="I21"/>
      <c r="J21"/>
    </row>
    <row r="22" spans="1:10" hidden="1" x14ac:dyDescent="0.3">
      <c r="A22">
        <f>'Planta central'!A22</f>
        <v>0</v>
      </c>
      <c r="C22"/>
      <c r="D22"/>
      <c r="E22"/>
      <c r="F22"/>
      <c r="G22"/>
      <c r="H22"/>
      <c r="I22"/>
      <c r="J22"/>
    </row>
    <row r="23" spans="1:10" hidden="1" x14ac:dyDescent="0.3">
      <c r="A23">
        <f>'Planta central'!A23</f>
        <v>0</v>
      </c>
      <c r="C23"/>
      <c r="D23"/>
      <c r="E23"/>
      <c r="F23"/>
      <c r="G23"/>
      <c r="H23"/>
      <c r="I23"/>
      <c r="J23"/>
    </row>
    <row r="24" spans="1:10" x14ac:dyDescent="0.3">
      <c r="A24" s="654" t="str">
        <f>'Planta central'!A24</f>
        <v>Secretaría General</v>
      </c>
      <c r="B24" s="654" t="str">
        <f>+UPPER(A24)</f>
        <v>SECRETARÍA GENERAL</v>
      </c>
      <c r="C24" s="656">
        <f>SUBTOTAL(9,'Planta central'!M24:M34)</f>
        <v>230.12413496506454</v>
      </c>
      <c r="D24" s="656">
        <f>SUBTOTAL(9,'Planta central'!N24:N34)</f>
        <v>666.89974312875711</v>
      </c>
      <c r="E24" s="656">
        <f>SUBTOTAL(9,'Planta central'!O24:O34)</f>
        <v>829.00010429468853</v>
      </c>
      <c r="F24" s="656">
        <f>SUBTOTAL(9,'Planta central'!P24:P34)</f>
        <v>1204.6903635867593</v>
      </c>
      <c r="G24" s="656">
        <f>SUBTOTAL(9,'Planta central'!Q24:Q34)</f>
        <v>1311.9360814659744</v>
      </c>
      <c r="H24" s="656">
        <f>SUBTOTAL(9,'Planta central'!R24:R34)</f>
        <v>1645.759424389021</v>
      </c>
      <c r="I24" s="656">
        <f>SUBTOTAL(9,'Planta central'!S24:S34)</f>
        <v>1729.8049096700374</v>
      </c>
      <c r="J24" s="656">
        <f>SUBTOTAL(9,'Planta central'!T24:T34)</f>
        <v>2048.7134800046779</v>
      </c>
    </row>
    <row r="25" spans="1:10" hidden="1" x14ac:dyDescent="0.3">
      <c r="A25">
        <f>'Planta central'!A25</f>
        <v>0</v>
      </c>
      <c r="C25"/>
      <c r="D25"/>
      <c r="E25"/>
      <c r="F25"/>
      <c r="G25"/>
      <c r="H25"/>
      <c r="I25"/>
      <c r="J25"/>
    </row>
    <row r="26" spans="1:10" hidden="1" x14ac:dyDescent="0.3">
      <c r="A26">
        <f>'Planta central'!A26</f>
        <v>0</v>
      </c>
      <c r="C26"/>
      <c r="D26"/>
      <c r="E26"/>
      <c r="F26"/>
      <c r="G26"/>
      <c r="H26"/>
      <c r="I26"/>
      <c r="J26"/>
    </row>
    <row r="27" spans="1:10" hidden="1" x14ac:dyDescent="0.3">
      <c r="A27">
        <f>'Planta central'!A27</f>
        <v>0</v>
      </c>
      <c r="C27"/>
      <c r="D27"/>
      <c r="E27"/>
      <c r="F27"/>
      <c r="G27"/>
      <c r="H27"/>
      <c r="I27"/>
      <c r="J27"/>
    </row>
    <row r="28" spans="1:10" hidden="1" x14ac:dyDescent="0.3">
      <c r="A28">
        <f>'Planta central'!A28</f>
        <v>0</v>
      </c>
      <c r="C28"/>
      <c r="D28"/>
      <c r="E28"/>
      <c r="F28"/>
      <c r="G28"/>
      <c r="H28"/>
      <c r="I28"/>
      <c r="J28"/>
    </row>
    <row r="29" spans="1:10" hidden="1" x14ac:dyDescent="0.3">
      <c r="A29">
        <f>'Planta central'!A29</f>
        <v>0</v>
      </c>
      <c r="C29"/>
      <c r="D29"/>
      <c r="E29"/>
      <c r="F29"/>
      <c r="G29"/>
      <c r="H29"/>
      <c r="I29"/>
      <c r="J29"/>
    </row>
    <row r="30" spans="1:10" hidden="1" x14ac:dyDescent="0.3">
      <c r="A30">
        <f>'Planta central'!A30</f>
        <v>0</v>
      </c>
      <c r="C30"/>
      <c r="D30"/>
      <c r="E30"/>
      <c r="F30"/>
      <c r="G30"/>
      <c r="H30"/>
      <c r="I30"/>
      <c r="J30"/>
    </row>
    <row r="31" spans="1:10" hidden="1" x14ac:dyDescent="0.3">
      <c r="A31">
        <f>'Planta central'!A31</f>
        <v>0</v>
      </c>
      <c r="C31"/>
      <c r="D31"/>
      <c r="E31"/>
      <c r="F31"/>
      <c r="G31"/>
      <c r="H31"/>
      <c r="I31"/>
      <c r="J31"/>
    </row>
    <row r="32" spans="1:10" hidden="1" x14ac:dyDescent="0.3">
      <c r="A32">
        <f>'Planta central'!A32</f>
        <v>0</v>
      </c>
      <c r="C32"/>
      <c r="D32"/>
      <c r="E32"/>
      <c r="F32"/>
      <c r="G32"/>
      <c r="H32"/>
      <c r="I32"/>
      <c r="J32"/>
    </row>
    <row r="33" spans="1:10" hidden="1" x14ac:dyDescent="0.3">
      <c r="A33">
        <f>'Planta central'!A33</f>
        <v>0</v>
      </c>
      <c r="C33"/>
      <c r="D33"/>
      <c r="E33"/>
      <c r="F33"/>
      <c r="G33"/>
      <c r="H33"/>
      <c r="I33"/>
      <c r="J33"/>
    </row>
    <row r="34" spans="1:10" hidden="1" x14ac:dyDescent="0.3">
      <c r="A34">
        <f>'Planta central'!A34</f>
        <v>0</v>
      </c>
      <c r="C34"/>
      <c r="D34"/>
      <c r="E34"/>
      <c r="F34"/>
      <c r="G34"/>
      <c r="H34"/>
      <c r="I34"/>
      <c r="J34"/>
    </row>
    <row r="35" spans="1:10" x14ac:dyDescent="0.3">
      <c r="A35" s="654" t="str">
        <f>'Planta central'!A35</f>
        <v>CENTRO DE APOYO - QUITO</v>
      </c>
      <c r="B35" s="654" t="str">
        <f>+UPPER(A35)</f>
        <v>CENTRO DE APOYO - QUITO</v>
      </c>
      <c r="C35" s="656">
        <f>SUBTOTAL(9,'Planta central'!M35:M41)</f>
        <v>62.162947279271648</v>
      </c>
      <c r="D35" s="656">
        <f>SUBTOTAL(9,'Planta central'!N35:N41)</f>
        <v>180.14822121532922</v>
      </c>
      <c r="E35" s="656">
        <f>SUBTOTAL(9,'Planta central'!O35:O41)</f>
        <v>223.9360499306373</v>
      </c>
      <c r="F35" s="656">
        <f>SUBTOTAL(9,'Planta central'!P35:P41)</f>
        <v>325.42046739625562</v>
      </c>
      <c r="G35" s="656">
        <f>SUBTOTAL(9,'Planta central'!Q35:Q41)</f>
        <v>354.39052700110921</v>
      </c>
      <c r="H35" s="656">
        <f>SUBTOTAL(9,'Planta central'!R35:R41)</f>
        <v>444.56552263929325</v>
      </c>
      <c r="I35" s="656">
        <f>SUBTOTAL(9,'Planta central'!S35:S41)</f>
        <v>467.26855233836301</v>
      </c>
      <c r="J35" s="656">
        <f>SUBTOTAL(9,'Planta central'!T35:T41)</f>
        <v>553.41465191036013</v>
      </c>
    </row>
    <row r="36" spans="1:10" hidden="1" x14ac:dyDescent="0.3">
      <c r="A36">
        <f>'Planta central'!A36</f>
        <v>0</v>
      </c>
      <c r="C36"/>
      <c r="D36"/>
      <c r="E36"/>
      <c r="F36"/>
      <c r="G36"/>
      <c r="H36"/>
      <c r="I36"/>
      <c r="J36"/>
    </row>
    <row r="37" spans="1:10" hidden="1" x14ac:dyDescent="0.3">
      <c r="A37">
        <f>'Planta central'!A37</f>
        <v>0</v>
      </c>
      <c r="C37"/>
      <c r="D37"/>
      <c r="E37"/>
      <c r="F37"/>
      <c r="G37"/>
      <c r="H37"/>
      <c r="I37"/>
      <c r="J37"/>
    </row>
    <row r="38" spans="1:10" hidden="1" x14ac:dyDescent="0.3">
      <c r="A38">
        <f>'Planta central'!A38</f>
        <v>0</v>
      </c>
      <c r="C38"/>
      <c r="D38"/>
      <c r="E38"/>
      <c r="F38"/>
      <c r="G38"/>
      <c r="H38"/>
      <c r="I38"/>
      <c r="J38"/>
    </row>
    <row r="39" spans="1:10" hidden="1" x14ac:dyDescent="0.3">
      <c r="A39">
        <f>'Planta central'!A39</f>
        <v>0</v>
      </c>
      <c r="C39"/>
      <c r="D39"/>
      <c r="E39"/>
      <c r="F39"/>
      <c r="G39"/>
      <c r="H39"/>
      <c r="I39"/>
      <c r="J39"/>
    </row>
    <row r="40" spans="1:10" hidden="1" x14ac:dyDescent="0.3">
      <c r="A40">
        <f>'Planta central'!A40</f>
        <v>0</v>
      </c>
      <c r="C40"/>
      <c r="D40"/>
      <c r="E40"/>
      <c r="F40"/>
      <c r="G40"/>
      <c r="H40"/>
      <c r="I40"/>
      <c r="J40"/>
    </row>
    <row r="41" spans="1:10" hidden="1" x14ac:dyDescent="0.3">
      <c r="A41">
        <f>'Planta central'!A41</f>
        <v>0</v>
      </c>
      <c r="C41"/>
      <c r="D41"/>
      <c r="E41"/>
      <c r="F41"/>
      <c r="G41"/>
      <c r="H41"/>
      <c r="I41"/>
      <c r="J41"/>
    </row>
    <row r="42" spans="1:10" x14ac:dyDescent="0.3">
      <c r="A42" s="654" t="str">
        <f>'Planta central'!A42</f>
        <v>Evaluación Interna</v>
      </c>
      <c r="B42" s="654" t="str">
        <f>+UPPER(A42)</f>
        <v>EVALUACIÓN INTERNA</v>
      </c>
      <c r="C42" s="656">
        <f>SUBTOTAL(9,'Planta central'!M42:M48)</f>
        <v>80.440906203684094</v>
      </c>
      <c r="D42" s="656">
        <f>SUBTOTAL(9,'Planta central'!N42:N48)</f>
        <v>233.11774617827649</v>
      </c>
      <c r="E42" s="656">
        <f>SUBTOTAL(9,'Planta central'!O42:O48)</f>
        <v>289.78064227177646</v>
      </c>
      <c r="F42" s="656">
        <f>SUBTOTAL(9,'Planta central'!P42:P48)</f>
        <v>421.10482916742347</v>
      </c>
      <c r="G42" s="656">
        <f>SUBTOTAL(9,'Planta central'!Q42:Q48)</f>
        <v>458.59304279603043</v>
      </c>
      <c r="H42" s="656">
        <f>SUBTOTAL(9,'Planta central'!R42:R48)</f>
        <v>575.28246444556612</v>
      </c>
      <c r="I42" s="656">
        <f>SUBTOTAL(9,'Planta central'!S42:S48)</f>
        <v>604.66093445854267</v>
      </c>
      <c r="J42" s="656">
        <f>SUBTOTAL(9,'Planta central'!T42:T48)</f>
        <v>716.13683157700132</v>
      </c>
    </row>
    <row r="43" spans="1:10" hidden="1" x14ac:dyDescent="0.3">
      <c r="A43">
        <f>'Planta central'!A43</f>
        <v>0</v>
      </c>
      <c r="C43"/>
      <c r="D43"/>
      <c r="E43"/>
      <c r="F43"/>
      <c r="G43"/>
      <c r="H43"/>
      <c r="I43"/>
      <c r="J43"/>
    </row>
    <row r="44" spans="1:10" hidden="1" x14ac:dyDescent="0.3">
      <c r="A44">
        <f>'Planta central'!A44</f>
        <v>0</v>
      </c>
      <c r="C44"/>
      <c r="D44"/>
      <c r="E44"/>
      <c r="F44"/>
      <c r="G44"/>
      <c r="H44"/>
      <c r="I44"/>
      <c r="J44"/>
    </row>
    <row r="45" spans="1:10" hidden="1" x14ac:dyDescent="0.3">
      <c r="A45">
        <f>'Planta central'!A45</f>
        <v>0</v>
      </c>
      <c r="C45"/>
      <c r="D45"/>
      <c r="E45"/>
      <c r="F45"/>
      <c r="G45"/>
      <c r="H45"/>
      <c r="I45"/>
      <c r="J45"/>
    </row>
    <row r="46" spans="1:10" hidden="1" x14ac:dyDescent="0.3">
      <c r="A46">
        <f>'Planta central'!A46</f>
        <v>0</v>
      </c>
      <c r="C46"/>
      <c r="D46"/>
      <c r="E46"/>
      <c r="F46"/>
      <c r="G46"/>
      <c r="H46"/>
      <c r="I46"/>
      <c r="J46"/>
    </row>
    <row r="47" spans="1:10" hidden="1" x14ac:dyDescent="0.3">
      <c r="A47">
        <f>'Planta central'!A47</f>
        <v>0</v>
      </c>
      <c r="C47"/>
      <c r="D47"/>
      <c r="E47"/>
      <c r="F47"/>
      <c r="G47"/>
      <c r="H47"/>
      <c r="I47"/>
      <c r="J47"/>
    </row>
    <row r="48" spans="1:10" hidden="1" x14ac:dyDescent="0.3">
      <c r="A48">
        <f>'Planta central'!A48</f>
        <v>0</v>
      </c>
      <c r="C48"/>
      <c r="D48"/>
      <c r="E48"/>
      <c r="F48"/>
      <c r="G48"/>
      <c r="H48"/>
      <c r="I48"/>
      <c r="J48"/>
    </row>
    <row r="49" spans="1:10" x14ac:dyDescent="0.3">
      <c r="A49" s="654" t="str">
        <f>'Planta central'!A49</f>
        <v>CENTRO DE APOYO - TENA</v>
      </c>
      <c r="B49" s="654" t="str">
        <f>+UPPER(A49)</f>
        <v>CENTRO DE APOYO - TENA</v>
      </c>
      <c r="C49" s="656">
        <f>SUBTOTAL(9,'Planta central'!M49:M54)</f>
        <v>65.572746135930558</v>
      </c>
      <c r="D49" s="656">
        <f>SUBTOTAL(9,'Planta central'!N49:N54)</f>
        <v>190.02981830192672</v>
      </c>
      <c r="E49" s="656">
        <f>SUBTOTAL(9,'Planta central'!O49:O54)</f>
        <v>236.21952297106077</v>
      </c>
      <c r="F49" s="656">
        <f>SUBTOTAL(9,'Planta central'!P49:P54)</f>
        <v>343.27062389987373</v>
      </c>
      <c r="G49" s="656">
        <f>SUBTOTAL(9,'Planta central'!Q49:Q54)</f>
        <v>373.82976639801711</v>
      </c>
      <c r="H49" s="656">
        <f>SUBTOTAL(9,'Planta central'!R49:R54)</f>
        <v>468.95109438503482</v>
      </c>
      <c r="I49" s="656">
        <f>SUBTOTAL(9,'Planta central'!S49:S54)</f>
        <v>492.89944413565871</v>
      </c>
      <c r="J49" s="656">
        <f>SUBTOTAL(9,'Planta central'!T49:T54)</f>
        <v>583.77088065969201</v>
      </c>
    </row>
    <row r="50" spans="1:10" hidden="1" x14ac:dyDescent="0.3">
      <c r="A50">
        <f>'Planta central'!A50</f>
        <v>0</v>
      </c>
      <c r="C50"/>
      <c r="D50"/>
      <c r="E50"/>
      <c r="F50"/>
      <c r="G50"/>
      <c r="H50"/>
      <c r="I50"/>
      <c r="J50"/>
    </row>
    <row r="51" spans="1:10" hidden="1" x14ac:dyDescent="0.3">
      <c r="A51">
        <f>'Planta central'!A51</f>
        <v>0</v>
      </c>
      <c r="C51"/>
      <c r="D51"/>
      <c r="E51"/>
      <c r="F51"/>
      <c r="G51"/>
      <c r="H51"/>
      <c r="I51"/>
      <c r="J51"/>
    </row>
    <row r="52" spans="1:10" hidden="1" x14ac:dyDescent="0.3">
      <c r="A52">
        <f>'Planta central'!A52</f>
        <v>0</v>
      </c>
      <c r="C52"/>
      <c r="D52"/>
      <c r="E52"/>
      <c r="F52"/>
      <c r="G52"/>
      <c r="H52"/>
      <c r="I52"/>
      <c r="J52"/>
    </row>
    <row r="53" spans="1:10" hidden="1" x14ac:dyDescent="0.3">
      <c r="A53">
        <f>'Planta central'!A53</f>
        <v>0</v>
      </c>
      <c r="C53"/>
      <c r="D53"/>
      <c r="E53"/>
      <c r="F53"/>
      <c r="G53"/>
      <c r="H53"/>
      <c r="I53"/>
      <c r="J53"/>
    </row>
    <row r="54" spans="1:10" hidden="1" x14ac:dyDescent="0.3">
      <c r="A54">
        <f>'Planta central'!A54</f>
        <v>0</v>
      </c>
      <c r="C54"/>
      <c r="D54"/>
      <c r="E54"/>
      <c r="F54"/>
      <c r="G54"/>
      <c r="H54"/>
      <c r="I54"/>
      <c r="J54"/>
    </row>
    <row r="55" spans="1:10" x14ac:dyDescent="0.3">
      <c r="A55" s="654" t="str">
        <f>'Planta central'!A55</f>
        <v>Editorial</v>
      </c>
      <c r="B55" s="654" t="str">
        <f>+UPPER(A55)</f>
        <v>EDITORIAL</v>
      </c>
      <c r="C55" s="656">
        <f>SUBTOTAL(9,'Planta central'!M55:M62)</f>
        <v>75.942407283506242</v>
      </c>
      <c r="D55" s="656">
        <f>SUBTOTAL(9,'Planta central'!N55:N62)</f>
        <v>220.08109630760111</v>
      </c>
      <c r="E55" s="656">
        <f>SUBTOTAL(9,'Planta central'!O55:O62)</f>
        <v>273.57523176773202</v>
      </c>
      <c r="F55" s="656">
        <f>SUBTOTAL(9,'Planta central'!P55:P62)</f>
        <v>397.55537269443585</v>
      </c>
      <c r="G55" s="656">
        <f>SUBTOTAL(9,'Planta central'!Q55:Q62)</f>
        <v>432.94713196310977</v>
      </c>
      <c r="H55" s="656">
        <f>SUBTOTAL(9,'Planta central'!R55:R62)</f>
        <v>543.11092800671986</v>
      </c>
      <c r="I55" s="656">
        <f>SUBTOTAL(9,'Planta central'!S55:S62)</f>
        <v>570.84646506596744</v>
      </c>
      <c r="J55" s="656">
        <f>SUBTOTAL(9,'Planta central'!T55:T62)</f>
        <v>676.08829264841825</v>
      </c>
    </row>
    <row r="56" spans="1:10" hidden="1" x14ac:dyDescent="0.3">
      <c r="A56">
        <f>'Planta central'!A56</f>
        <v>0</v>
      </c>
      <c r="C56"/>
      <c r="D56"/>
      <c r="E56"/>
      <c r="F56"/>
      <c r="G56"/>
      <c r="H56"/>
      <c r="I56"/>
      <c r="J56"/>
    </row>
    <row r="57" spans="1:10" hidden="1" x14ac:dyDescent="0.3">
      <c r="A57">
        <f>'Planta central'!A57</f>
        <v>0</v>
      </c>
      <c r="C57"/>
      <c r="D57"/>
      <c r="E57"/>
      <c r="F57"/>
      <c r="G57"/>
      <c r="H57"/>
      <c r="I57"/>
      <c r="J57"/>
    </row>
    <row r="58" spans="1:10" hidden="1" x14ac:dyDescent="0.3">
      <c r="A58">
        <f>'Planta central'!A58</f>
        <v>0</v>
      </c>
      <c r="C58"/>
      <c r="D58"/>
      <c r="E58"/>
      <c r="F58"/>
      <c r="G58"/>
      <c r="H58"/>
      <c r="I58"/>
      <c r="J58"/>
    </row>
    <row r="59" spans="1:10" hidden="1" x14ac:dyDescent="0.3">
      <c r="A59">
        <f>'Planta central'!A59</f>
        <v>0</v>
      </c>
      <c r="C59"/>
      <c r="D59"/>
      <c r="E59"/>
      <c r="F59"/>
      <c r="G59"/>
      <c r="H59"/>
      <c r="I59"/>
      <c r="J59"/>
    </row>
    <row r="60" spans="1:10" hidden="1" x14ac:dyDescent="0.3">
      <c r="A60">
        <f>'Planta central'!A60</f>
        <v>0</v>
      </c>
      <c r="C60"/>
      <c r="D60"/>
      <c r="E60"/>
      <c r="F60"/>
      <c r="G60"/>
      <c r="H60"/>
      <c r="I60"/>
      <c r="J60"/>
    </row>
    <row r="61" spans="1:10" hidden="1" x14ac:dyDescent="0.3">
      <c r="A61">
        <f>'Planta central'!A61</f>
        <v>0</v>
      </c>
      <c r="C61"/>
      <c r="D61"/>
      <c r="E61"/>
      <c r="F61"/>
      <c r="G61"/>
      <c r="H61"/>
      <c r="I61"/>
      <c r="J61"/>
    </row>
    <row r="62" spans="1:10" hidden="1" x14ac:dyDescent="0.3">
      <c r="A62">
        <f>'Planta central'!A62</f>
        <v>0</v>
      </c>
      <c r="C62"/>
      <c r="D62"/>
      <c r="E62"/>
      <c r="F62"/>
      <c r="G62"/>
      <c r="H62"/>
      <c r="I62"/>
      <c r="J62"/>
    </row>
    <row r="63" spans="1:10" x14ac:dyDescent="0.3">
      <c r="A63" s="654" t="str">
        <f>'Planta central'!A63</f>
        <v>Seguridad Ocupacional</v>
      </c>
      <c r="B63" s="654" t="str">
        <f>+UPPER(A63)</f>
        <v>SEGURIDAD OCUPACIONAL</v>
      </c>
      <c r="C63" s="656">
        <f>SUBTOTAL(9,'Planta central'!M63:M65)</f>
        <v>36.068803726445054</v>
      </c>
      <c r="D63" s="656">
        <f>SUBTOTAL(9,'Planta central'!N63:N65)</f>
        <v>104.52739319923776</v>
      </c>
      <c r="E63" s="656">
        <f>SUBTOTAL(9,'Planta central'!O63:O65)</f>
        <v>129.93440281936057</v>
      </c>
      <c r="F63" s="656">
        <f>SUBTOTAL(9,'Planta central'!P63:P65)</f>
        <v>188.81870118467592</v>
      </c>
      <c r="G63" s="656">
        <f>SUBTOTAL(9,'Planta central'!Q63:Q65)</f>
        <v>205.62799739028407</v>
      </c>
      <c r="H63" s="656">
        <f>SUBTOTAL(9,'Planta central'!R63:R65)</f>
        <v>257.95023050601105</v>
      </c>
      <c r="I63" s="656">
        <f>SUBTOTAL(9,'Planta central'!S63:S65)</f>
        <v>271.12320826931693</v>
      </c>
      <c r="J63" s="656">
        <f>SUBTOTAL(9,'Planta central'!T63:T65)</f>
        <v>321.10775522623464</v>
      </c>
    </row>
    <row r="64" spans="1:10" hidden="1" x14ac:dyDescent="0.3">
      <c r="A64">
        <f>'Planta central'!A64</f>
        <v>0</v>
      </c>
      <c r="C64"/>
      <c r="D64"/>
      <c r="E64"/>
      <c r="F64"/>
      <c r="G64"/>
      <c r="H64"/>
      <c r="I64"/>
      <c r="J64"/>
    </row>
    <row r="65" spans="1:10" hidden="1" x14ac:dyDescent="0.3">
      <c r="A65">
        <f>'Planta central'!A65</f>
        <v>0</v>
      </c>
      <c r="C65"/>
      <c r="D65"/>
      <c r="E65"/>
      <c r="F65"/>
      <c r="G65"/>
      <c r="H65"/>
      <c r="I65"/>
      <c r="J65"/>
    </row>
    <row r="66" spans="1:10" x14ac:dyDescent="0.3">
      <c r="A66" s="654" t="str">
        <f>'Planta central'!A66</f>
        <v>CENTRO DE APOYO - ZAMORA</v>
      </c>
      <c r="B66" s="654" t="str">
        <f>+UPPER(A66)</f>
        <v>CENTRO DE APOYO - ZAMORA</v>
      </c>
      <c r="C66" s="656">
        <f>SUBTOTAL(9,'Planta central'!M66:M70)</f>
        <v>53.532121177217867</v>
      </c>
      <c r="D66" s="656">
        <f>SUBTOTAL(9,'Planta central'!N66:N70)</f>
        <v>155.1360871715774</v>
      </c>
      <c r="E66" s="656">
        <f>SUBTOTAL(9,'Planta central'!O66:O70)</f>
        <v>192.84432745729436</v>
      </c>
      <c r="F66" s="656">
        <f>SUBTOTAL(9,'Planta central'!P66:P70)</f>
        <v>280.2384484110861</v>
      </c>
      <c r="G66" s="656">
        <f>SUBTOTAL(9,'Planta central'!Q66:Q70)</f>
        <v>305.18624785037321</v>
      </c>
      <c r="H66" s="656">
        <f>SUBTOTAL(9,'Planta central'!R66:R70)</f>
        <v>382.84116939023426</v>
      </c>
      <c r="I66" s="656">
        <f>SUBTOTAL(9,'Planta central'!S66:S70)</f>
        <v>402.39206570601812</v>
      </c>
      <c r="J66" s="656">
        <f>SUBTOTAL(9,'Planta central'!T66:T70)</f>
        <v>476.57747104909089</v>
      </c>
    </row>
    <row r="67" spans="1:10" hidden="1" x14ac:dyDescent="0.3">
      <c r="A67">
        <f>'Planta central'!A67</f>
        <v>0</v>
      </c>
      <c r="C67"/>
      <c r="D67"/>
      <c r="E67"/>
      <c r="F67"/>
      <c r="G67"/>
      <c r="H67"/>
      <c r="I67"/>
      <c r="J67"/>
    </row>
    <row r="68" spans="1:10" hidden="1" x14ac:dyDescent="0.3">
      <c r="A68">
        <f>'Planta central'!A68</f>
        <v>0</v>
      </c>
      <c r="C68"/>
      <c r="D68"/>
      <c r="E68"/>
      <c r="F68"/>
      <c r="G68"/>
      <c r="H68"/>
      <c r="I68"/>
      <c r="J68"/>
    </row>
    <row r="69" spans="1:10" hidden="1" x14ac:dyDescent="0.3">
      <c r="A69">
        <f>'Planta central'!A69</f>
        <v>0</v>
      </c>
      <c r="C69"/>
      <c r="D69"/>
      <c r="E69"/>
      <c r="F69"/>
      <c r="G69"/>
      <c r="H69"/>
      <c r="I69"/>
      <c r="J69"/>
    </row>
    <row r="70" spans="1:10" hidden="1" x14ac:dyDescent="0.3">
      <c r="A70">
        <f>'Planta central'!A70</f>
        <v>0</v>
      </c>
      <c r="C70"/>
      <c r="D70"/>
      <c r="E70"/>
      <c r="F70"/>
      <c r="G70"/>
      <c r="H70"/>
      <c r="I70"/>
      <c r="J70"/>
    </row>
    <row r="71" spans="1:10" x14ac:dyDescent="0.3">
      <c r="A71" s="654" t="str">
        <f>'Planta central'!A71</f>
        <v>Dirección de Planificación</v>
      </c>
      <c r="B71" s="654" t="str">
        <f>+UPPER(A71)</f>
        <v>DIRECCIÓN DE PLANIFICACIÓN</v>
      </c>
      <c r="C71" s="656">
        <f>SUBTOTAL(9,'Planta central'!M71:M80)</f>
        <v>116.7197289858141</v>
      </c>
      <c r="D71" s="656">
        <f>SUBTOTAL(9,'Planta central'!N71:N80)</f>
        <v>338.25377460088919</v>
      </c>
      <c r="E71" s="656">
        <f>SUBTOTAL(9,'Planta central'!O71:O80)</f>
        <v>420.4716185774127</v>
      </c>
      <c r="F71" s="656">
        <f>SUBTOTAL(9,'Planta central'!P71:P80)</f>
        <v>611.02297145414491</v>
      </c>
      <c r="G71" s="656">
        <f>SUBTOTAL(9,'Planta central'!Q71:Q80)</f>
        <v>665.41835735163625</v>
      </c>
      <c r="H71" s="656">
        <f>SUBTOTAL(9,'Planta central'!R71:R80)</f>
        <v>834.73467057115852</v>
      </c>
      <c r="I71" s="656">
        <f>SUBTOTAL(9,'Planta central'!S71:S80)</f>
        <v>877.36282109509489</v>
      </c>
      <c r="J71" s="656">
        <f>SUBTOTAL(9,'Planta central'!T71:T80)</f>
        <v>1039.1143118996711</v>
      </c>
    </row>
    <row r="72" spans="1:10" hidden="1" x14ac:dyDescent="0.3">
      <c r="A72">
        <f>'Planta central'!A72</f>
        <v>0</v>
      </c>
      <c r="C72"/>
      <c r="D72"/>
      <c r="E72"/>
      <c r="F72"/>
      <c r="G72"/>
      <c r="H72"/>
      <c r="I72"/>
      <c r="J72"/>
    </row>
    <row r="73" spans="1:10" hidden="1" x14ac:dyDescent="0.3">
      <c r="A73">
        <f>'Planta central'!A73</f>
        <v>0</v>
      </c>
      <c r="C73"/>
      <c r="D73"/>
      <c r="E73"/>
      <c r="F73"/>
      <c r="G73"/>
      <c r="H73"/>
      <c r="I73"/>
      <c r="J73"/>
    </row>
    <row r="74" spans="1:10" hidden="1" x14ac:dyDescent="0.3">
      <c r="A74">
        <f>'Planta central'!A74</f>
        <v>0</v>
      </c>
      <c r="C74"/>
      <c r="D74"/>
      <c r="E74"/>
      <c r="F74"/>
      <c r="G74"/>
      <c r="H74"/>
      <c r="I74"/>
      <c r="J74"/>
    </row>
    <row r="75" spans="1:10" hidden="1" x14ac:dyDescent="0.3">
      <c r="A75">
        <f>'Planta central'!A75</f>
        <v>0</v>
      </c>
      <c r="C75"/>
      <c r="D75"/>
      <c r="E75"/>
      <c r="F75"/>
      <c r="G75"/>
      <c r="H75"/>
      <c r="I75"/>
      <c r="J75"/>
    </row>
    <row r="76" spans="1:10" hidden="1" x14ac:dyDescent="0.3">
      <c r="A76">
        <f>'Planta central'!A76</f>
        <v>0</v>
      </c>
      <c r="C76"/>
      <c r="D76"/>
      <c r="E76"/>
      <c r="F76"/>
      <c r="G76"/>
      <c r="H76"/>
      <c r="I76"/>
      <c r="J76"/>
    </row>
    <row r="77" spans="1:10" hidden="1" x14ac:dyDescent="0.3">
      <c r="A77">
        <f>'Planta central'!A77</f>
        <v>0</v>
      </c>
      <c r="C77"/>
      <c r="D77"/>
      <c r="E77"/>
      <c r="F77"/>
      <c r="G77"/>
      <c r="H77"/>
      <c r="I77"/>
      <c r="J77"/>
    </row>
    <row r="78" spans="1:10" hidden="1" x14ac:dyDescent="0.3">
      <c r="A78">
        <f>'Planta central'!A78</f>
        <v>0</v>
      </c>
      <c r="C78"/>
      <c r="D78"/>
      <c r="E78"/>
      <c r="F78"/>
      <c r="G78"/>
      <c r="H78"/>
      <c r="I78"/>
      <c r="J78"/>
    </row>
    <row r="79" spans="1:10" hidden="1" x14ac:dyDescent="0.3">
      <c r="A79">
        <f>'Planta central'!A79</f>
        <v>0</v>
      </c>
      <c r="C79"/>
      <c r="D79"/>
      <c r="E79"/>
      <c r="F79"/>
      <c r="G79"/>
      <c r="H79"/>
      <c r="I79"/>
      <c r="J79"/>
    </row>
    <row r="80" spans="1:10" hidden="1" x14ac:dyDescent="0.3">
      <c r="A80">
        <f>'Planta central'!A80</f>
        <v>0</v>
      </c>
      <c r="C80"/>
      <c r="D80"/>
      <c r="E80"/>
      <c r="F80"/>
      <c r="G80"/>
      <c r="H80"/>
      <c r="I80"/>
      <c r="J80"/>
    </row>
    <row r="81" spans="1:10" x14ac:dyDescent="0.3">
      <c r="A81" s="654" t="str">
        <f>'Planta central'!A81</f>
        <v>Gestión de Calidad</v>
      </c>
      <c r="B81" s="654" t="str">
        <f>+UPPER(A81)</f>
        <v>GESTIÓN DE CALIDAD</v>
      </c>
      <c r="C81" s="656">
        <f>SUBTOTAL(9,'Planta central'!M81:M85)</f>
        <v>51.029328816430237</v>
      </c>
      <c r="D81" s="656">
        <f>SUBTOTAL(9,'Planta central'!N81:N85)</f>
        <v>147.88299491001482</v>
      </c>
      <c r="E81" s="656">
        <f>SUBTOTAL(9,'Planta central'!O81:O85)</f>
        <v>183.82825824562357</v>
      </c>
      <c r="F81" s="656">
        <f>SUBTOTAL(9,'Planta central'!P81:P85)</f>
        <v>267.13643353743043</v>
      </c>
      <c r="G81" s="656">
        <f>SUBTOTAL(9,'Planta central'!Q81:Q85)</f>
        <v>290.91784613304281</v>
      </c>
      <c r="H81" s="656">
        <f>SUBTOTAL(9,'Planta central'!R81:R85)</f>
        <v>364.94215972886002</v>
      </c>
      <c r="I81" s="656">
        <f>SUBTOTAL(9,'Planta central'!S81:S85)</f>
        <v>383.57899112680309</v>
      </c>
      <c r="J81" s="656">
        <f>SUBTOTAL(9,'Planta central'!T81:T85)</f>
        <v>454.29599914708126</v>
      </c>
    </row>
    <row r="82" spans="1:10" hidden="1" x14ac:dyDescent="0.3">
      <c r="A82">
        <f>'Planta central'!A82</f>
        <v>0</v>
      </c>
      <c r="C82"/>
      <c r="D82"/>
      <c r="E82"/>
      <c r="F82"/>
      <c r="G82"/>
      <c r="H82"/>
      <c r="I82"/>
      <c r="J82"/>
    </row>
    <row r="83" spans="1:10" hidden="1" x14ac:dyDescent="0.3">
      <c r="A83">
        <f>'Planta central'!A83</f>
        <v>0</v>
      </c>
      <c r="C83"/>
      <c r="D83"/>
      <c r="E83"/>
      <c r="F83"/>
      <c r="G83"/>
      <c r="H83"/>
      <c r="I83"/>
      <c r="J83"/>
    </row>
    <row r="84" spans="1:10" hidden="1" x14ac:dyDescent="0.3">
      <c r="A84">
        <f>'Planta central'!A84</f>
        <v>0</v>
      </c>
      <c r="C84"/>
      <c r="D84"/>
      <c r="E84"/>
      <c r="F84"/>
      <c r="G84"/>
      <c r="H84"/>
      <c r="I84"/>
      <c r="J84"/>
    </row>
    <row r="85" spans="1:10" hidden="1" x14ac:dyDescent="0.3">
      <c r="A85">
        <f>'Planta central'!A85</f>
        <v>0</v>
      </c>
      <c r="C85"/>
      <c r="D85"/>
      <c r="E85"/>
      <c r="F85"/>
      <c r="G85"/>
      <c r="H85"/>
      <c r="I85"/>
      <c r="J85"/>
    </row>
    <row r="86" spans="1:10" x14ac:dyDescent="0.3">
      <c r="A86" s="654" t="str">
        <f>'Planta central'!A86</f>
        <v>CENTRO DE DOCUMENTACION Y ARCHIVO</v>
      </c>
      <c r="B86" s="654" t="str">
        <f>+UPPER(A86)</f>
        <v>CENTRO DE DOCUMENTACION Y ARCHIVO</v>
      </c>
      <c r="C86" s="656">
        <f>SUBTOTAL(9,'Planta central'!M86:M95)</f>
        <v>124.47050224010162</v>
      </c>
      <c r="D86" s="656">
        <f>SUBTOTAL(9,'Planta central'!N86:N95)</f>
        <v>360.71551549181447</v>
      </c>
      <c r="E86" s="656">
        <f>SUBTOTAL(9,'Planta central'!O86:O95)</f>
        <v>448.39303515175112</v>
      </c>
      <c r="F86" s="656">
        <f>SUBTOTAL(9,'Planta central'!P86:P95)</f>
        <v>651.59795004647572</v>
      </c>
      <c r="G86" s="656">
        <f>SUBTOTAL(9,'Planta central'!Q86:Q95)</f>
        <v>709.60546138183702</v>
      </c>
      <c r="H86" s="656">
        <f>SUBTOTAL(9,'Planta central'!R86:R95)</f>
        <v>890.16522387441182</v>
      </c>
      <c r="I86" s="656">
        <f>SUBTOTAL(9,'Planta central'!S86:S95)</f>
        <v>935.62409660642334</v>
      </c>
      <c r="J86" s="656">
        <f>SUBTOTAL(9,'Planta central'!T86:T95)</f>
        <v>1108.1166946742078</v>
      </c>
    </row>
    <row r="87" spans="1:10" hidden="1" x14ac:dyDescent="0.3">
      <c r="A87">
        <f>'Planta central'!A87</f>
        <v>0</v>
      </c>
      <c r="C87"/>
      <c r="D87"/>
      <c r="E87"/>
      <c r="F87"/>
      <c r="G87"/>
      <c r="H87"/>
      <c r="I87"/>
      <c r="J87"/>
    </row>
    <row r="88" spans="1:10" hidden="1" x14ac:dyDescent="0.3">
      <c r="A88">
        <f>'Planta central'!A88</f>
        <v>0</v>
      </c>
      <c r="C88"/>
      <c r="D88"/>
      <c r="E88"/>
      <c r="F88"/>
      <c r="G88"/>
      <c r="H88"/>
      <c r="I88"/>
      <c r="J88"/>
    </row>
    <row r="89" spans="1:10" hidden="1" x14ac:dyDescent="0.3">
      <c r="A89">
        <f>'Planta central'!A89</f>
        <v>0</v>
      </c>
      <c r="C89"/>
      <c r="D89"/>
      <c r="E89"/>
      <c r="F89"/>
      <c r="G89"/>
      <c r="H89"/>
      <c r="I89"/>
      <c r="J89"/>
    </row>
    <row r="90" spans="1:10" hidden="1" x14ac:dyDescent="0.3">
      <c r="A90">
        <f>'Planta central'!A90</f>
        <v>0</v>
      </c>
      <c r="C90"/>
      <c r="D90"/>
      <c r="E90"/>
      <c r="F90"/>
      <c r="G90"/>
      <c r="H90"/>
      <c r="I90"/>
      <c r="J90"/>
    </row>
    <row r="91" spans="1:10" hidden="1" x14ac:dyDescent="0.3">
      <c r="A91">
        <f>'Planta central'!A91</f>
        <v>0</v>
      </c>
      <c r="C91"/>
      <c r="D91"/>
      <c r="E91"/>
      <c r="F91"/>
      <c r="G91"/>
      <c r="H91"/>
      <c r="I91"/>
      <c r="J91"/>
    </row>
    <row r="92" spans="1:10" hidden="1" x14ac:dyDescent="0.3">
      <c r="A92">
        <f>'Planta central'!A92</f>
        <v>0</v>
      </c>
      <c r="C92"/>
      <c r="D92"/>
      <c r="E92"/>
      <c r="F92"/>
      <c r="G92"/>
      <c r="H92"/>
      <c r="I92"/>
      <c r="J92"/>
    </row>
    <row r="93" spans="1:10" hidden="1" x14ac:dyDescent="0.3">
      <c r="A93">
        <f>'Planta central'!A93</f>
        <v>0</v>
      </c>
      <c r="C93"/>
      <c r="D93"/>
      <c r="E93"/>
      <c r="F93"/>
      <c r="G93"/>
      <c r="H93"/>
      <c r="I93"/>
      <c r="J93"/>
    </row>
    <row r="94" spans="1:10" hidden="1" x14ac:dyDescent="0.3">
      <c r="A94">
        <f>'Planta central'!A94</f>
        <v>0</v>
      </c>
      <c r="C94"/>
      <c r="D94"/>
      <c r="E94"/>
      <c r="F94"/>
      <c r="G94"/>
      <c r="H94"/>
      <c r="I94"/>
      <c r="J94"/>
    </row>
    <row r="95" spans="1:10" hidden="1" x14ac:dyDescent="0.3">
      <c r="A95">
        <f>'Planta central'!A95</f>
        <v>0</v>
      </c>
      <c r="C95"/>
      <c r="D95"/>
      <c r="E95"/>
      <c r="F95"/>
      <c r="G95"/>
      <c r="H95"/>
      <c r="I95"/>
      <c r="J95"/>
    </row>
    <row r="96" spans="1:10" x14ac:dyDescent="0.3">
      <c r="A96" s="654" t="str">
        <f>'Planta central'!A96</f>
        <v>CLINICA ODONTOLOGICA</v>
      </c>
      <c r="B96" s="654" t="str">
        <f>+UPPER(A96)</f>
        <v>CLINICA ODONTOLOGICA</v>
      </c>
      <c r="C96" s="656">
        <f>SUBTOTAL(9,'Planta central'!M96:M106)</f>
        <v>110.36195638365444</v>
      </c>
      <c r="D96" s="656">
        <f>SUBTOTAL(9,'Planta central'!N96:N106)</f>
        <v>319.82894959983054</v>
      </c>
      <c r="E96" s="656">
        <f>SUBTOTAL(9,'Planta central'!O96:O106)</f>
        <v>397.5683531243024</v>
      </c>
      <c r="F96" s="656">
        <f>SUBTOTAL(9,'Planta central'!P96:P106)</f>
        <v>577.74029387293251</v>
      </c>
      <c r="G96" s="656">
        <f>SUBTOTAL(9,'Planta central'!Q96:Q106)</f>
        <v>629.17274028154793</v>
      </c>
      <c r="H96" s="656">
        <f>SUBTOTAL(9,'Planta central'!R96:R106)</f>
        <v>789.26632289126383</v>
      </c>
      <c r="I96" s="656">
        <f>SUBTOTAL(9,'Planta central'!S96:S106)</f>
        <v>829.5725001735151</v>
      </c>
      <c r="J96" s="656">
        <f>SUBTOTAL(9,'Planta central'!T96:T106)</f>
        <v>982.51331941869455</v>
      </c>
    </row>
    <row r="97" spans="1:10" hidden="1" x14ac:dyDescent="0.3">
      <c r="A97">
        <f>'Planta central'!A97</f>
        <v>0</v>
      </c>
      <c r="C97"/>
      <c r="D97"/>
      <c r="E97"/>
      <c r="F97"/>
      <c r="G97"/>
      <c r="H97"/>
      <c r="I97"/>
      <c r="J97"/>
    </row>
    <row r="98" spans="1:10" hidden="1" x14ac:dyDescent="0.3">
      <c r="A98">
        <f>'Planta central'!A98</f>
        <v>0</v>
      </c>
      <c r="C98"/>
      <c r="D98"/>
      <c r="E98"/>
      <c r="F98"/>
      <c r="G98"/>
      <c r="H98"/>
      <c r="I98"/>
      <c r="J98"/>
    </row>
    <row r="99" spans="1:10" hidden="1" x14ac:dyDescent="0.3">
      <c r="A99">
        <f>'Planta central'!A99</f>
        <v>0</v>
      </c>
      <c r="C99"/>
      <c r="D99"/>
      <c r="E99"/>
      <c r="F99"/>
      <c r="G99"/>
      <c r="H99"/>
      <c r="I99"/>
      <c r="J99"/>
    </row>
    <row r="100" spans="1:10" hidden="1" x14ac:dyDescent="0.3">
      <c r="A100">
        <f>'Planta central'!A100</f>
        <v>0</v>
      </c>
      <c r="C100"/>
      <c r="D100"/>
      <c r="E100"/>
      <c r="F100"/>
      <c r="G100"/>
      <c r="H100"/>
      <c r="I100"/>
      <c r="J100"/>
    </row>
    <row r="101" spans="1:10" hidden="1" x14ac:dyDescent="0.3">
      <c r="A101">
        <f>'Planta central'!A101</f>
        <v>0</v>
      </c>
      <c r="C101"/>
      <c r="D101"/>
      <c r="E101"/>
      <c r="F101"/>
      <c r="G101"/>
      <c r="H101"/>
      <c r="I101"/>
      <c r="J101"/>
    </row>
    <row r="102" spans="1:10" hidden="1" x14ac:dyDescent="0.3">
      <c r="A102">
        <f>'Planta central'!A102</f>
        <v>0</v>
      </c>
      <c r="C102"/>
      <c r="D102"/>
      <c r="E102"/>
      <c r="F102"/>
      <c r="G102"/>
      <c r="H102"/>
      <c r="I102"/>
      <c r="J102"/>
    </row>
    <row r="103" spans="1:10" hidden="1" x14ac:dyDescent="0.3">
      <c r="A103">
        <f>'Planta central'!A103</f>
        <v>0</v>
      </c>
      <c r="C103"/>
      <c r="D103"/>
      <c r="E103"/>
      <c r="F103"/>
      <c r="G103"/>
      <c r="H103"/>
      <c r="I103"/>
      <c r="J103"/>
    </row>
    <row r="104" spans="1:10" hidden="1" x14ac:dyDescent="0.3">
      <c r="A104">
        <f>'Planta central'!A104</f>
        <v>0</v>
      </c>
      <c r="C104"/>
      <c r="D104"/>
      <c r="E104"/>
      <c r="F104"/>
      <c r="G104"/>
      <c r="H104"/>
      <c r="I104"/>
      <c r="J104"/>
    </row>
    <row r="105" spans="1:10" hidden="1" x14ac:dyDescent="0.3">
      <c r="A105">
        <f>'Planta central'!A105</f>
        <v>0</v>
      </c>
      <c r="C105"/>
      <c r="D105"/>
      <c r="E105"/>
      <c r="F105"/>
      <c r="G105"/>
      <c r="H105"/>
      <c r="I105"/>
      <c r="J105"/>
    </row>
    <row r="106" spans="1:10" hidden="1" x14ac:dyDescent="0.3">
      <c r="A106">
        <f>'Planta central'!A106</f>
        <v>0</v>
      </c>
      <c r="C106"/>
      <c r="D106"/>
      <c r="E106"/>
      <c r="F106"/>
      <c r="G106"/>
      <c r="H106"/>
      <c r="I106"/>
      <c r="J106"/>
    </row>
    <row r="107" spans="1:10" x14ac:dyDescent="0.3">
      <c r="A107" s="654" t="str">
        <f>'Planta central'!A107</f>
        <v>LABORATORIO DE SUELOS</v>
      </c>
      <c r="B107" s="654" t="str">
        <f>+UPPER(A107)</f>
        <v>LABORATORIO DE SUELOS</v>
      </c>
      <c r="C107" s="656">
        <f>SUBTOTAL(9,'Planta central'!M107:M111)</f>
        <v>26.813635401228034</v>
      </c>
      <c r="D107" s="656">
        <f>SUBTOTAL(9,'Planta central'!N107:N111)</f>
        <v>77.70591539275884</v>
      </c>
      <c r="E107" s="656">
        <f>SUBTOTAL(9,'Planta central'!O107:O111)</f>
        <v>96.593547423925457</v>
      </c>
      <c r="F107" s="656">
        <f>SUBTOTAL(9,'Planta central'!P107:P111)</f>
        <v>140.36827638914113</v>
      </c>
      <c r="G107" s="656">
        <f>SUBTOTAL(9,'Planta central'!Q107:Q111)</f>
        <v>152.86434759867677</v>
      </c>
      <c r="H107" s="656">
        <f>SUBTOTAL(9,'Planta central'!R107:R111)</f>
        <v>191.76082148185532</v>
      </c>
      <c r="I107" s="656">
        <f>SUBTOTAL(9,'Planta central'!S107:S111)</f>
        <v>201.55364481951415</v>
      </c>
      <c r="J107" s="656">
        <f>SUBTOTAL(9,'Planta central'!T107:T111)</f>
        <v>238.71227719233372</v>
      </c>
    </row>
    <row r="108" spans="1:10" hidden="1" x14ac:dyDescent="0.3">
      <c r="A108">
        <f>'Planta central'!A108</f>
        <v>0</v>
      </c>
      <c r="C108"/>
      <c r="D108"/>
      <c r="E108"/>
      <c r="F108"/>
      <c r="G108"/>
      <c r="H108"/>
      <c r="I108"/>
      <c r="J108"/>
    </row>
    <row r="109" spans="1:10" hidden="1" x14ac:dyDescent="0.3">
      <c r="A109">
        <f>'Planta central'!A109</f>
        <v>0</v>
      </c>
      <c r="C109"/>
      <c r="D109"/>
      <c r="E109"/>
      <c r="F109"/>
      <c r="G109"/>
      <c r="H109"/>
      <c r="I109"/>
      <c r="J109"/>
    </row>
    <row r="110" spans="1:10" hidden="1" x14ac:dyDescent="0.3">
      <c r="A110">
        <f>'Planta central'!A110</f>
        <v>0</v>
      </c>
      <c r="C110"/>
      <c r="D110"/>
      <c r="E110"/>
      <c r="F110"/>
      <c r="G110"/>
      <c r="H110"/>
      <c r="I110"/>
      <c r="J110"/>
    </row>
    <row r="111" spans="1:10" hidden="1" x14ac:dyDescent="0.3">
      <c r="A111">
        <f>'Planta central'!A111</f>
        <v>0</v>
      </c>
      <c r="C111"/>
      <c r="D111"/>
      <c r="E111"/>
      <c r="F111"/>
      <c r="G111"/>
      <c r="H111"/>
      <c r="I111"/>
      <c r="J111"/>
    </row>
    <row r="112" spans="1:10" x14ac:dyDescent="0.3">
      <c r="A112" s="654" t="str">
        <f>'Planta central'!A112</f>
        <v>LABORATORIO QUIMICO MICROBIOLOGICO</v>
      </c>
      <c r="B112" s="654" t="str">
        <f>+UPPER(A112)</f>
        <v>LABORATORIO QUIMICO MICROBIOLOGICO</v>
      </c>
      <c r="C112" s="656">
        <f>SUBTOTAL(9,'Planta central'!M112:M116)</f>
        <v>26.813635401228034</v>
      </c>
      <c r="D112" s="656">
        <f>SUBTOTAL(9,'Planta central'!N112:N116)</f>
        <v>77.70591539275884</v>
      </c>
      <c r="E112" s="656">
        <f>SUBTOTAL(9,'Planta central'!O112:O116)</f>
        <v>96.593547423925457</v>
      </c>
      <c r="F112" s="656">
        <f>SUBTOTAL(9,'Planta central'!P112:P116)</f>
        <v>140.36827638914113</v>
      </c>
      <c r="G112" s="656">
        <f>SUBTOTAL(9,'Planta central'!Q112:Q116)</f>
        <v>152.86434759867677</v>
      </c>
      <c r="H112" s="656">
        <f>SUBTOTAL(9,'Planta central'!R112:R116)</f>
        <v>191.76082148185532</v>
      </c>
      <c r="I112" s="656">
        <f>SUBTOTAL(9,'Planta central'!S112:S116)</f>
        <v>201.55364481951415</v>
      </c>
      <c r="J112" s="656">
        <f>SUBTOTAL(9,'Planta central'!T112:T116)</f>
        <v>238.71227719233372</v>
      </c>
    </row>
    <row r="113" spans="1:10" hidden="1" x14ac:dyDescent="0.3">
      <c r="A113">
        <f>'Planta central'!A113</f>
        <v>0</v>
      </c>
      <c r="C113"/>
      <c r="D113"/>
      <c r="E113"/>
      <c r="F113"/>
      <c r="G113"/>
      <c r="H113"/>
      <c r="I113"/>
      <c r="J113"/>
    </row>
    <row r="114" spans="1:10" hidden="1" x14ac:dyDescent="0.3">
      <c r="A114">
        <f>'Planta central'!A114</f>
        <v>0</v>
      </c>
      <c r="C114"/>
      <c r="D114"/>
      <c r="E114"/>
      <c r="F114"/>
      <c r="G114"/>
      <c r="H114"/>
      <c r="I114"/>
      <c r="J114"/>
    </row>
    <row r="115" spans="1:10" hidden="1" x14ac:dyDescent="0.3">
      <c r="A115">
        <f>'Planta central'!A115</f>
        <v>0</v>
      </c>
      <c r="C115"/>
      <c r="D115"/>
      <c r="E115"/>
      <c r="F115"/>
      <c r="G115"/>
      <c r="H115"/>
      <c r="I115"/>
      <c r="J115"/>
    </row>
    <row r="116" spans="1:10" hidden="1" x14ac:dyDescent="0.3">
      <c r="A116">
        <f>'Planta central'!A116</f>
        <v>0</v>
      </c>
      <c r="C116"/>
      <c r="D116"/>
      <c r="E116"/>
      <c r="F116"/>
      <c r="G116"/>
      <c r="H116"/>
      <c r="I116"/>
      <c r="J116"/>
    </row>
    <row r="117" spans="1:10" x14ac:dyDescent="0.3">
      <c r="A117" s="654" t="str">
        <f>'Planta central'!A117</f>
        <v>Procuraduría y Asesoría Jurídica</v>
      </c>
      <c r="B117" s="654" t="str">
        <f>+UPPER(A117)</f>
        <v>PROCURADURÍA Y ASESORÍA JURÍDICA</v>
      </c>
      <c r="C117" s="656">
        <f>SUBTOTAL(9,'Planta central'!M117:M126)</f>
        <v>139.70645775989834</v>
      </c>
      <c r="D117" s="656">
        <f>SUBTOTAL(9,'Planta central'!N117:N126)</f>
        <v>404.86931458818543</v>
      </c>
      <c r="E117" s="656">
        <f>SUBTOTAL(9,'Planta central'!O117:O126)</f>
        <v>503.27910226008879</v>
      </c>
      <c r="F117" s="656">
        <f>SUBTOTAL(9,'Planta central'!P117:P126)</f>
        <v>731.35754934935653</v>
      </c>
      <c r="G117" s="656">
        <f>SUBTOTAL(9,'Planta central'!Q117:Q126)</f>
        <v>796.46553707562066</v>
      </c>
      <c r="H117" s="656">
        <f>SUBTOTAL(9,'Planta central'!R117:R126)</f>
        <v>999.12692574059804</v>
      </c>
      <c r="I117" s="656">
        <f>SUBTOTAL(9,'Planta central'!S117:S126)</f>
        <v>1050.1502442686826</v>
      </c>
      <c r="J117" s="656">
        <f>SUBTOTAL(9,'Planta central'!T117:T126)</f>
        <v>1243.7569979344371</v>
      </c>
    </row>
    <row r="118" spans="1:10" hidden="1" x14ac:dyDescent="0.3">
      <c r="A118">
        <f>'Planta central'!A118</f>
        <v>0</v>
      </c>
      <c r="C118"/>
      <c r="D118"/>
      <c r="E118"/>
      <c r="F118"/>
      <c r="G118"/>
      <c r="H118"/>
      <c r="I118"/>
      <c r="J118"/>
    </row>
    <row r="119" spans="1:10" hidden="1" x14ac:dyDescent="0.3">
      <c r="A119">
        <f>'Planta central'!A119</f>
        <v>0</v>
      </c>
      <c r="C119"/>
      <c r="D119"/>
      <c r="E119"/>
      <c r="F119"/>
      <c r="G119"/>
      <c r="H119"/>
      <c r="I119"/>
      <c r="J119"/>
    </row>
    <row r="120" spans="1:10" hidden="1" x14ac:dyDescent="0.3">
      <c r="A120">
        <f>'Planta central'!A120</f>
        <v>0</v>
      </c>
      <c r="C120"/>
      <c r="D120"/>
      <c r="E120"/>
      <c r="F120"/>
      <c r="G120"/>
      <c r="H120"/>
      <c r="I120"/>
      <c r="J120"/>
    </row>
    <row r="121" spans="1:10" hidden="1" x14ac:dyDescent="0.3">
      <c r="A121">
        <f>'Planta central'!A121</f>
        <v>0</v>
      </c>
      <c r="C121"/>
      <c r="D121"/>
      <c r="E121"/>
      <c r="F121"/>
      <c r="G121"/>
      <c r="H121"/>
      <c r="I121"/>
      <c r="J121"/>
    </row>
    <row r="122" spans="1:10" hidden="1" x14ac:dyDescent="0.3">
      <c r="A122">
        <f>'Planta central'!A122</f>
        <v>0</v>
      </c>
      <c r="C122"/>
      <c r="D122"/>
      <c r="E122"/>
      <c r="F122"/>
      <c r="G122"/>
      <c r="H122"/>
      <c r="I122"/>
      <c r="J122"/>
    </row>
    <row r="123" spans="1:10" hidden="1" x14ac:dyDescent="0.3">
      <c r="A123">
        <f>'Planta central'!A123</f>
        <v>0</v>
      </c>
      <c r="C123"/>
      <c r="D123"/>
      <c r="E123"/>
      <c r="F123"/>
      <c r="G123"/>
      <c r="H123"/>
      <c r="I123"/>
      <c r="J123"/>
    </row>
    <row r="124" spans="1:10" hidden="1" x14ac:dyDescent="0.3">
      <c r="A124">
        <f>'Planta central'!A124</f>
        <v>0</v>
      </c>
      <c r="C124"/>
      <c r="D124"/>
      <c r="E124"/>
      <c r="F124"/>
      <c r="G124"/>
      <c r="H124"/>
      <c r="I124"/>
      <c r="J124"/>
    </row>
    <row r="125" spans="1:10" hidden="1" x14ac:dyDescent="0.3">
      <c r="A125">
        <f>'Planta central'!A125</f>
        <v>0</v>
      </c>
      <c r="C125"/>
      <c r="D125"/>
      <c r="E125"/>
      <c r="F125"/>
      <c r="G125"/>
      <c r="H125"/>
      <c r="I125"/>
      <c r="J125"/>
    </row>
    <row r="126" spans="1:10" hidden="1" x14ac:dyDescent="0.3">
      <c r="A126">
        <f>'Planta central'!A126</f>
        <v>0</v>
      </c>
      <c r="C126"/>
      <c r="D126"/>
      <c r="E126"/>
      <c r="F126"/>
      <c r="G126"/>
      <c r="H126"/>
      <c r="I126"/>
      <c r="J126"/>
    </row>
    <row r="127" spans="1:10" x14ac:dyDescent="0.3">
      <c r="A127" s="654" t="str">
        <f>'Planta central'!A127</f>
        <v>Departamento de Pastoral Universitaria</v>
      </c>
      <c r="B127" s="654" t="str">
        <f>+UPPER(A127)</f>
        <v>DEPARTAMENTO DE PASTORAL UNIVERSITARIA</v>
      </c>
      <c r="C127" s="656">
        <f>SUBTOTAL(9,'Planta central'!M127:M133)</f>
        <v>27.138378149481262</v>
      </c>
      <c r="D127" s="656">
        <f>SUBTOTAL(9,'Planta central'!N127:N133)</f>
        <v>78.647019877196698</v>
      </c>
      <c r="E127" s="656">
        <f>SUBTOTAL(9,'Planta central'!O127:O133)</f>
        <v>97.763401999203893</v>
      </c>
      <c r="F127" s="656">
        <f>SUBTOTAL(9,'Planta central'!P127:P133)</f>
        <v>142.06829129424762</v>
      </c>
      <c r="G127" s="656">
        <f>SUBTOTAL(9,'Planta central'!Q127:Q133)</f>
        <v>154.71570373171565</v>
      </c>
      <c r="H127" s="656">
        <f>SUBTOTAL(9,'Planta central'!R127:R133)</f>
        <v>194.08325688621167</v>
      </c>
      <c r="I127" s="656">
        <f>SUBTOTAL(9,'Planta central'!S127:S133)</f>
        <v>203.99468213354234</v>
      </c>
      <c r="J127" s="656">
        <f>SUBTOTAL(9,'Planta central'!T127:T133)</f>
        <v>241.60334659703202</v>
      </c>
    </row>
    <row r="128" spans="1:10" hidden="1" x14ac:dyDescent="0.3">
      <c r="A128">
        <f>'Planta central'!A128</f>
        <v>0</v>
      </c>
      <c r="C128"/>
      <c r="D128"/>
      <c r="E128"/>
      <c r="F128"/>
      <c r="G128"/>
      <c r="H128"/>
      <c r="I128"/>
      <c r="J128"/>
    </row>
    <row r="129" spans="1:10" hidden="1" x14ac:dyDescent="0.3">
      <c r="A129">
        <f>'Planta central'!A129</f>
        <v>0</v>
      </c>
      <c r="C129"/>
      <c r="D129"/>
      <c r="E129"/>
      <c r="F129"/>
      <c r="G129"/>
      <c r="H129"/>
      <c r="I129"/>
      <c r="J129"/>
    </row>
    <row r="130" spans="1:10" hidden="1" x14ac:dyDescent="0.3">
      <c r="A130">
        <f>'Planta central'!A130</f>
        <v>0</v>
      </c>
      <c r="C130"/>
      <c r="D130"/>
      <c r="E130"/>
      <c r="F130"/>
      <c r="G130"/>
      <c r="H130"/>
      <c r="I130"/>
      <c r="J130"/>
    </row>
    <row r="131" spans="1:10" hidden="1" x14ac:dyDescent="0.3">
      <c r="A131">
        <f>'Planta central'!A131</f>
        <v>0</v>
      </c>
      <c r="C131"/>
      <c r="D131"/>
      <c r="E131"/>
      <c r="F131"/>
      <c r="G131"/>
      <c r="H131"/>
      <c r="I131"/>
      <c r="J131"/>
    </row>
    <row r="132" spans="1:10" hidden="1" x14ac:dyDescent="0.3">
      <c r="A132">
        <f>'Planta central'!A132</f>
        <v>0</v>
      </c>
      <c r="C132"/>
      <c r="D132"/>
      <c r="E132"/>
      <c r="F132"/>
      <c r="G132"/>
      <c r="H132"/>
      <c r="I132"/>
      <c r="J132"/>
    </row>
    <row r="133" spans="1:10" hidden="1" x14ac:dyDescent="0.3">
      <c r="A133">
        <f>'Planta central'!A133</f>
        <v>0</v>
      </c>
      <c r="C133"/>
      <c r="D133"/>
      <c r="E133"/>
      <c r="F133"/>
      <c r="G133"/>
      <c r="H133"/>
      <c r="I133"/>
      <c r="J133"/>
    </row>
    <row r="134" spans="1:10" x14ac:dyDescent="0.3">
      <c r="A134" s="654" t="str">
        <f>'Planta central'!A134</f>
        <v>Vicerrectorado Académico</v>
      </c>
      <c r="B134" s="654" t="str">
        <f>+UPPER(A134)</f>
        <v>VICERRECTORADO ACADÉMICO</v>
      </c>
      <c r="C134" s="656">
        <f>SUBTOTAL(9,'Planta central'!M134:M138)</f>
        <v>30.385805632013547</v>
      </c>
      <c r="D134" s="656">
        <f>SUBTOTAL(9,'Planta central'!N134:N138)</f>
        <v>88.058064721575263</v>
      </c>
      <c r="E134" s="656">
        <f>SUBTOTAL(9,'Planta central'!O134:O138)</f>
        <v>109.46194775198813</v>
      </c>
      <c r="F134" s="656">
        <f>SUBTOTAL(9,'Planta central'!P134:P138)</f>
        <v>159.06844034531247</v>
      </c>
      <c r="G134" s="656">
        <f>SUBTOTAL(9,'Planta central'!Q134:Q138)</f>
        <v>173.22926506210416</v>
      </c>
      <c r="H134" s="656">
        <f>SUBTOTAL(9,'Planta central'!R134:R138)</f>
        <v>217.30761092977505</v>
      </c>
      <c r="I134" s="656">
        <f>SUBTOTAL(9,'Planta central'!S134:S138)</f>
        <v>228.40505527382399</v>
      </c>
      <c r="J134" s="656">
        <f>SUBTOTAL(9,'Planta central'!T134:T138)</f>
        <v>270.51404064401481</v>
      </c>
    </row>
    <row r="135" spans="1:10" hidden="1" x14ac:dyDescent="0.3">
      <c r="A135">
        <f>'Planta central'!A135</f>
        <v>0</v>
      </c>
      <c r="C135"/>
      <c r="D135"/>
      <c r="E135"/>
      <c r="F135"/>
      <c r="G135"/>
      <c r="H135"/>
      <c r="I135"/>
      <c r="J135"/>
    </row>
    <row r="136" spans="1:10" hidden="1" x14ac:dyDescent="0.3">
      <c r="A136">
        <f>'Planta central'!A136</f>
        <v>0</v>
      </c>
      <c r="C136"/>
      <c r="D136"/>
      <c r="E136"/>
      <c r="F136"/>
      <c r="G136"/>
      <c r="H136"/>
      <c r="I136"/>
      <c r="J136"/>
    </row>
    <row r="137" spans="1:10" hidden="1" x14ac:dyDescent="0.3">
      <c r="A137">
        <f>'Planta central'!A137</f>
        <v>0</v>
      </c>
      <c r="C137"/>
      <c r="D137"/>
      <c r="E137"/>
      <c r="F137"/>
      <c r="G137"/>
      <c r="H137"/>
      <c r="I137"/>
      <c r="J137"/>
    </row>
    <row r="138" spans="1:10" hidden="1" x14ac:dyDescent="0.3">
      <c r="A138">
        <f>'Planta central'!A138</f>
        <v>0</v>
      </c>
      <c r="C138"/>
      <c r="D138"/>
      <c r="E138"/>
      <c r="F138"/>
      <c r="G138"/>
      <c r="H138"/>
      <c r="I138"/>
      <c r="J138"/>
    </row>
    <row r="139" spans="1:10" x14ac:dyDescent="0.3">
      <c r="A139" s="654" t="str">
        <f>'Planta central'!A139</f>
        <v>Capacitación Docente</v>
      </c>
      <c r="B139" s="654" t="str">
        <f>+UPPER(A139)</f>
        <v>CAPACITACIÓN DOCENTE</v>
      </c>
      <c r="C139" s="656">
        <f>SUBTOTAL(9,'Planta central'!M139:M145)</f>
        <v>85.359695109040871</v>
      </c>
      <c r="D139" s="656">
        <f>SUBTOTAL(9,'Planta central'!N139:N145)</f>
        <v>247.37239642600045</v>
      </c>
      <c r="E139" s="656">
        <f>SUBTOTAL(9,'Planta central'!O139:O145)</f>
        <v>307.50010709958929</v>
      </c>
      <c r="F139" s="656">
        <f>SUBTOTAL(9,'Planta central'!P139:P145)</f>
        <v>446.85448639351296</v>
      </c>
      <c r="G139" s="656">
        <f>SUBTOTAL(9,'Planta central'!Q139:Q145)</f>
        <v>486.63502389041554</v>
      </c>
      <c r="H139" s="656">
        <f>SUBTOTAL(9,'Planta central'!R139:R145)</f>
        <v>610.45975342831434</v>
      </c>
      <c r="I139" s="656">
        <f>SUBTOTAL(9,'Planta central'!S139:S145)</f>
        <v>641.63465387918632</v>
      </c>
      <c r="J139" s="656">
        <f>SUBTOTAL(9,'Planta central'!T139:T145)</f>
        <v>759.9270630415615</v>
      </c>
    </row>
    <row r="140" spans="1:10" hidden="1" x14ac:dyDescent="0.3">
      <c r="A140">
        <f>'Planta central'!A140</f>
        <v>0</v>
      </c>
      <c r="C140"/>
      <c r="D140"/>
      <c r="E140"/>
      <c r="F140"/>
      <c r="G140"/>
      <c r="H140"/>
      <c r="I140"/>
      <c r="J140"/>
    </row>
    <row r="141" spans="1:10" hidden="1" x14ac:dyDescent="0.3">
      <c r="A141">
        <f>'Planta central'!A141</f>
        <v>0</v>
      </c>
      <c r="C141"/>
      <c r="D141"/>
      <c r="E141"/>
      <c r="F141"/>
      <c r="G141"/>
      <c r="H141"/>
      <c r="I141"/>
      <c r="J141"/>
    </row>
    <row r="142" spans="1:10" hidden="1" x14ac:dyDescent="0.3">
      <c r="A142">
        <f>'Planta central'!A142</f>
        <v>0</v>
      </c>
      <c r="C142"/>
      <c r="D142"/>
      <c r="E142"/>
      <c r="F142"/>
      <c r="G142"/>
      <c r="H142"/>
      <c r="I142"/>
      <c r="J142"/>
    </row>
    <row r="143" spans="1:10" hidden="1" x14ac:dyDescent="0.3">
      <c r="A143">
        <f>'Planta central'!A143</f>
        <v>0</v>
      </c>
      <c r="C143"/>
      <c r="D143"/>
      <c r="E143"/>
      <c r="F143"/>
      <c r="G143"/>
      <c r="H143"/>
      <c r="I143"/>
      <c r="J143"/>
    </row>
    <row r="144" spans="1:10" hidden="1" x14ac:dyDescent="0.3">
      <c r="A144">
        <f>'Planta central'!A144</f>
        <v>0</v>
      </c>
      <c r="C144"/>
      <c r="D144"/>
      <c r="E144"/>
      <c r="F144"/>
      <c r="G144"/>
      <c r="H144"/>
      <c r="I144"/>
      <c r="J144"/>
    </row>
    <row r="145" spans="1:10" hidden="1" x14ac:dyDescent="0.3">
      <c r="A145">
        <f>'Planta central'!A145</f>
        <v>0</v>
      </c>
      <c r="C145"/>
      <c r="D145"/>
      <c r="E145"/>
      <c r="F145"/>
      <c r="G145"/>
      <c r="H145"/>
      <c r="I145"/>
      <c r="J145"/>
    </row>
    <row r="146" spans="1:10" x14ac:dyDescent="0.3">
      <c r="A146" s="654" t="str">
        <f>'Planta central'!A146</f>
        <v>Dirección Académica</v>
      </c>
      <c r="B146" s="654" t="str">
        <f>+UPPER(A146)</f>
        <v>DIRECCIÓN ACADÉMICA</v>
      </c>
      <c r="C146" s="656">
        <f>SUBTOTAL(9,'Planta central'!M146:M159)</f>
        <v>84.38546686428117</v>
      </c>
      <c r="D146" s="656">
        <f>SUBTOTAL(9,'Planta central'!N146:N159)</f>
        <v>244.54908297268679</v>
      </c>
      <c r="E146" s="656">
        <f>SUBTOTAL(9,'Planta central'!O146:O159)</f>
        <v>303.99054337375395</v>
      </c>
      <c r="F146" s="656">
        <f>SUBTOTAL(9,'Planta central'!P146:P159)</f>
        <v>441.75444167819347</v>
      </c>
      <c r="G146" s="656">
        <f>SUBTOTAL(9,'Planta central'!Q146:Q159)</f>
        <v>481.08095549129888</v>
      </c>
      <c r="H146" s="656">
        <f>SUBTOTAL(9,'Planta central'!R146:R159)</f>
        <v>603.49244721524531</v>
      </c>
      <c r="I146" s="656">
        <f>SUBTOTAL(9,'Planta central'!S146:S159)</f>
        <v>634.31154193710177</v>
      </c>
      <c r="J146" s="656">
        <f>SUBTOTAL(9,'Planta central'!T146:T159)</f>
        <v>751.25385482746663</v>
      </c>
    </row>
    <row r="147" spans="1:10" hidden="1" x14ac:dyDescent="0.3">
      <c r="A147">
        <f>'Planta central'!A147</f>
        <v>0</v>
      </c>
      <c r="C147"/>
      <c r="D147"/>
      <c r="E147"/>
      <c r="F147"/>
      <c r="G147"/>
      <c r="H147"/>
      <c r="I147"/>
      <c r="J147"/>
    </row>
    <row r="148" spans="1:10" hidden="1" x14ac:dyDescent="0.3">
      <c r="A148">
        <f>'Planta central'!A148</f>
        <v>0</v>
      </c>
      <c r="C148"/>
      <c r="D148"/>
      <c r="E148"/>
      <c r="F148"/>
      <c r="G148"/>
      <c r="H148"/>
      <c r="I148"/>
      <c r="J148"/>
    </row>
    <row r="149" spans="1:10" hidden="1" x14ac:dyDescent="0.3">
      <c r="A149">
        <f>'Planta central'!A149</f>
        <v>0</v>
      </c>
      <c r="C149"/>
      <c r="D149"/>
      <c r="E149"/>
      <c r="F149"/>
      <c r="G149"/>
      <c r="H149"/>
      <c r="I149"/>
      <c r="J149"/>
    </row>
    <row r="150" spans="1:10" hidden="1" x14ac:dyDescent="0.3">
      <c r="A150">
        <f>'Planta central'!A150</f>
        <v>0</v>
      </c>
      <c r="C150"/>
      <c r="D150"/>
      <c r="E150"/>
      <c r="F150"/>
      <c r="G150"/>
      <c r="H150"/>
      <c r="I150"/>
      <c r="J150"/>
    </row>
    <row r="151" spans="1:10" hidden="1" x14ac:dyDescent="0.3">
      <c r="A151">
        <f>'Planta central'!A151</f>
        <v>0</v>
      </c>
      <c r="C151"/>
      <c r="D151"/>
      <c r="E151"/>
      <c r="F151"/>
      <c r="G151"/>
      <c r="H151"/>
      <c r="I151"/>
      <c r="J151"/>
    </row>
    <row r="152" spans="1:10" hidden="1" x14ac:dyDescent="0.3">
      <c r="A152">
        <f>'Planta central'!A152</f>
        <v>0</v>
      </c>
      <c r="C152"/>
      <c r="D152"/>
      <c r="E152"/>
      <c r="F152"/>
      <c r="G152"/>
      <c r="H152"/>
      <c r="I152"/>
      <c r="J152"/>
    </row>
    <row r="153" spans="1:10" hidden="1" x14ac:dyDescent="0.3">
      <c r="A153">
        <f>'Planta central'!A153</f>
        <v>0</v>
      </c>
      <c r="C153"/>
      <c r="D153"/>
      <c r="E153"/>
      <c r="F153"/>
      <c r="G153"/>
      <c r="H153"/>
      <c r="I153"/>
      <c r="J153"/>
    </row>
    <row r="154" spans="1:10" hidden="1" x14ac:dyDescent="0.3">
      <c r="A154">
        <f>'Planta central'!A154</f>
        <v>0</v>
      </c>
      <c r="C154"/>
      <c r="D154"/>
      <c r="E154"/>
      <c r="F154"/>
      <c r="G154"/>
      <c r="H154"/>
      <c r="I154"/>
      <c r="J154"/>
    </row>
    <row r="155" spans="1:10" hidden="1" x14ac:dyDescent="0.3">
      <c r="A155">
        <f>'Planta central'!A155</f>
        <v>0</v>
      </c>
      <c r="C155"/>
      <c r="D155"/>
      <c r="E155"/>
      <c r="F155"/>
      <c r="G155"/>
      <c r="H155"/>
      <c r="I155"/>
      <c r="J155"/>
    </row>
    <row r="156" spans="1:10" hidden="1" x14ac:dyDescent="0.3">
      <c r="A156">
        <f>'Planta central'!A156</f>
        <v>0</v>
      </c>
      <c r="C156"/>
      <c r="D156"/>
      <c r="E156"/>
      <c r="F156"/>
      <c r="G156"/>
      <c r="H156"/>
      <c r="I156"/>
      <c r="J156"/>
    </row>
    <row r="157" spans="1:10" hidden="1" x14ac:dyDescent="0.3">
      <c r="A157">
        <f>'Planta central'!A157</f>
        <v>0</v>
      </c>
      <c r="C157"/>
      <c r="D157"/>
      <c r="E157"/>
      <c r="F157"/>
      <c r="G157"/>
      <c r="H157"/>
      <c r="I157"/>
      <c r="J157"/>
    </row>
    <row r="158" spans="1:10" hidden="1" x14ac:dyDescent="0.3">
      <c r="A158">
        <f>'Planta central'!A158</f>
        <v>0</v>
      </c>
      <c r="C158"/>
      <c r="D158"/>
      <c r="E158"/>
      <c r="F158"/>
      <c r="G158"/>
      <c r="H158"/>
      <c r="I158"/>
      <c r="J158"/>
    </row>
    <row r="159" spans="1:10" hidden="1" x14ac:dyDescent="0.3">
      <c r="A159">
        <f>'Planta central'!A159</f>
        <v>0</v>
      </c>
      <c r="C159"/>
      <c r="D159"/>
      <c r="E159"/>
      <c r="F159"/>
      <c r="G159"/>
      <c r="H159"/>
      <c r="I159"/>
      <c r="J159"/>
    </row>
    <row r="160" spans="1:10" x14ac:dyDescent="0.3">
      <c r="A160" s="654" t="str">
        <f>'Planta central'!A160</f>
        <v>Bienestar Estudiantil</v>
      </c>
      <c r="B160" s="654" t="str">
        <f>+UPPER(A160)</f>
        <v>BIENESTAR ESTUDIANTIL</v>
      </c>
      <c r="C160" s="656">
        <f>SUBTOTAL(9,'Planta central'!M160:M196)</f>
        <v>604.71487210671171</v>
      </c>
      <c r="D160" s="656">
        <f>SUBTOTAL(9,'Planta central'!N160:N196)</f>
        <v>1752.4636993652507</v>
      </c>
      <c r="E160" s="656">
        <f>SUBTOTAL(9,'Planta central'!O160:O196)</f>
        <v>2178.4272741367067</v>
      </c>
      <c r="F160" s="656">
        <f>SUBTOTAL(9,'Planta central'!P160:P196)</f>
        <v>3165.6574363881864</v>
      </c>
      <c r="G160" s="656">
        <f>SUBTOTAL(9,'Planta central'!Q160:Q196)</f>
        <v>3447.4752499833048</v>
      </c>
      <c r="H160" s="656">
        <f>SUBTOTAL(9,'Planta central'!R160:R196)</f>
        <v>4324.6884990525114</v>
      </c>
      <c r="I160" s="656">
        <f>SUBTOTAL(9,'Planta central'!S160:S196)</f>
        <v>4545.5412787514833</v>
      </c>
      <c r="J160" s="656">
        <f>SUBTOTAL(9,'Planta central'!T160:T196)</f>
        <v>5383.5618338441636</v>
      </c>
    </row>
    <row r="161" spans="1:10" hidden="1" x14ac:dyDescent="0.3">
      <c r="A161">
        <f>'Planta central'!A161</f>
        <v>0</v>
      </c>
      <c r="C161"/>
      <c r="D161"/>
      <c r="E161"/>
      <c r="F161"/>
      <c r="G161"/>
      <c r="H161"/>
      <c r="I161"/>
      <c r="J161"/>
    </row>
    <row r="162" spans="1:10" hidden="1" x14ac:dyDescent="0.3">
      <c r="A162">
        <f>'Planta central'!A162</f>
        <v>0</v>
      </c>
      <c r="C162"/>
      <c r="D162"/>
      <c r="E162"/>
      <c r="F162"/>
      <c r="G162"/>
      <c r="H162"/>
      <c r="I162"/>
      <c r="J162"/>
    </row>
    <row r="163" spans="1:10" hidden="1" x14ac:dyDescent="0.3">
      <c r="A163">
        <f>'Planta central'!A163</f>
        <v>0</v>
      </c>
      <c r="C163"/>
      <c r="D163"/>
      <c r="E163"/>
      <c r="F163"/>
      <c r="G163"/>
      <c r="H163"/>
      <c r="I163"/>
      <c r="J163"/>
    </row>
    <row r="164" spans="1:10" hidden="1" x14ac:dyDescent="0.3">
      <c r="A164">
        <f>'Planta central'!A164</f>
        <v>0</v>
      </c>
      <c r="C164"/>
      <c r="D164"/>
      <c r="E164"/>
      <c r="F164"/>
      <c r="G164"/>
      <c r="H164"/>
      <c r="I164"/>
      <c r="J164"/>
    </row>
    <row r="165" spans="1:10" hidden="1" x14ac:dyDescent="0.3">
      <c r="A165">
        <f>'Planta central'!A165</f>
        <v>0</v>
      </c>
      <c r="C165"/>
      <c r="D165"/>
      <c r="E165"/>
      <c r="F165"/>
      <c r="G165"/>
      <c r="H165"/>
      <c r="I165"/>
      <c r="J165"/>
    </row>
    <row r="166" spans="1:10" hidden="1" x14ac:dyDescent="0.3">
      <c r="A166">
        <f>'Planta central'!A166</f>
        <v>0</v>
      </c>
      <c r="C166"/>
      <c r="D166"/>
      <c r="E166"/>
      <c r="F166"/>
      <c r="G166"/>
      <c r="H166"/>
      <c r="I166"/>
      <c r="J166"/>
    </row>
    <row r="167" spans="1:10" hidden="1" x14ac:dyDescent="0.3">
      <c r="A167">
        <f>'Planta central'!A167</f>
        <v>0</v>
      </c>
      <c r="C167"/>
      <c r="D167"/>
      <c r="E167"/>
      <c r="F167"/>
      <c r="G167"/>
      <c r="H167"/>
      <c r="I167"/>
      <c r="J167"/>
    </row>
    <row r="168" spans="1:10" hidden="1" x14ac:dyDescent="0.3">
      <c r="A168">
        <f>'Planta central'!A168</f>
        <v>0</v>
      </c>
      <c r="C168"/>
      <c r="D168"/>
      <c r="E168"/>
      <c r="F168"/>
      <c r="G168"/>
      <c r="H168"/>
      <c r="I168"/>
      <c r="J168"/>
    </row>
    <row r="169" spans="1:10" hidden="1" x14ac:dyDescent="0.3">
      <c r="A169">
        <f>'Planta central'!A169</f>
        <v>0</v>
      </c>
      <c r="C169"/>
      <c r="D169"/>
      <c r="E169"/>
      <c r="F169"/>
      <c r="G169"/>
      <c r="H169"/>
      <c r="I169"/>
      <c r="J169"/>
    </row>
    <row r="170" spans="1:10" hidden="1" x14ac:dyDescent="0.3">
      <c r="A170">
        <f>'Planta central'!A170</f>
        <v>0</v>
      </c>
      <c r="C170"/>
      <c r="D170"/>
      <c r="E170"/>
      <c r="F170"/>
      <c r="G170"/>
      <c r="H170"/>
      <c r="I170"/>
      <c r="J170"/>
    </row>
    <row r="171" spans="1:10" hidden="1" x14ac:dyDescent="0.3">
      <c r="A171">
        <f>'Planta central'!A171</f>
        <v>0</v>
      </c>
      <c r="C171"/>
      <c r="D171"/>
      <c r="E171"/>
      <c r="F171"/>
      <c r="G171"/>
      <c r="H171"/>
      <c r="I171"/>
      <c r="J171"/>
    </row>
    <row r="172" spans="1:10" hidden="1" x14ac:dyDescent="0.3">
      <c r="A172">
        <f>'Planta central'!A172</f>
        <v>0</v>
      </c>
      <c r="C172"/>
      <c r="D172"/>
      <c r="E172"/>
      <c r="F172"/>
      <c r="G172"/>
      <c r="H172"/>
      <c r="I172"/>
      <c r="J172"/>
    </row>
    <row r="173" spans="1:10" hidden="1" x14ac:dyDescent="0.3">
      <c r="A173">
        <f>'Planta central'!A173</f>
        <v>0</v>
      </c>
      <c r="C173"/>
      <c r="D173"/>
      <c r="E173"/>
      <c r="F173"/>
      <c r="G173"/>
      <c r="H173"/>
      <c r="I173"/>
      <c r="J173"/>
    </row>
    <row r="174" spans="1:10" hidden="1" x14ac:dyDescent="0.3">
      <c r="A174">
        <f>'Planta central'!A174</f>
        <v>0</v>
      </c>
      <c r="C174"/>
      <c r="D174"/>
      <c r="E174"/>
      <c r="F174"/>
      <c r="G174"/>
      <c r="H174"/>
      <c r="I174"/>
      <c r="J174"/>
    </row>
    <row r="175" spans="1:10" hidden="1" x14ac:dyDescent="0.3">
      <c r="A175">
        <f>'Planta central'!A175</f>
        <v>0</v>
      </c>
      <c r="C175"/>
      <c r="D175"/>
      <c r="E175"/>
      <c r="F175"/>
      <c r="G175"/>
      <c r="H175"/>
      <c r="I175"/>
      <c r="J175"/>
    </row>
    <row r="176" spans="1:10" hidden="1" x14ac:dyDescent="0.3">
      <c r="A176">
        <f>'Planta central'!A176</f>
        <v>0</v>
      </c>
      <c r="C176"/>
      <c r="D176"/>
      <c r="E176"/>
      <c r="F176"/>
      <c r="G176"/>
      <c r="H176"/>
      <c r="I176"/>
      <c r="J176"/>
    </row>
    <row r="177" spans="1:10" hidden="1" x14ac:dyDescent="0.3">
      <c r="A177">
        <f>'Planta central'!A177</f>
        <v>0</v>
      </c>
      <c r="C177"/>
      <c r="D177"/>
      <c r="E177"/>
      <c r="F177"/>
      <c r="G177"/>
      <c r="H177"/>
      <c r="I177"/>
      <c r="J177"/>
    </row>
    <row r="178" spans="1:10" hidden="1" x14ac:dyDescent="0.3">
      <c r="A178">
        <f>'Planta central'!A178</f>
        <v>0</v>
      </c>
      <c r="C178"/>
      <c r="D178"/>
      <c r="E178"/>
      <c r="F178"/>
      <c r="G178"/>
      <c r="H178"/>
      <c r="I178"/>
      <c r="J178"/>
    </row>
    <row r="179" spans="1:10" hidden="1" x14ac:dyDescent="0.3">
      <c r="A179">
        <f>'Planta central'!A179</f>
        <v>0</v>
      </c>
      <c r="C179"/>
      <c r="D179"/>
      <c r="E179"/>
      <c r="F179"/>
      <c r="G179"/>
      <c r="H179"/>
      <c r="I179"/>
      <c r="J179"/>
    </row>
    <row r="180" spans="1:10" hidden="1" x14ac:dyDescent="0.3">
      <c r="A180">
        <f>'Planta central'!A180</f>
        <v>0</v>
      </c>
      <c r="C180"/>
      <c r="D180"/>
      <c r="E180"/>
      <c r="F180"/>
      <c r="G180"/>
      <c r="H180"/>
      <c r="I180"/>
      <c r="J180"/>
    </row>
    <row r="181" spans="1:10" hidden="1" x14ac:dyDescent="0.3">
      <c r="A181">
        <f>'Planta central'!A181</f>
        <v>0</v>
      </c>
      <c r="C181"/>
      <c r="D181"/>
      <c r="E181"/>
      <c r="F181"/>
      <c r="G181"/>
      <c r="H181"/>
      <c r="I181"/>
      <c r="J181"/>
    </row>
    <row r="182" spans="1:10" hidden="1" x14ac:dyDescent="0.3">
      <c r="A182">
        <f>'Planta central'!A182</f>
        <v>0</v>
      </c>
      <c r="C182"/>
      <c r="D182"/>
      <c r="E182"/>
      <c r="F182"/>
      <c r="G182"/>
      <c r="H182"/>
      <c r="I182"/>
      <c r="J182"/>
    </row>
    <row r="183" spans="1:10" hidden="1" x14ac:dyDescent="0.3">
      <c r="A183">
        <f>'Planta central'!A183</f>
        <v>0</v>
      </c>
      <c r="C183"/>
      <c r="D183"/>
      <c r="E183"/>
      <c r="F183"/>
      <c r="G183"/>
      <c r="H183"/>
      <c r="I183"/>
      <c r="J183"/>
    </row>
    <row r="184" spans="1:10" hidden="1" x14ac:dyDescent="0.3">
      <c r="A184">
        <f>'Planta central'!A184</f>
        <v>0</v>
      </c>
      <c r="C184"/>
      <c r="D184"/>
      <c r="E184"/>
      <c r="F184"/>
      <c r="G184"/>
      <c r="H184"/>
      <c r="I184"/>
      <c r="J184"/>
    </row>
    <row r="185" spans="1:10" hidden="1" x14ac:dyDescent="0.3">
      <c r="A185">
        <f>'Planta central'!A185</f>
        <v>0</v>
      </c>
      <c r="C185"/>
      <c r="D185"/>
      <c r="E185"/>
      <c r="F185"/>
      <c r="G185"/>
      <c r="H185"/>
      <c r="I185"/>
      <c r="J185"/>
    </row>
    <row r="186" spans="1:10" hidden="1" x14ac:dyDescent="0.3">
      <c r="A186">
        <f>'Planta central'!A186</f>
        <v>0</v>
      </c>
      <c r="C186"/>
      <c r="D186"/>
      <c r="E186"/>
      <c r="F186"/>
      <c r="G186"/>
      <c r="H186"/>
      <c r="I186"/>
      <c r="J186"/>
    </row>
    <row r="187" spans="1:10" hidden="1" x14ac:dyDescent="0.3">
      <c r="A187">
        <f>'Planta central'!A187</f>
        <v>0</v>
      </c>
      <c r="C187"/>
      <c r="D187"/>
      <c r="E187"/>
      <c r="F187"/>
      <c r="G187"/>
      <c r="H187"/>
      <c r="I187"/>
      <c r="J187"/>
    </row>
    <row r="188" spans="1:10" hidden="1" x14ac:dyDescent="0.3">
      <c r="A188">
        <f>'Planta central'!A188</f>
        <v>0</v>
      </c>
      <c r="C188"/>
      <c r="D188"/>
      <c r="E188"/>
      <c r="F188"/>
      <c r="G188"/>
      <c r="H188"/>
      <c r="I188"/>
      <c r="J188"/>
    </row>
    <row r="189" spans="1:10" hidden="1" x14ac:dyDescent="0.3">
      <c r="A189">
        <f>'Planta central'!A189</f>
        <v>0</v>
      </c>
      <c r="C189"/>
      <c r="D189"/>
      <c r="E189"/>
      <c r="F189"/>
      <c r="G189"/>
      <c r="H189"/>
      <c r="I189"/>
      <c r="J189"/>
    </row>
    <row r="190" spans="1:10" hidden="1" x14ac:dyDescent="0.3">
      <c r="A190">
        <f>'Planta central'!A190</f>
        <v>0</v>
      </c>
      <c r="C190"/>
      <c r="D190"/>
      <c r="E190"/>
      <c r="F190"/>
      <c r="G190"/>
      <c r="H190"/>
      <c r="I190"/>
      <c r="J190"/>
    </row>
    <row r="191" spans="1:10" hidden="1" x14ac:dyDescent="0.3">
      <c r="A191">
        <f>'Planta central'!A191</f>
        <v>0</v>
      </c>
      <c r="C191"/>
      <c r="D191"/>
      <c r="E191"/>
      <c r="F191"/>
      <c r="G191"/>
      <c r="H191"/>
      <c r="I191"/>
      <c r="J191"/>
    </row>
    <row r="192" spans="1:10" hidden="1" x14ac:dyDescent="0.3">
      <c r="A192">
        <f>'Planta central'!A192</f>
        <v>0</v>
      </c>
      <c r="C192"/>
      <c r="D192"/>
      <c r="E192"/>
      <c r="F192"/>
      <c r="G192"/>
      <c r="H192"/>
      <c r="I192"/>
      <c r="J192"/>
    </row>
    <row r="193" spans="1:10" hidden="1" x14ac:dyDescent="0.3">
      <c r="A193">
        <f>'Planta central'!A193</f>
        <v>0</v>
      </c>
      <c r="C193"/>
      <c r="D193"/>
      <c r="E193"/>
      <c r="F193"/>
      <c r="G193"/>
      <c r="H193"/>
      <c r="I193"/>
      <c r="J193"/>
    </row>
    <row r="194" spans="1:10" hidden="1" x14ac:dyDescent="0.3">
      <c r="A194">
        <f>'Planta central'!A194</f>
        <v>0</v>
      </c>
      <c r="C194"/>
      <c r="D194"/>
      <c r="E194"/>
      <c r="F194"/>
      <c r="G194"/>
      <c r="H194"/>
      <c r="I194"/>
      <c r="J194"/>
    </row>
    <row r="195" spans="1:10" hidden="1" x14ac:dyDescent="0.3">
      <c r="A195">
        <f>'Planta central'!A195</f>
        <v>0</v>
      </c>
      <c r="C195"/>
      <c r="D195"/>
      <c r="E195"/>
      <c r="F195"/>
      <c r="G195"/>
      <c r="H195"/>
      <c r="I195"/>
      <c r="J195"/>
    </row>
    <row r="196" spans="1:10" hidden="1" x14ac:dyDescent="0.3">
      <c r="A196">
        <f>'Planta central'!A196</f>
        <v>0</v>
      </c>
      <c r="C196"/>
      <c r="D196"/>
      <c r="E196"/>
      <c r="F196"/>
      <c r="G196"/>
      <c r="H196"/>
      <c r="I196"/>
      <c r="J196"/>
    </row>
    <row r="197" spans="1:10" x14ac:dyDescent="0.3">
      <c r="A197" s="654" t="str">
        <f>'Planta central'!A197</f>
        <v>Educación Continua</v>
      </c>
      <c r="B197" s="654" t="str">
        <f>+UPPER(A197)</f>
        <v>EDUCACIÓN CONTINUA</v>
      </c>
      <c r="C197" s="656">
        <f>SUBTOTAL(9,'Planta central'!M197:M207)</f>
        <v>76.203386661020531</v>
      </c>
      <c r="D197" s="656">
        <f>SUBTOTAL(9,'Planta central'!N197:N207)</f>
        <v>220.83741454363746</v>
      </c>
      <c r="E197" s="656">
        <f>SUBTOTAL(9,'Planta central'!O197:O207)</f>
        <v>274.51538492120704</v>
      </c>
      <c r="F197" s="656">
        <f>SUBTOTAL(9,'Planta central'!P197:P207)</f>
        <v>398.92158898128503</v>
      </c>
      <c r="G197" s="656">
        <f>SUBTOTAL(9,'Planta central'!Q197:Q207)</f>
        <v>434.43497356621458</v>
      </c>
      <c r="H197" s="656">
        <f>SUBTOTAL(9,'Planta central'!R197:R207)</f>
        <v>544.97735227456337</v>
      </c>
      <c r="I197" s="656">
        <f>SUBTOTAL(9,'Planta central'!S197:S207)</f>
        <v>572.80820371026653</v>
      </c>
      <c r="J197" s="656">
        <f>SUBTOTAL(9,'Planta central'!T197:T207)</f>
        <v>678.41169939929182</v>
      </c>
    </row>
    <row r="198" spans="1:10" hidden="1" x14ac:dyDescent="0.3">
      <c r="A198">
        <f>'Planta central'!A198</f>
        <v>0</v>
      </c>
      <c r="C198"/>
      <c r="D198"/>
      <c r="E198"/>
      <c r="F198"/>
      <c r="G198"/>
      <c r="H198"/>
      <c r="I198"/>
      <c r="J198"/>
    </row>
    <row r="199" spans="1:10" hidden="1" x14ac:dyDescent="0.3">
      <c r="A199">
        <f>'Planta central'!A199</f>
        <v>0</v>
      </c>
      <c r="C199"/>
      <c r="D199"/>
      <c r="E199"/>
      <c r="F199"/>
      <c r="G199"/>
      <c r="H199"/>
      <c r="I199"/>
      <c r="J199"/>
    </row>
    <row r="200" spans="1:10" hidden="1" x14ac:dyDescent="0.3">
      <c r="A200">
        <f>'Planta central'!A200</f>
        <v>0</v>
      </c>
      <c r="C200"/>
      <c r="D200"/>
      <c r="E200"/>
      <c r="F200"/>
      <c r="G200"/>
      <c r="H200"/>
      <c r="I200"/>
      <c r="J200"/>
    </row>
    <row r="201" spans="1:10" hidden="1" x14ac:dyDescent="0.3">
      <c r="A201">
        <f>'Planta central'!A201</f>
        <v>0</v>
      </c>
      <c r="C201"/>
      <c r="D201"/>
      <c r="E201"/>
      <c r="F201"/>
      <c r="G201"/>
      <c r="H201"/>
      <c r="I201"/>
      <c r="J201"/>
    </row>
    <row r="202" spans="1:10" hidden="1" x14ac:dyDescent="0.3">
      <c r="A202">
        <f>'Planta central'!A202</f>
        <v>0</v>
      </c>
      <c r="C202"/>
      <c r="D202"/>
      <c r="E202"/>
      <c r="F202"/>
      <c r="G202"/>
      <c r="H202"/>
      <c r="I202"/>
      <c r="J202"/>
    </row>
    <row r="203" spans="1:10" hidden="1" x14ac:dyDescent="0.3">
      <c r="A203">
        <f>'Planta central'!A203</f>
        <v>0</v>
      </c>
      <c r="C203"/>
      <c r="D203"/>
      <c r="E203"/>
      <c r="F203"/>
      <c r="G203"/>
      <c r="H203"/>
      <c r="I203"/>
      <c r="J203"/>
    </row>
    <row r="204" spans="1:10" hidden="1" x14ac:dyDescent="0.3">
      <c r="A204">
        <f>'Planta central'!A204</f>
        <v>0</v>
      </c>
      <c r="C204"/>
      <c r="D204"/>
      <c r="E204"/>
      <c r="F204"/>
      <c r="G204"/>
      <c r="H204"/>
      <c r="I204"/>
      <c r="J204"/>
    </row>
    <row r="205" spans="1:10" hidden="1" x14ac:dyDescent="0.3">
      <c r="A205">
        <f>'Planta central'!A205</f>
        <v>0</v>
      </c>
      <c r="C205"/>
      <c r="D205"/>
      <c r="E205"/>
      <c r="F205"/>
      <c r="G205"/>
      <c r="H205"/>
      <c r="I205"/>
      <c r="J205"/>
    </row>
    <row r="206" spans="1:10" hidden="1" x14ac:dyDescent="0.3">
      <c r="A206">
        <f>'Planta central'!A206</f>
        <v>0</v>
      </c>
      <c r="C206"/>
      <c r="D206"/>
      <c r="E206"/>
      <c r="F206"/>
      <c r="G206"/>
      <c r="H206"/>
      <c r="I206"/>
      <c r="J206"/>
    </row>
    <row r="207" spans="1:10" hidden="1" x14ac:dyDescent="0.3">
      <c r="A207">
        <f>'Planta central'!A207</f>
        <v>0</v>
      </c>
      <c r="C207"/>
      <c r="D207"/>
      <c r="E207"/>
      <c r="F207"/>
      <c r="G207"/>
      <c r="H207"/>
      <c r="I207"/>
      <c r="J207"/>
    </row>
    <row r="208" spans="1:10" x14ac:dyDescent="0.3">
      <c r="A208" s="654" t="str">
        <f>'Planta central'!A208</f>
        <v>Seguimiento a Graduados</v>
      </c>
      <c r="B208" s="654" t="str">
        <f>+UPPER(A208)</f>
        <v>SEGUIMIENTO A GRADUADOS</v>
      </c>
      <c r="C208" s="656">
        <f>SUBTOTAL(9,'Planta central'!M208:M217)</f>
        <v>131.10726978615287</v>
      </c>
      <c r="D208" s="656">
        <f>SUBTOTAL(9,'Planta central'!N208:N217)</f>
        <v>379.94886784027096</v>
      </c>
      <c r="E208" s="656">
        <f>SUBTOTAL(9,'Planta central'!O208:O217)</f>
        <v>472.30135310671625</v>
      </c>
      <c r="F208" s="656">
        <f>SUBTOTAL(9,'Planta central'!P208:P217)</f>
        <v>686.34115466213689</v>
      </c>
      <c r="G208" s="656">
        <f>SUBTOTAL(9,'Planta central'!Q208:Q217)</f>
        <v>747.44162667275191</v>
      </c>
      <c r="H208" s="656">
        <f>SUBTOTAL(9,'Planta central'!R208:R217)</f>
        <v>937.62883623324228</v>
      </c>
      <c r="I208" s="656">
        <f>SUBTOTAL(9,'Planta central'!S208:S217)</f>
        <v>985.51157619321702</v>
      </c>
      <c r="J208" s="656">
        <f>SUBTOTAL(9,'Planta central'!T208:T217)</f>
        <v>1167.2014800980269</v>
      </c>
    </row>
    <row r="209" spans="1:10" hidden="1" x14ac:dyDescent="0.3">
      <c r="A209">
        <f>'Planta central'!A209</f>
        <v>0</v>
      </c>
      <c r="C209"/>
      <c r="D209"/>
      <c r="E209"/>
      <c r="F209"/>
      <c r="G209"/>
      <c r="H209"/>
      <c r="I209"/>
      <c r="J209"/>
    </row>
    <row r="210" spans="1:10" hidden="1" x14ac:dyDescent="0.3">
      <c r="A210">
        <f>'Planta central'!A210</f>
        <v>0</v>
      </c>
      <c r="C210"/>
      <c r="D210"/>
      <c r="E210"/>
      <c r="F210"/>
      <c r="G210"/>
      <c r="H210"/>
      <c r="I210"/>
      <c r="J210"/>
    </row>
    <row r="211" spans="1:10" hidden="1" x14ac:dyDescent="0.3">
      <c r="A211">
        <f>'Planta central'!A211</f>
        <v>0</v>
      </c>
      <c r="C211"/>
      <c r="D211"/>
      <c r="E211"/>
      <c r="F211"/>
      <c r="G211"/>
      <c r="H211"/>
      <c r="I211"/>
      <c r="J211"/>
    </row>
    <row r="212" spans="1:10" hidden="1" x14ac:dyDescent="0.3">
      <c r="A212">
        <f>'Planta central'!A212</f>
        <v>0</v>
      </c>
      <c r="C212"/>
      <c r="D212"/>
      <c r="E212"/>
      <c r="F212"/>
      <c r="G212"/>
      <c r="H212"/>
      <c r="I212"/>
      <c r="J212"/>
    </row>
    <row r="213" spans="1:10" hidden="1" x14ac:dyDescent="0.3">
      <c r="A213">
        <f>'Planta central'!A213</f>
        <v>0</v>
      </c>
      <c r="C213"/>
      <c r="D213"/>
      <c r="E213"/>
      <c r="F213"/>
      <c r="G213"/>
      <c r="H213"/>
      <c r="I213"/>
      <c r="J213"/>
    </row>
    <row r="214" spans="1:10" hidden="1" x14ac:dyDescent="0.3">
      <c r="A214">
        <f>'Planta central'!A214</f>
        <v>0</v>
      </c>
      <c r="C214"/>
      <c r="D214"/>
      <c r="E214"/>
      <c r="F214"/>
      <c r="G214"/>
      <c r="H214"/>
      <c r="I214"/>
      <c r="J214"/>
    </row>
    <row r="215" spans="1:10" hidden="1" x14ac:dyDescent="0.3">
      <c r="A215">
        <f>'Planta central'!A215</f>
        <v>0</v>
      </c>
      <c r="C215"/>
      <c r="D215"/>
      <c r="E215"/>
      <c r="F215"/>
      <c r="G215"/>
      <c r="H215"/>
      <c r="I215"/>
      <c r="J215"/>
    </row>
    <row r="216" spans="1:10" hidden="1" x14ac:dyDescent="0.3">
      <c r="A216">
        <f>'Planta central'!A216</f>
        <v>0</v>
      </c>
      <c r="C216"/>
      <c r="D216"/>
      <c r="E216"/>
      <c r="F216"/>
      <c r="G216"/>
      <c r="H216"/>
      <c r="I216"/>
      <c r="J216"/>
    </row>
    <row r="217" spans="1:10" hidden="1" x14ac:dyDescent="0.3">
      <c r="A217">
        <f>'Planta central'!A217</f>
        <v>0</v>
      </c>
      <c r="C217"/>
      <c r="D217"/>
      <c r="E217"/>
      <c r="F217"/>
      <c r="G217"/>
      <c r="H217"/>
      <c r="I217"/>
      <c r="J217"/>
    </row>
    <row r="218" spans="1:10" x14ac:dyDescent="0.3">
      <c r="A218" s="654" t="str">
        <f>'Planta central'!A218</f>
        <v>Posgrado, Investigación, Vinculación con la Sociedad y Publicaciones</v>
      </c>
      <c r="B218" s="654" t="str">
        <f>+UPPER(A218)</f>
        <v>POSGRADO, INVESTIGACIÓN, VINCULACIÓN CON LA SOCIEDAD Y PUBLICACIONES</v>
      </c>
      <c r="C218" s="656">
        <f>SUBTOTAL(9,'Planta central'!M218:M224)</f>
        <v>49.800364175312296</v>
      </c>
      <c r="D218" s="656">
        <f>SUBTOTAL(9,'Planta central'!N218:N224)</f>
        <v>144.32145538005506</v>
      </c>
      <c r="E218" s="656">
        <f>SUBTOTAL(9,'Planta central'!O218:O224)</f>
        <v>179.40103110660175</v>
      </c>
      <c r="F218" s="656">
        <f>SUBTOTAL(9,'Planta central'!P218:P224)</f>
        <v>260.70285428435295</v>
      </c>
      <c r="G218" s="656">
        <f>SUBTOTAL(9,'Planta central'!Q218:Q224)</f>
        <v>283.9115273226613</v>
      </c>
      <c r="H218" s="656">
        <f>SUBTOTAL(9,'Planta central'!R218:R224)</f>
        <v>356.15307665129507</v>
      </c>
      <c r="I218" s="656">
        <f>SUBTOTAL(9,'Planta central'!S218:S224)</f>
        <v>374.34106799310223</v>
      </c>
      <c r="J218" s="656">
        <f>SUBTOTAL(9,'Planta central'!T218:T224)</f>
        <v>443.3549632270998</v>
      </c>
    </row>
    <row r="219" spans="1:10" hidden="1" x14ac:dyDescent="0.3">
      <c r="A219">
        <f>'Planta central'!A219</f>
        <v>0</v>
      </c>
      <c r="C219"/>
      <c r="D219"/>
      <c r="E219"/>
      <c r="F219"/>
      <c r="G219"/>
      <c r="H219"/>
      <c r="I219"/>
      <c r="J219"/>
    </row>
    <row r="220" spans="1:10" hidden="1" x14ac:dyDescent="0.3">
      <c r="A220">
        <f>'Planta central'!A220</f>
        <v>0</v>
      </c>
      <c r="C220"/>
      <c r="D220"/>
      <c r="E220"/>
      <c r="F220"/>
      <c r="G220"/>
      <c r="H220"/>
      <c r="I220"/>
      <c r="J220"/>
    </row>
    <row r="221" spans="1:10" hidden="1" x14ac:dyDescent="0.3">
      <c r="A221">
        <f>'Planta central'!A221</f>
        <v>0</v>
      </c>
      <c r="C221"/>
      <c r="D221"/>
      <c r="E221"/>
      <c r="F221"/>
      <c r="G221"/>
      <c r="H221"/>
      <c r="I221"/>
      <c r="J221"/>
    </row>
    <row r="222" spans="1:10" hidden="1" x14ac:dyDescent="0.3">
      <c r="A222">
        <f>'Planta central'!A222</f>
        <v>0</v>
      </c>
      <c r="C222"/>
      <c r="D222"/>
      <c r="E222"/>
      <c r="F222"/>
      <c r="G222"/>
      <c r="H222"/>
      <c r="I222"/>
      <c r="J222"/>
    </row>
    <row r="223" spans="1:10" hidden="1" x14ac:dyDescent="0.3">
      <c r="A223">
        <f>'Planta central'!A223</f>
        <v>0</v>
      </c>
      <c r="C223"/>
      <c r="D223"/>
      <c r="E223"/>
      <c r="F223"/>
      <c r="G223"/>
      <c r="H223"/>
      <c r="I223"/>
      <c r="J223"/>
    </row>
    <row r="224" spans="1:10" hidden="1" x14ac:dyDescent="0.3">
      <c r="A224">
        <f>'Planta central'!A224</f>
        <v>0</v>
      </c>
      <c r="C224"/>
      <c r="D224"/>
      <c r="E224"/>
      <c r="F224"/>
      <c r="G224"/>
      <c r="H224"/>
      <c r="I224"/>
      <c r="J224"/>
    </row>
    <row r="225" spans="1:10" x14ac:dyDescent="0.3">
      <c r="A225" s="654" t="str">
        <f>'Planta central'!A225</f>
        <v>SUBDIRECCION DE VINCULACION CON LA SOCIEDAD</v>
      </c>
      <c r="B225" s="654" t="str">
        <f>+UPPER(A225)</f>
        <v>SUBDIRECCION DE VINCULACION CON LA SOCIEDAD</v>
      </c>
      <c r="C225" s="656">
        <f>SUBTOTAL(9,'Planta central'!M225:M234)</f>
        <v>148.2644929070506</v>
      </c>
      <c r="D225" s="656">
        <f>SUBTOTAL(9,'Planta central'!N225:N234)</f>
        <v>429.67050044463258</v>
      </c>
      <c r="E225" s="656">
        <f>SUBTOTAL(9,'Planta central'!O225:O234)</f>
        <v>534.10860230633079</v>
      </c>
      <c r="F225" s="656">
        <f>SUBTOTAL(9,'Planta central'!P225:P234)</f>
        <v>776.15851068518634</v>
      </c>
      <c r="G225" s="656">
        <f>SUBTOTAL(9,'Planta central'!Q225:Q234)</f>
        <v>845.25483550234799</v>
      </c>
      <c r="H225" s="656">
        <f>SUBTOTAL(9,'Planta central'!R225:R234)</f>
        <v>1060.330706038638</v>
      </c>
      <c r="I225" s="656">
        <f>SUBTOTAL(9,'Planta central'!S225:S234)</f>
        <v>1114.479573380208</v>
      </c>
      <c r="J225" s="656">
        <f>SUBTOTAL(9,'Planta central'!T225:T234)</f>
        <v>1319.9461467648555</v>
      </c>
    </row>
    <row r="226" spans="1:10" hidden="1" x14ac:dyDescent="0.3">
      <c r="A226">
        <f>'Planta central'!A226</f>
        <v>0</v>
      </c>
      <c r="C226"/>
      <c r="D226"/>
      <c r="E226"/>
      <c r="F226"/>
      <c r="G226"/>
      <c r="H226"/>
      <c r="I226"/>
      <c r="J226"/>
    </row>
    <row r="227" spans="1:10" hidden="1" x14ac:dyDescent="0.3">
      <c r="A227">
        <f>'Planta central'!A227</f>
        <v>0</v>
      </c>
      <c r="C227"/>
      <c r="D227"/>
      <c r="E227"/>
      <c r="F227"/>
      <c r="G227"/>
      <c r="H227"/>
      <c r="I227"/>
      <c r="J227"/>
    </row>
    <row r="228" spans="1:10" hidden="1" x14ac:dyDescent="0.3">
      <c r="A228">
        <f>'Planta central'!A228</f>
        <v>0</v>
      </c>
      <c r="C228"/>
      <c r="D228"/>
      <c r="E228"/>
      <c r="F228"/>
      <c r="G228"/>
      <c r="H228"/>
      <c r="I228"/>
      <c r="J228"/>
    </row>
    <row r="229" spans="1:10" hidden="1" x14ac:dyDescent="0.3">
      <c r="A229">
        <f>'Planta central'!A229</f>
        <v>0</v>
      </c>
      <c r="C229"/>
      <c r="D229"/>
      <c r="E229"/>
      <c r="F229"/>
      <c r="G229"/>
      <c r="H229"/>
      <c r="I229"/>
      <c r="J229"/>
    </row>
    <row r="230" spans="1:10" hidden="1" x14ac:dyDescent="0.3">
      <c r="A230">
        <f>'Planta central'!A230</f>
        <v>0</v>
      </c>
      <c r="C230"/>
      <c r="D230"/>
      <c r="E230"/>
      <c r="F230"/>
      <c r="G230"/>
      <c r="H230"/>
      <c r="I230"/>
      <c r="J230"/>
    </row>
    <row r="231" spans="1:10" hidden="1" x14ac:dyDescent="0.3">
      <c r="A231">
        <f>'Planta central'!A231</f>
        <v>0</v>
      </c>
      <c r="C231"/>
      <c r="D231"/>
      <c r="E231"/>
      <c r="F231"/>
      <c r="G231"/>
      <c r="H231"/>
      <c r="I231"/>
      <c r="J231"/>
    </row>
    <row r="232" spans="1:10" hidden="1" x14ac:dyDescent="0.3">
      <c r="A232">
        <f>'Planta central'!A232</f>
        <v>0</v>
      </c>
      <c r="C232"/>
      <c r="D232"/>
      <c r="E232"/>
      <c r="F232"/>
      <c r="G232"/>
      <c r="H232"/>
      <c r="I232"/>
      <c r="J232"/>
    </row>
    <row r="233" spans="1:10" hidden="1" x14ac:dyDescent="0.3">
      <c r="A233">
        <f>'Planta central'!A233</f>
        <v>0</v>
      </c>
      <c r="C233"/>
      <c r="D233"/>
      <c r="E233"/>
      <c r="F233"/>
      <c r="G233"/>
      <c r="H233"/>
      <c r="I233"/>
      <c r="J233"/>
    </row>
    <row r="234" spans="1:10" hidden="1" x14ac:dyDescent="0.3">
      <c r="A234">
        <f>'Planta central'!A234</f>
        <v>0</v>
      </c>
      <c r="C234"/>
      <c r="D234"/>
      <c r="E234"/>
      <c r="F234"/>
      <c r="G234"/>
      <c r="H234"/>
      <c r="I234"/>
      <c r="J234"/>
    </row>
    <row r="235" spans="1:10" x14ac:dyDescent="0.3">
      <c r="A235" s="654" t="str">
        <f>'Planta central'!A235</f>
        <v>Culltura</v>
      </c>
      <c r="B235" s="654" t="str">
        <f>+UPPER(A235)</f>
        <v>CULLTURA</v>
      </c>
      <c r="C235" s="656">
        <f>SUBTOTAL(9,'Planta central'!M235:M239)</f>
        <v>0</v>
      </c>
      <c r="D235" s="656">
        <f>SUBTOTAL(9,'Planta central'!N235:N239)</f>
        <v>0</v>
      </c>
      <c r="E235" s="656">
        <f>SUBTOTAL(9,'Planta central'!O235:O239)</f>
        <v>0</v>
      </c>
      <c r="F235" s="656">
        <f>SUBTOTAL(9,'Planta central'!P235:P239)</f>
        <v>0</v>
      </c>
      <c r="G235" s="656">
        <f>SUBTOTAL(9,'Planta central'!Q235:Q239)</f>
        <v>0</v>
      </c>
      <c r="H235" s="656">
        <f>SUBTOTAL(9,'Planta central'!R235:R239)</f>
        <v>0</v>
      </c>
      <c r="I235" s="656">
        <f>SUBTOTAL(9,'Planta central'!S235:S239)</f>
        <v>0</v>
      </c>
      <c r="J235" s="656">
        <f>SUBTOTAL(9,'Planta central'!T235:T239)</f>
        <v>0</v>
      </c>
    </row>
    <row r="236" spans="1:10" hidden="1" x14ac:dyDescent="0.3">
      <c r="A236">
        <f>'Planta central'!A236</f>
        <v>0</v>
      </c>
      <c r="C236"/>
      <c r="D236"/>
      <c r="E236"/>
      <c r="F236"/>
      <c r="G236"/>
      <c r="H236"/>
      <c r="I236"/>
      <c r="J236"/>
    </row>
    <row r="237" spans="1:10" hidden="1" x14ac:dyDescent="0.3">
      <c r="A237">
        <f>'Planta central'!A237</f>
        <v>0</v>
      </c>
      <c r="C237"/>
      <c r="D237"/>
      <c r="E237"/>
      <c r="F237"/>
      <c r="G237"/>
      <c r="H237"/>
      <c r="I237"/>
      <c r="J237"/>
    </row>
    <row r="238" spans="1:10" hidden="1" x14ac:dyDescent="0.3">
      <c r="A238">
        <f>'Planta central'!A238</f>
        <v>0</v>
      </c>
      <c r="C238"/>
      <c r="D238"/>
      <c r="E238"/>
      <c r="F238"/>
      <c r="G238"/>
      <c r="H238"/>
      <c r="I238"/>
      <c r="J238"/>
    </row>
    <row r="239" spans="1:10" hidden="1" x14ac:dyDescent="0.3">
      <c r="A239">
        <f>'Planta central'!A239</f>
        <v>0</v>
      </c>
      <c r="C239"/>
      <c r="D239"/>
      <c r="E239"/>
      <c r="F239"/>
      <c r="G239"/>
      <c r="H239"/>
      <c r="I239"/>
      <c r="J239"/>
    </row>
    <row r="240" spans="1:10" x14ac:dyDescent="0.3">
      <c r="A240" s="654" t="str">
        <f>'Planta central'!A240</f>
        <v>Emprendimiento</v>
      </c>
      <c r="B240" s="654" t="str">
        <f>+UPPER(A240)</f>
        <v>EMPRENDIMIENTO</v>
      </c>
      <c r="C240" s="656">
        <f>SUBTOTAL(9,'Planta central'!M240:M243)</f>
        <v>30.455811983908532</v>
      </c>
      <c r="D240" s="656">
        <f>SUBTOTAL(9,'Planta central'!N240:N243)</f>
        <v>88.260943129366922</v>
      </c>
      <c r="E240" s="656">
        <f>SUBTOTAL(9,'Planta central'!O240:O243)</f>
        <v>109.71413891408002</v>
      </c>
      <c r="F240" s="656">
        <f>SUBTOTAL(9,'Planta central'!P240:P243)</f>
        <v>159.43492071266095</v>
      </c>
      <c r="G240" s="656">
        <f>SUBTOTAL(9,'Planta central'!Q240:Q243)</f>
        <v>173.62837078387807</v>
      </c>
      <c r="H240" s="656">
        <f>SUBTOTAL(9,'Planta central'!R240:R243)</f>
        <v>217.80826946963555</v>
      </c>
      <c r="I240" s="656">
        <f>SUBTOTAL(9,'Planta central'!S240:S243)</f>
        <v>228.93128139623582</v>
      </c>
      <c r="J240" s="656">
        <f>SUBTOTAL(9,'Planta central'!T240:T243)</f>
        <v>271.1372823428265</v>
      </c>
    </row>
    <row r="241" spans="1:10" hidden="1" x14ac:dyDescent="0.3">
      <c r="A241">
        <f>'Planta central'!A241</f>
        <v>0</v>
      </c>
      <c r="C241"/>
      <c r="D241"/>
      <c r="E241"/>
      <c r="F241"/>
      <c r="G241"/>
      <c r="H241"/>
      <c r="I241"/>
      <c r="J241"/>
    </row>
    <row r="242" spans="1:10" hidden="1" x14ac:dyDescent="0.3">
      <c r="A242">
        <f>'Planta central'!A242</f>
        <v>0</v>
      </c>
      <c r="C242"/>
      <c r="D242"/>
      <c r="E242"/>
      <c r="F242"/>
      <c r="G242"/>
      <c r="H242"/>
      <c r="I242"/>
      <c r="J242"/>
    </row>
    <row r="243" spans="1:10" hidden="1" x14ac:dyDescent="0.3">
      <c r="A243">
        <f>'Planta central'!A243</f>
        <v>0</v>
      </c>
      <c r="C243"/>
      <c r="D243"/>
      <c r="E243"/>
      <c r="F243"/>
      <c r="G243"/>
      <c r="H243"/>
      <c r="I243"/>
      <c r="J243"/>
    </row>
    <row r="244" spans="1:10" x14ac:dyDescent="0.3">
      <c r="A244" s="654" t="str">
        <f>'Planta central'!A244</f>
        <v>Nivelación</v>
      </c>
      <c r="B244" s="654" t="str">
        <f>+UPPER(A244)</f>
        <v>NIVELACIÓN</v>
      </c>
      <c r="C244" s="656">
        <f>SUBTOTAL(9,'Planta central'!M244:M252)</f>
        <v>97.814643235231841</v>
      </c>
      <c r="D244" s="656">
        <f>SUBTOTAL(9,'Planta central'!N244:N252)</f>
        <v>283.46683609570186</v>
      </c>
      <c r="E244" s="656">
        <f>SUBTOTAL(9,'Planta central'!O244:O252)</f>
        <v>352.36786204917212</v>
      </c>
      <c r="F244" s="656">
        <f>SUBTOTAL(9,'Planta central'!P244:P252)</f>
        <v>512.05562659062025</v>
      </c>
      <c r="G244" s="656">
        <f>SUBTOTAL(9,'Planta central'!Q244:Q252)</f>
        <v>557.64059591360888</v>
      </c>
      <c r="H244" s="656">
        <f>SUBTOTAL(9,'Planta central'!R244:R252)</f>
        <v>699.53275857863025</v>
      </c>
      <c r="I244" s="656">
        <f>SUBTOTAL(9,'Planta central'!S244:S252)</f>
        <v>735.25643075904941</v>
      </c>
      <c r="J244" s="656">
        <f>SUBTOTAL(9,'Planta central'!T244:T252)</f>
        <v>870.80904472835914</v>
      </c>
    </row>
    <row r="245" spans="1:10" hidden="1" x14ac:dyDescent="0.3">
      <c r="A245">
        <f>'Planta central'!A245</f>
        <v>0</v>
      </c>
      <c r="C245"/>
      <c r="D245"/>
      <c r="E245"/>
      <c r="F245"/>
      <c r="G245"/>
      <c r="H245"/>
      <c r="I245"/>
      <c r="J245"/>
    </row>
    <row r="246" spans="1:10" hidden="1" x14ac:dyDescent="0.3">
      <c r="A246">
        <f>'Planta central'!A246</f>
        <v>0</v>
      </c>
      <c r="C246"/>
      <c r="D246"/>
      <c r="E246"/>
      <c r="F246"/>
      <c r="G246"/>
      <c r="H246"/>
      <c r="I246"/>
      <c r="J246"/>
    </row>
    <row r="247" spans="1:10" hidden="1" x14ac:dyDescent="0.3">
      <c r="A247">
        <f>'Planta central'!A247</f>
        <v>0</v>
      </c>
      <c r="C247"/>
      <c r="D247"/>
      <c r="E247"/>
      <c r="F247"/>
      <c r="G247"/>
      <c r="H247"/>
      <c r="I247"/>
      <c r="J247"/>
    </row>
    <row r="248" spans="1:10" hidden="1" x14ac:dyDescent="0.3">
      <c r="A248">
        <f>'Planta central'!A248</f>
        <v>0</v>
      </c>
      <c r="C248"/>
      <c r="D248"/>
      <c r="E248"/>
      <c r="F248"/>
      <c r="G248"/>
      <c r="H248"/>
      <c r="I248"/>
      <c r="J248"/>
    </row>
    <row r="249" spans="1:10" hidden="1" x14ac:dyDescent="0.3">
      <c r="A249">
        <f>'Planta central'!A249</f>
        <v>0</v>
      </c>
      <c r="C249"/>
      <c r="D249"/>
      <c r="E249"/>
      <c r="F249"/>
      <c r="G249"/>
      <c r="H249"/>
      <c r="I249"/>
      <c r="J249"/>
    </row>
    <row r="250" spans="1:10" hidden="1" x14ac:dyDescent="0.3">
      <c r="A250">
        <f>'Planta central'!A250</f>
        <v>0</v>
      </c>
      <c r="C250"/>
      <c r="D250"/>
      <c r="E250"/>
      <c r="F250"/>
      <c r="G250"/>
      <c r="H250"/>
      <c r="I250"/>
      <c r="J250"/>
    </row>
    <row r="251" spans="1:10" hidden="1" x14ac:dyDescent="0.3">
      <c r="A251">
        <f>'Planta central'!A251</f>
        <v>0</v>
      </c>
      <c r="C251"/>
      <c r="D251"/>
      <c r="E251"/>
      <c r="F251"/>
      <c r="G251"/>
      <c r="H251"/>
      <c r="I251"/>
      <c r="J251"/>
    </row>
    <row r="252" spans="1:10" hidden="1" x14ac:dyDescent="0.3">
      <c r="A252">
        <f>'Planta central'!A252</f>
        <v>0</v>
      </c>
      <c r="C252"/>
      <c r="D252"/>
      <c r="E252"/>
      <c r="F252"/>
      <c r="G252"/>
      <c r="H252"/>
      <c r="I252"/>
      <c r="J252"/>
    </row>
    <row r="253" spans="1:10" x14ac:dyDescent="0.3">
      <c r="A253" s="654" t="str">
        <f>'Planta central'!A253</f>
        <v>Planificación Académica</v>
      </c>
      <c r="B253" s="654" t="str">
        <f>+UPPER(A253)</f>
        <v>PLANIFICACIÓN ACADÉMICA</v>
      </c>
      <c r="C253" s="656">
        <f>SUBTOTAL(9,'Planta central'!M253:M256)</f>
        <v>0</v>
      </c>
      <c r="D253" s="656">
        <f>SUBTOTAL(9,'Planta central'!N253:N256)</f>
        <v>0</v>
      </c>
      <c r="E253" s="656">
        <f>SUBTOTAL(9,'Planta central'!O253:O256)</f>
        <v>0</v>
      </c>
      <c r="F253" s="656">
        <f>SUBTOTAL(9,'Planta central'!P253:P256)</f>
        <v>0</v>
      </c>
      <c r="G253" s="656">
        <f>SUBTOTAL(9,'Planta central'!Q253:Q256)</f>
        <v>0</v>
      </c>
      <c r="H253" s="656">
        <f>SUBTOTAL(9,'Planta central'!R253:R256)</f>
        <v>0</v>
      </c>
      <c r="I253" s="656">
        <f>SUBTOTAL(9,'Planta central'!S253:S256)</f>
        <v>0</v>
      </c>
      <c r="J253" s="656">
        <f>SUBTOTAL(9,'Planta central'!T253:T256)</f>
        <v>0</v>
      </c>
    </row>
    <row r="254" spans="1:10" hidden="1" x14ac:dyDescent="0.3">
      <c r="A254">
        <f>'Planta central'!A254</f>
        <v>0</v>
      </c>
      <c r="C254"/>
      <c r="D254"/>
      <c r="E254"/>
      <c r="F254"/>
      <c r="G254"/>
      <c r="H254"/>
      <c r="I254"/>
      <c r="J254"/>
    </row>
    <row r="255" spans="1:10" hidden="1" x14ac:dyDescent="0.3">
      <c r="A255">
        <f>'Planta central'!A255</f>
        <v>0</v>
      </c>
      <c r="C255"/>
      <c r="D255"/>
      <c r="E255"/>
      <c r="F255"/>
      <c r="G255"/>
      <c r="H255"/>
      <c r="I255"/>
      <c r="J255"/>
    </row>
    <row r="256" spans="1:10" hidden="1" x14ac:dyDescent="0.3">
      <c r="A256">
        <f>'Planta central'!A256</f>
        <v>0</v>
      </c>
      <c r="C256"/>
      <c r="D256"/>
      <c r="E256"/>
      <c r="F256"/>
      <c r="G256"/>
      <c r="H256"/>
      <c r="I256"/>
      <c r="J256"/>
    </row>
    <row r="257" spans="1:10" x14ac:dyDescent="0.3">
      <c r="A257" s="654" t="str">
        <f>'Planta central'!A257</f>
        <v>Vicerrectorado Administrativo</v>
      </c>
      <c r="B257" s="654" t="str">
        <f>+UPPER(A257)</f>
        <v>VICERRECTORADO ADMINISTRATIVO</v>
      </c>
      <c r="C257" s="656">
        <f>SUBTOTAL(9,'Planta central'!M257:M261)</f>
        <v>0</v>
      </c>
      <c r="D257" s="656">
        <f>SUBTOTAL(9,'Planta central'!N257:N261)</f>
        <v>0</v>
      </c>
      <c r="E257" s="656">
        <f>SUBTOTAL(9,'Planta central'!O257:O261)</f>
        <v>0</v>
      </c>
      <c r="F257" s="656">
        <f>SUBTOTAL(9,'Planta central'!P257:P261)</f>
        <v>0</v>
      </c>
      <c r="G257" s="656">
        <f>SUBTOTAL(9,'Planta central'!Q257:Q261)</f>
        <v>0</v>
      </c>
      <c r="H257" s="656">
        <f>SUBTOTAL(9,'Planta central'!R257:R261)</f>
        <v>0</v>
      </c>
      <c r="I257" s="656">
        <f>SUBTOTAL(9,'Planta central'!S257:S261)</f>
        <v>0</v>
      </c>
      <c r="J257" s="656">
        <f>SUBTOTAL(9,'Planta central'!T257:T261)</f>
        <v>0</v>
      </c>
    </row>
    <row r="258" spans="1:10" hidden="1" x14ac:dyDescent="0.3">
      <c r="A258">
        <f>'Planta central'!A258</f>
        <v>0</v>
      </c>
      <c r="C258"/>
      <c r="D258"/>
      <c r="E258"/>
      <c r="F258"/>
      <c r="G258"/>
      <c r="H258"/>
      <c r="I258"/>
      <c r="J258"/>
    </row>
    <row r="259" spans="1:10" hidden="1" x14ac:dyDescent="0.3">
      <c r="A259">
        <f>'Planta central'!A259</f>
        <v>0</v>
      </c>
      <c r="C259"/>
      <c r="D259"/>
      <c r="E259"/>
      <c r="F259"/>
      <c r="G259"/>
      <c r="H259"/>
      <c r="I259"/>
      <c r="J259"/>
    </row>
    <row r="260" spans="1:10" hidden="1" x14ac:dyDescent="0.3">
      <c r="A260">
        <f>'Planta central'!A260</f>
        <v>0</v>
      </c>
      <c r="C260"/>
      <c r="D260"/>
      <c r="E260"/>
      <c r="F260"/>
      <c r="G260"/>
      <c r="H260"/>
      <c r="I260"/>
      <c r="J260"/>
    </row>
    <row r="261" spans="1:10" hidden="1" x14ac:dyDescent="0.3">
      <c r="A261">
        <f>'Planta central'!A261</f>
        <v>0</v>
      </c>
      <c r="C261"/>
      <c r="D261"/>
      <c r="E261"/>
      <c r="F261"/>
      <c r="G261"/>
      <c r="H261"/>
      <c r="I261"/>
      <c r="J261"/>
    </row>
    <row r="262" spans="1:10" x14ac:dyDescent="0.3">
      <c r="A262" s="654" t="str">
        <f>'Planta central'!A262</f>
        <v>Dirección Administrativa</v>
      </c>
      <c r="B262" s="654" t="str">
        <f>+UPPER(A262)</f>
        <v>DIRECCIÓN ADMINISTRATIVA</v>
      </c>
      <c r="C262" s="656">
        <f>SUBTOTAL(9,'Planta central'!M262:M282)</f>
        <v>266.66383230997246</v>
      </c>
      <c r="D262" s="656">
        <f>SUBTOTAL(9,'Planta central'!N262:N282)</f>
        <v>772.79178603430012</v>
      </c>
      <c r="E262" s="656">
        <f>SUBTOTAL(9,'Planta central'!O262:O282)</f>
        <v>960.6308561687739</v>
      </c>
      <c r="F262" s="656">
        <f>SUBTOTAL(9,'Planta central'!P262:P282)</f>
        <v>1395.9741734595045</v>
      </c>
      <c r="G262" s="656">
        <f>SUBTOTAL(9,'Planta central'!Q262:Q282)</f>
        <v>1520.2486400766072</v>
      </c>
      <c r="H262" s="656">
        <f>SUBTOTAL(9,'Planta central'!R262:R282)</f>
        <v>1907.0773051877209</v>
      </c>
      <c r="I262" s="656">
        <f>SUBTOTAL(9,'Planta central'!S262:S282)</f>
        <v>2004.4677470759204</v>
      </c>
      <c r="J262" s="656">
        <f>SUBTOTAL(9,'Planta central'!T262:T282)</f>
        <v>2374.0134339498318</v>
      </c>
    </row>
    <row r="263" spans="1:10" hidden="1" x14ac:dyDescent="0.3">
      <c r="A263">
        <f>'Planta central'!A263</f>
        <v>0</v>
      </c>
      <c r="C263"/>
      <c r="D263"/>
      <c r="E263"/>
      <c r="F263"/>
      <c r="G263"/>
      <c r="H263"/>
      <c r="I263"/>
      <c r="J263"/>
    </row>
    <row r="264" spans="1:10" hidden="1" x14ac:dyDescent="0.3">
      <c r="A264">
        <f>'Planta central'!A264</f>
        <v>0</v>
      </c>
      <c r="C264"/>
      <c r="D264"/>
      <c r="E264"/>
      <c r="F264"/>
      <c r="G264"/>
      <c r="H264"/>
      <c r="I264"/>
      <c r="J264"/>
    </row>
    <row r="265" spans="1:10" hidden="1" x14ac:dyDescent="0.3">
      <c r="A265">
        <f>'Planta central'!A265</f>
        <v>0</v>
      </c>
      <c r="C265"/>
      <c r="D265"/>
      <c r="E265"/>
      <c r="F265"/>
      <c r="G265"/>
      <c r="H265"/>
      <c r="I265"/>
      <c r="J265"/>
    </row>
    <row r="266" spans="1:10" hidden="1" x14ac:dyDescent="0.3">
      <c r="A266">
        <f>'Planta central'!A266</f>
        <v>0</v>
      </c>
      <c r="C266"/>
      <c r="D266"/>
      <c r="E266"/>
      <c r="F266"/>
      <c r="G266"/>
      <c r="H266"/>
      <c r="I266"/>
      <c r="J266"/>
    </row>
    <row r="267" spans="1:10" hidden="1" x14ac:dyDescent="0.3">
      <c r="A267">
        <f>'Planta central'!A267</f>
        <v>0</v>
      </c>
      <c r="C267"/>
      <c r="D267"/>
      <c r="E267"/>
      <c r="F267"/>
      <c r="G267"/>
      <c r="H267"/>
      <c r="I267"/>
      <c r="J267"/>
    </row>
    <row r="268" spans="1:10" hidden="1" x14ac:dyDescent="0.3">
      <c r="A268">
        <f>'Planta central'!A268</f>
        <v>0</v>
      </c>
      <c r="C268"/>
      <c r="D268"/>
      <c r="E268"/>
      <c r="F268"/>
      <c r="G268"/>
      <c r="H268"/>
      <c r="I268"/>
      <c r="J268"/>
    </row>
    <row r="269" spans="1:10" hidden="1" x14ac:dyDescent="0.3">
      <c r="A269">
        <f>'Planta central'!A269</f>
        <v>0</v>
      </c>
      <c r="C269"/>
      <c r="D269"/>
      <c r="E269"/>
      <c r="F269"/>
      <c r="G269"/>
      <c r="H269"/>
      <c r="I269"/>
      <c r="J269"/>
    </row>
    <row r="270" spans="1:10" hidden="1" x14ac:dyDescent="0.3">
      <c r="A270">
        <f>'Planta central'!A270</f>
        <v>0</v>
      </c>
      <c r="C270"/>
      <c r="D270"/>
      <c r="E270"/>
      <c r="F270"/>
      <c r="G270"/>
      <c r="H270"/>
      <c r="I270"/>
      <c r="J270"/>
    </row>
    <row r="271" spans="1:10" hidden="1" x14ac:dyDescent="0.3">
      <c r="A271">
        <f>'Planta central'!A271</f>
        <v>0</v>
      </c>
      <c r="C271"/>
      <c r="D271"/>
      <c r="E271"/>
      <c r="F271"/>
      <c r="G271"/>
      <c r="H271"/>
      <c r="I271"/>
      <c r="J271"/>
    </row>
    <row r="272" spans="1:10" hidden="1" x14ac:dyDescent="0.3">
      <c r="A272">
        <f>'Planta central'!A272</f>
        <v>0</v>
      </c>
      <c r="C272"/>
      <c r="D272"/>
      <c r="E272"/>
      <c r="F272"/>
      <c r="G272"/>
      <c r="H272"/>
      <c r="I272"/>
      <c r="J272"/>
    </row>
    <row r="273" spans="1:10" hidden="1" x14ac:dyDescent="0.3">
      <c r="A273">
        <f>'Planta central'!A273</f>
        <v>0</v>
      </c>
      <c r="C273"/>
      <c r="D273"/>
      <c r="E273"/>
      <c r="F273"/>
      <c r="G273"/>
      <c r="H273"/>
      <c r="I273"/>
      <c r="J273"/>
    </row>
    <row r="274" spans="1:10" hidden="1" x14ac:dyDescent="0.3">
      <c r="A274">
        <f>'Planta central'!A274</f>
        <v>0</v>
      </c>
      <c r="C274"/>
      <c r="D274"/>
      <c r="E274"/>
      <c r="F274"/>
      <c r="G274"/>
      <c r="H274"/>
      <c r="I274"/>
      <c r="J274"/>
    </row>
    <row r="275" spans="1:10" hidden="1" x14ac:dyDescent="0.3">
      <c r="A275">
        <f>'Planta central'!A275</f>
        <v>0</v>
      </c>
      <c r="C275"/>
      <c r="D275"/>
      <c r="E275"/>
      <c r="F275"/>
      <c r="G275"/>
      <c r="H275"/>
      <c r="I275"/>
      <c r="J275"/>
    </row>
    <row r="276" spans="1:10" hidden="1" x14ac:dyDescent="0.3">
      <c r="A276">
        <f>'Planta central'!A276</f>
        <v>0</v>
      </c>
      <c r="C276"/>
      <c r="D276"/>
      <c r="E276"/>
      <c r="F276"/>
      <c r="G276"/>
      <c r="H276"/>
      <c r="I276"/>
      <c r="J276"/>
    </row>
    <row r="277" spans="1:10" hidden="1" x14ac:dyDescent="0.3">
      <c r="A277">
        <f>'Planta central'!A277</f>
        <v>0</v>
      </c>
      <c r="C277"/>
      <c r="D277"/>
      <c r="E277"/>
      <c r="F277"/>
      <c r="G277"/>
      <c r="H277"/>
      <c r="I277"/>
      <c r="J277"/>
    </row>
    <row r="278" spans="1:10" hidden="1" x14ac:dyDescent="0.3">
      <c r="A278">
        <f>'Planta central'!A278</f>
        <v>0</v>
      </c>
      <c r="C278"/>
      <c r="D278"/>
      <c r="E278"/>
      <c r="F278"/>
      <c r="G278"/>
      <c r="H278"/>
      <c r="I278"/>
      <c r="J278"/>
    </row>
    <row r="279" spans="1:10" hidden="1" x14ac:dyDescent="0.3">
      <c r="A279">
        <f>'Planta central'!A279</f>
        <v>0</v>
      </c>
      <c r="C279"/>
      <c r="D279"/>
      <c r="E279"/>
      <c r="F279"/>
      <c r="G279"/>
      <c r="H279"/>
      <c r="I279"/>
      <c r="J279"/>
    </row>
    <row r="280" spans="1:10" hidden="1" x14ac:dyDescent="0.3">
      <c r="A280">
        <f>'Planta central'!A280</f>
        <v>0</v>
      </c>
      <c r="C280"/>
      <c r="D280"/>
      <c r="E280"/>
      <c r="F280"/>
      <c r="G280"/>
      <c r="H280"/>
      <c r="I280"/>
      <c r="J280"/>
    </row>
    <row r="281" spans="1:10" hidden="1" x14ac:dyDescent="0.3">
      <c r="A281">
        <f>'Planta central'!A281</f>
        <v>0</v>
      </c>
      <c r="C281"/>
      <c r="D281"/>
      <c r="E281"/>
      <c r="F281"/>
      <c r="G281"/>
      <c r="H281"/>
      <c r="I281"/>
      <c r="J281"/>
    </row>
    <row r="282" spans="1:10" hidden="1" x14ac:dyDescent="0.3">
      <c r="A282">
        <f>'Planta central'!A282</f>
        <v>0</v>
      </c>
      <c r="C282"/>
      <c r="D282"/>
      <c r="E282"/>
      <c r="F282"/>
      <c r="G282"/>
      <c r="H282"/>
      <c r="I282"/>
      <c r="J282"/>
    </row>
    <row r="283" spans="1:10" x14ac:dyDescent="0.3">
      <c r="A283" s="654" t="str">
        <f>'Planta central'!A283</f>
        <v>TIC</v>
      </c>
      <c r="B283" s="654" t="str">
        <f>+UPPER(A283)</f>
        <v>TIC</v>
      </c>
      <c r="C283" s="656">
        <f>SUBTOTAL(9,'Planta central'!M283:M309)</f>
        <v>331.83569117933513</v>
      </c>
      <c r="D283" s="656">
        <f>SUBTOTAL(9,'Planta central'!N283:N309)</f>
        <v>961.65983303771327</v>
      </c>
      <c r="E283" s="656">
        <f>SUBTOTAL(9,'Planta central'!O283:O309)</f>
        <v>1195.4062212472013</v>
      </c>
      <c r="F283" s="656">
        <f>SUBTOTAL(9,'Planta central'!P283:P309)</f>
        <v>1737.1461690386575</v>
      </c>
      <c r="G283" s="656">
        <f>SUBTOTAL(9,'Planta central'!Q283:Q309)</f>
        <v>1891.7929509760493</v>
      </c>
      <c r="H283" s="656">
        <f>SUBTOTAL(9,'Planta central'!R283:R309)</f>
        <v>2373.1614078199268</v>
      </c>
      <c r="I283" s="656">
        <f>SUBTOTAL(9,'Planta central'!S283:S309)</f>
        <v>2494.3537881974248</v>
      </c>
      <c r="J283" s="656">
        <f>SUBTOTAL(9,'Planta central'!T283:T309)</f>
        <v>2954.2153575894158</v>
      </c>
    </row>
    <row r="284" spans="1:10" hidden="1" x14ac:dyDescent="0.3">
      <c r="A284">
        <f>'Planta central'!A284</f>
        <v>0</v>
      </c>
      <c r="C284"/>
      <c r="D284"/>
      <c r="E284"/>
      <c r="F284"/>
      <c r="G284"/>
      <c r="H284"/>
      <c r="I284"/>
      <c r="J284"/>
    </row>
    <row r="285" spans="1:10" hidden="1" x14ac:dyDescent="0.3">
      <c r="A285">
        <f>'Planta central'!A285</f>
        <v>0</v>
      </c>
      <c r="C285"/>
      <c r="D285"/>
      <c r="E285"/>
      <c r="F285"/>
      <c r="G285"/>
      <c r="H285"/>
      <c r="I285"/>
      <c r="J285"/>
    </row>
    <row r="286" spans="1:10" hidden="1" x14ac:dyDescent="0.3">
      <c r="A286">
        <f>'Planta central'!A286</f>
        <v>0</v>
      </c>
      <c r="C286"/>
      <c r="D286"/>
      <c r="E286"/>
      <c r="F286"/>
      <c r="G286"/>
      <c r="H286"/>
      <c r="I286"/>
      <c r="J286"/>
    </row>
    <row r="287" spans="1:10" hidden="1" x14ac:dyDescent="0.3">
      <c r="A287">
        <f>'Planta central'!A287</f>
        <v>0</v>
      </c>
      <c r="C287"/>
      <c r="D287"/>
      <c r="E287"/>
      <c r="F287"/>
      <c r="G287"/>
      <c r="H287"/>
      <c r="I287"/>
      <c r="J287"/>
    </row>
    <row r="288" spans="1:10" hidden="1" x14ac:dyDescent="0.3">
      <c r="A288">
        <f>'Planta central'!A288</f>
        <v>0</v>
      </c>
      <c r="C288"/>
      <c r="D288"/>
      <c r="E288"/>
      <c r="F288"/>
      <c r="G288"/>
      <c r="H288"/>
      <c r="I288"/>
      <c r="J288"/>
    </row>
    <row r="289" spans="1:10" hidden="1" x14ac:dyDescent="0.3">
      <c r="A289">
        <f>'Planta central'!A289</f>
        <v>0</v>
      </c>
      <c r="C289"/>
      <c r="D289"/>
      <c r="E289"/>
      <c r="F289"/>
      <c r="G289"/>
      <c r="H289"/>
      <c r="I289"/>
      <c r="J289"/>
    </row>
    <row r="290" spans="1:10" hidden="1" x14ac:dyDescent="0.3">
      <c r="A290">
        <f>'Planta central'!A290</f>
        <v>0</v>
      </c>
      <c r="C290"/>
      <c r="D290"/>
      <c r="E290"/>
      <c r="F290"/>
      <c r="G290"/>
      <c r="H290"/>
      <c r="I290"/>
      <c r="J290"/>
    </row>
    <row r="291" spans="1:10" hidden="1" x14ac:dyDescent="0.3">
      <c r="A291">
        <f>'Planta central'!A291</f>
        <v>0</v>
      </c>
      <c r="C291"/>
      <c r="D291"/>
      <c r="E291"/>
      <c r="F291"/>
      <c r="G291"/>
      <c r="H291"/>
      <c r="I291"/>
      <c r="J291"/>
    </row>
    <row r="292" spans="1:10" hidden="1" x14ac:dyDescent="0.3">
      <c r="A292">
        <f>'Planta central'!A292</f>
        <v>0</v>
      </c>
      <c r="C292"/>
      <c r="D292"/>
      <c r="E292"/>
      <c r="F292"/>
      <c r="G292"/>
      <c r="H292"/>
      <c r="I292"/>
      <c r="J292"/>
    </row>
    <row r="293" spans="1:10" hidden="1" x14ac:dyDescent="0.3">
      <c r="A293">
        <f>'Planta central'!A293</f>
        <v>0</v>
      </c>
      <c r="C293"/>
      <c r="D293"/>
      <c r="E293"/>
      <c r="F293"/>
      <c r="G293"/>
      <c r="H293"/>
      <c r="I293"/>
      <c r="J293"/>
    </row>
    <row r="294" spans="1:10" hidden="1" x14ac:dyDescent="0.3">
      <c r="A294">
        <f>'Planta central'!A294</f>
        <v>0</v>
      </c>
      <c r="C294"/>
      <c r="D294"/>
      <c r="E294"/>
      <c r="F294"/>
      <c r="G294"/>
      <c r="H294"/>
      <c r="I294"/>
      <c r="J294"/>
    </row>
    <row r="295" spans="1:10" hidden="1" x14ac:dyDescent="0.3">
      <c r="A295">
        <f>'Planta central'!A295</f>
        <v>0</v>
      </c>
      <c r="C295"/>
      <c r="D295"/>
      <c r="E295"/>
      <c r="F295"/>
      <c r="G295"/>
      <c r="H295"/>
      <c r="I295"/>
      <c r="J295"/>
    </row>
    <row r="296" spans="1:10" hidden="1" x14ac:dyDescent="0.3">
      <c r="A296">
        <f>'Planta central'!A296</f>
        <v>0</v>
      </c>
      <c r="C296"/>
      <c r="D296"/>
      <c r="E296"/>
      <c r="F296"/>
      <c r="G296"/>
      <c r="H296"/>
      <c r="I296"/>
      <c r="J296"/>
    </row>
    <row r="297" spans="1:10" hidden="1" x14ac:dyDescent="0.3">
      <c r="A297">
        <f>'Planta central'!A297</f>
        <v>0</v>
      </c>
      <c r="C297"/>
      <c r="D297"/>
      <c r="E297"/>
      <c r="F297"/>
      <c r="G297"/>
      <c r="H297"/>
      <c r="I297"/>
      <c r="J297"/>
    </row>
    <row r="298" spans="1:10" hidden="1" x14ac:dyDescent="0.3">
      <c r="A298">
        <f>'Planta central'!A298</f>
        <v>0</v>
      </c>
      <c r="C298"/>
      <c r="D298"/>
      <c r="E298"/>
      <c r="F298"/>
      <c r="G298"/>
      <c r="H298"/>
      <c r="I298"/>
      <c r="J298"/>
    </row>
    <row r="299" spans="1:10" hidden="1" x14ac:dyDescent="0.3">
      <c r="A299">
        <f>'Planta central'!A299</f>
        <v>0</v>
      </c>
      <c r="C299"/>
      <c r="D299"/>
      <c r="E299"/>
      <c r="F299"/>
      <c r="G299"/>
      <c r="H299"/>
      <c r="I299"/>
      <c r="J299"/>
    </row>
    <row r="300" spans="1:10" hidden="1" x14ac:dyDescent="0.3">
      <c r="A300">
        <f>'Planta central'!A300</f>
        <v>0</v>
      </c>
      <c r="C300"/>
      <c r="D300"/>
      <c r="E300"/>
      <c r="F300"/>
      <c r="G300"/>
      <c r="H300"/>
      <c r="I300"/>
      <c r="J300"/>
    </row>
    <row r="301" spans="1:10" hidden="1" x14ac:dyDescent="0.3">
      <c r="A301">
        <f>'Planta central'!A301</f>
        <v>0</v>
      </c>
      <c r="C301"/>
      <c r="D301"/>
      <c r="E301"/>
      <c r="F301"/>
      <c r="G301"/>
      <c r="H301"/>
      <c r="I301"/>
      <c r="J301"/>
    </row>
    <row r="302" spans="1:10" hidden="1" x14ac:dyDescent="0.3">
      <c r="A302">
        <f>'Planta central'!A302</f>
        <v>0</v>
      </c>
      <c r="C302"/>
      <c r="D302"/>
      <c r="E302"/>
      <c r="F302"/>
      <c r="G302"/>
      <c r="H302"/>
      <c r="I302"/>
      <c r="J302"/>
    </row>
    <row r="303" spans="1:10" hidden="1" x14ac:dyDescent="0.3">
      <c r="A303">
        <f>'Planta central'!A303</f>
        <v>0</v>
      </c>
      <c r="C303"/>
      <c r="D303"/>
      <c r="E303"/>
      <c r="F303"/>
      <c r="G303"/>
      <c r="H303"/>
      <c r="I303"/>
      <c r="J303"/>
    </row>
    <row r="304" spans="1:10" hidden="1" x14ac:dyDescent="0.3">
      <c r="A304">
        <f>'Planta central'!A304</f>
        <v>0</v>
      </c>
      <c r="C304"/>
      <c r="D304"/>
      <c r="E304"/>
      <c r="F304"/>
      <c r="G304"/>
      <c r="H304"/>
      <c r="I304"/>
      <c r="J304"/>
    </row>
    <row r="305" spans="1:10" hidden="1" x14ac:dyDescent="0.3">
      <c r="A305">
        <f>'Planta central'!A305</f>
        <v>0</v>
      </c>
      <c r="C305"/>
      <c r="D305"/>
      <c r="E305"/>
      <c r="F305"/>
      <c r="G305"/>
      <c r="H305"/>
      <c r="I305"/>
      <c r="J305"/>
    </row>
    <row r="306" spans="1:10" hidden="1" x14ac:dyDescent="0.3">
      <c r="A306">
        <f>'Planta central'!A306</f>
        <v>0</v>
      </c>
      <c r="C306"/>
      <c r="D306"/>
      <c r="E306"/>
      <c r="F306"/>
      <c r="G306"/>
      <c r="H306"/>
      <c r="I306"/>
      <c r="J306"/>
    </row>
    <row r="307" spans="1:10" hidden="1" x14ac:dyDescent="0.3">
      <c r="A307">
        <f>'Planta central'!A307</f>
        <v>0</v>
      </c>
      <c r="C307"/>
      <c r="D307"/>
      <c r="E307"/>
      <c r="F307"/>
      <c r="G307"/>
      <c r="H307"/>
      <c r="I307"/>
      <c r="J307"/>
    </row>
    <row r="308" spans="1:10" hidden="1" x14ac:dyDescent="0.3">
      <c r="A308">
        <f>'Planta central'!A308</f>
        <v>0</v>
      </c>
      <c r="C308"/>
      <c r="D308"/>
      <c r="E308"/>
      <c r="F308"/>
      <c r="G308"/>
      <c r="H308"/>
      <c r="I308"/>
      <c r="J308"/>
    </row>
    <row r="309" spans="1:10" hidden="1" x14ac:dyDescent="0.3">
      <c r="A309">
        <f>'Planta central'!A309</f>
        <v>0</v>
      </c>
      <c r="C309"/>
      <c r="D309"/>
      <c r="E309"/>
      <c r="F309"/>
      <c r="G309"/>
      <c r="H309"/>
      <c r="I309"/>
      <c r="J309"/>
    </row>
    <row r="310" spans="1:10" x14ac:dyDescent="0.3">
      <c r="A310" s="654" t="str">
        <f>'Planta central'!A310</f>
        <v>Dirección Financiera</v>
      </c>
      <c r="B310" s="654" t="str">
        <f>+UPPER(A310)</f>
        <v>DIRECCIÓN FINANCIERA</v>
      </c>
      <c r="C310" s="656">
        <f>SUBTOTAL(9,'Planta central'!M310:M327)</f>
        <v>299.9640736819818</v>
      </c>
      <c r="D310" s="656">
        <f>SUBTOTAL(9,'Planta central'!N310:N327)</f>
        <v>869.29588553038309</v>
      </c>
      <c r="E310" s="656">
        <f>SUBTOTAL(9,'Planta central'!O310:O327)</f>
        <v>1080.5917788882657</v>
      </c>
      <c r="F310" s="656">
        <f>SUBTOTAL(9,'Planta central'!P310:P327)</f>
        <v>1570.2995648056262</v>
      </c>
      <c r="G310" s="656">
        <f>SUBTOTAL(9,'Planta central'!Q310:Q327)</f>
        <v>1710.093082877434</v>
      </c>
      <c r="H310" s="656">
        <f>SUBTOTAL(9,'Planta central'!R310:R327)</f>
        <v>2145.2278411179632</v>
      </c>
      <c r="I310" s="656">
        <f>SUBTOTAL(9,'Planta central'!S310:S327)</f>
        <v>2254.7801318557422</v>
      </c>
      <c r="J310" s="656">
        <f>SUBTOTAL(9,'Planta central'!T310:T327)</f>
        <v>2670.4736613684031</v>
      </c>
    </row>
    <row r="311" spans="1:10" hidden="1" x14ac:dyDescent="0.3">
      <c r="A311">
        <f>'Planta central'!A311</f>
        <v>0</v>
      </c>
      <c r="C311"/>
      <c r="D311"/>
      <c r="E311"/>
      <c r="F311"/>
      <c r="G311"/>
      <c r="H311"/>
      <c r="I311"/>
      <c r="J311"/>
    </row>
    <row r="312" spans="1:10" hidden="1" x14ac:dyDescent="0.3">
      <c r="A312">
        <f>'Planta central'!A312</f>
        <v>0</v>
      </c>
      <c r="C312"/>
      <c r="D312"/>
      <c r="E312"/>
      <c r="F312"/>
      <c r="G312"/>
      <c r="H312"/>
      <c r="I312"/>
      <c r="J312"/>
    </row>
    <row r="313" spans="1:10" hidden="1" x14ac:dyDescent="0.3">
      <c r="A313">
        <f>'Planta central'!A313</f>
        <v>0</v>
      </c>
      <c r="C313"/>
      <c r="D313"/>
      <c r="E313"/>
      <c r="F313"/>
      <c r="G313"/>
      <c r="H313"/>
      <c r="I313"/>
      <c r="J313"/>
    </row>
    <row r="314" spans="1:10" hidden="1" x14ac:dyDescent="0.3">
      <c r="A314">
        <f>'Planta central'!A314</f>
        <v>0</v>
      </c>
      <c r="C314"/>
      <c r="D314"/>
      <c r="E314"/>
      <c r="F314"/>
      <c r="G314"/>
      <c r="H314"/>
      <c r="I314"/>
      <c r="J314"/>
    </row>
    <row r="315" spans="1:10" hidden="1" x14ac:dyDescent="0.3">
      <c r="A315">
        <f>'Planta central'!A315</f>
        <v>0</v>
      </c>
      <c r="C315"/>
      <c r="D315"/>
      <c r="E315"/>
      <c r="F315"/>
      <c r="G315"/>
      <c r="H315"/>
      <c r="I315"/>
      <c r="J315"/>
    </row>
    <row r="316" spans="1:10" hidden="1" x14ac:dyDescent="0.3">
      <c r="A316">
        <f>'Planta central'!A316</f>
        <v>0</v>
      </c>
      <c r="C316"/>
      <c r="D316"/>
      <c r="E316"/>
      <c r="F316"/>
      <c r="G316"/>
      <c r="H316"/>
      <c r="I316"/>
      <c r="J316"/>
    </row>
    <row r="317" spans="1:10" hidden="1" x14ac:dyDescent="0.3">
      <c r="A317">
        <f>'Planta central'!A317</f>
        <v>0</v>
      </c>
      <c r="C317"/>
      <c r="D317"/>
      <c r="E317"/>
      <c r="F317"/>
      <c r="G317"/>
      <c r="H317"/>
      <c r="I317"/>
      <c r="J317"/>
    </row>
    <row r="318" spans="1:10" hidden="1" x14ac:dyDescent="0.3">
      <c r="A318">
        <f>'Planta central'!A318</f>
        <v>0</v>
      </c>
      <c r="C318"/>
      <c r="D318"/>
      <c r="E318"/>
      <c r="F318"/>
      <c r="G318"/>
      <c r="H318"/>
      <c r="I318"/>
      <c r="J318"/>
    </row>
    <row r="319" spans="1:10" hidden="1" x14ac:dyDescent="0.3">
      <c r="A319">
        <f>'Planta central'!A319</f>
        <v>0</v>
      </c>
      <c r="C319"/>
      <c r="D319"/>
      <c r="E319"/>
      <c r="F319"/>
      <c r="G319"/>
      <c r="H319"/>
      <c r="I319"/>
      <c r="J319"/>
    </row>
    <row r="320" spans="1:10" hidden="1" x14ac:dyDescent="0.3">
      <c r="A320">
        <f>'Planta central'!A320</f>
        <v>0</v>
      </c>
      <c r="C320"/>
      <c r="D320"/>
      <c r="E320"/>
      <c r="F320"/>
      <c r="G320"/>
      <c r="H320"/>
      <c r="I320"/>
      <c r="J320"/>
    </row>
    <row r="321" spans="1:10" hidden="1" x14ac:dyDescent="0.3">
      <c r="A321">
        <f>'Planta central'!A321</f>
        <v>0</v>
      </c>
      <c r="C321"/>
      <c r="D321"/>
      <c r="E321"/>
      <c r="F321"/>
      <c r="G321"/>
      <c r="H321"/>
      <c r="I321"/>
      <c r="J321"/>
    </row>
    <row r="322" spans="1:10" hidden="1" x14ac:dyDescent="0.3">
      <c r="A322">
        <f>'Planta central'!A322</f>
        <v>0</v>
      </c>
      <c r="C322"/>
      <c r="D322"/>
      <c r="E322"/>
      <c r="F322"/>
      <c r="G322"/>
      <c r="H322"/>
      <c r="I322"/>
      <c r="J322"/>
    </row>
    <row r="323" spans="1:10" hidden="1" x14ac:dyDescent="0.3">
      <c r="A323">
        <f>'Planta central'!A323</f>
        <v>0</v>
      </c>
      <c r="C323"/>
      <c r="D323"/>
      <c r="E323"/>
      <c r="F323"/>
      <c r="G323"/>
      <c r="H323"/>
      <c r="I323"/>
      <c r="J323"/>
    </row>
    <row r="324" spans="1:10" hidden="1" x14ac:dyDescent="0.3">
      <c r="A324">
        <f>'Planta central'!A324</f>
        <v>0</v>
      </c>
      <c r="C324"/>
      <c r="D324"/>
      <c r="E324"/>
      <c r="F324"/>
      <c r="G324"/>
      <c r="H324"/>
      <c r="I324"/>
      <c r="J324"/>
    </row>
    <row r="325" spans="1:10" hidden="1" x14ac:dyDescent="0.3">
      <c r="A325">
        <f>'Planta central'!A325</f>
        <v>0</v>
      </c>
      <c r="C325"/>
      <c r="D325"/>
      <c r="E325"/>
      <c r="F325"/>
      <c r="G325"/>
      <c r="H325"/>
      <c r="I325"/>
      <c r="J325"/>
    </row>
    <row r="326" spans="1:10" hidden="1" x14ac:dyDescent="0.3">
      <c r="A326">
        <f>'Planta central'!A326</f>
        <v>0</v>
      </c>
      <c r="C326"/>
      <c r="D326"/>
      <c r="E326"/>
      <c r="F326"/>
      <c r="G326"/>
      <c r="H326"/>
      <c r="I326"/>
      <c r="J326"/>
    </row>
    <row r="327" spans="1:10" hidden="1" x14ac:dyDescent="0.3">
      <c r="A327">
        <f>'Planta central'!A327</f>
        <v>0</v>
      </c>
      <c r="C327"/>
      <c r="D327"/>
      <c r="E327"/>
      <c r="F327"/>
      <c r="G327"/>
      <c r="H327"/>
      <c r="I327"/>
      <c r="J327"/>
    </row>
    <row r="328" spans="1:10" x14ac:dyDescent="0.3">
      <c r="A328" s="654" t="str">
        <f>'Planta central'!A328</f>
        <v>Colecturía</v>
      </c>
      <c r="B328" s="654" t="str">
        <f>+UPPER(A328)</f>
        <v>COLECTURÍA</v>
      </c>
      <c r="C328" s="656">
        <f>SUBTOTAL(9,'Planta central'!M328:M337)</f>
        <v>59.635011645140807</v>
      </c>
      <c r="D328" s="656">
        <f>SUBTOTAL(9,'Planta central'!N328:N337)</f>
        <v>172.82226374761802</v>
      </c>
      <c r="E328" s="656">
        <f>SUBTOTAL(9,'Planta central'!O328:O337)</f>
        <v>214.82940449050182</v>
      </c>
      <c r="F328" s="656">
        <f>SUBTOTAL(9,'Planta central'!P328:P337)</f>
        <v>312.18682852275219</v>
      </c>
      <c r="G328" s="656">
        <f>SUBTOTAL(9,'Planta central'!Q328:Q337)</f>
        <v>339.97878365857235</v>
      </c>
      <c r="H328" s="656">
        <f>SUBTOTAL(9,'Planta central'!R328:R337)</f>
        <v>426.48669794430293</v>
      </c>
      <c r="I328" s="656">
        <f>SUBTOTAL(9,'Planta central'!S328:S337)</f>
        <v>448.26647994854943</v>
      </c>
      <c r="J328" s="656">
        <f>SUBTOTAL(9,'Planta central'!T328:T337)</f>
        <v>530.90933837158559</v>
      </c>
    </row>
    <row r="329" spans="1:10" hidden="1" x14ac:dyDescent="0.3">
      <c r="A329">
        <f>'Planta central'!A329</f>
        <v>0</v>
      </c>
      <c r="C329"/>
      <c r="D329"/>
      <c r="E329"/>
      <c r="F329"/>
      <c r="G329"/>
      <c r="H329"/>
      <c r="I329"/>
      <c r="J329"/>
    </row>
    <row r="330" spans="1:10" hidden="1" x14ac:dyDescent="0.3">
      <c r="A330">
        <f>'Planta central'!A330</f>
        <v>0</v>
      </c>
      <c r="C330"/>
      <c r="D330"/>
      <c r="E330"/>
      <c r="F330"/>
      <c r="G330"/>
      <c r="H330"/>
      <c r="I330"/>
      <c r="J330"/>
    </row>
    <row r="331" spans="1:10" hidden="1" x14ac:dyDescent="0.3">
      <c r="A331">
        <f>'Planta central'!A331</f>
        <v>0</v>
      </c>
      <c r="C331"/>
      <c r="D331"/>
      <c r="E331"/>
      <c r="F331"/>
      <c r="G331"/>
      <c r="H331"/>
      <c r="I331"/>
      <c r="J331"/>
    </row>
    <row r="332" spans="1:10" hidden="1" x14ac:dyDescent="0.3">
      <c r="A332">
        <f>'Planta central'!A332</f>
        <v>0</v>
      </c>
      <c r="C332"/>
      <c r="D332"/>
      <c r="E332"/>
      <c r="F332"/>
      <c r="G332"/>
      <c r="H332"/>
      <c r="I332"/>
      <c r="J332"/>
    </row>
    <row r="333" spans="1:10" hidden="1" x14ac:dyDescent="0.3">
      <c r="A333">
        <f>'Planta central'!A333</f>
        <v>0</v>
      </c>
      <c r="C333"/>
      <c r="D333"/>
      <c r="E333"/>
      <c r="F333"/>
      <c r="G333"/>
      <c r="H333"/>
      <c r="I333"/>
      <c r="J333"/>
    </row>
    <row r="334" spans="1:10" hidden="1" x14ac:dyDescent="0.3">
      <c r="A334">
        <f>'Planta central'!A334</f>
        <v>0</v>
      </c>
      <c r="C334"/>
      <c r="D334"/>
      <c r="E334"/>
      <c r="F334"/>
      <c r="G334"/>
      <c r="H334"/>
      <c r="I334"/>
      <c r="J334"/>
    </row>
    <row r="335" spans="1:10" hidden="1" x14ac:dyDescent="0.3">
      <c r="A335">
        <f>'Planta central'!A335</f>
        <v>0</v>
      </c>
      <c r="C335"/>
      <c r="D335"/>
      <c r="E335"/>
      <c r="F335"/>
      <c r="G335"/>
      <c r="H335"/>
      <c r="I335"/>
      <c r="J335"/>
    </row>
    <row r="336" spans="1:10" hidden="1" x14ac:dyDescent="0.3">
      <c r="A336">
        <f>'Planta central'!A336</f>
        <v>0</v>
      </c>
      <c r="C336"/>
      <c r="D336"/>
      <c r="E336"/>
      <c r="F336"/>
      <c r="G336"/>
      <c r="H336"/>
      <c r="I336"/>
      <c r="J336"/>
    </row>
    <row r="337" spans="1:10" hidden="1" x14ac:dyDescent="0.3">
      <c r="A337">
        <f>'Planta central'!A337</f>
        <v>0</v>
      </c>
      <c r="C337"/>
      <c r="D337"/>
      <c r="E337"/>
      <c r="F337"/>
      <c r="G337"/>
      <c r="H337"/>
      <c r="I337"/>
      <c r="J337"/>
    </row>
    <row r="338" spans="1:10" x14ac:dyDescent="0.3">
      <c r="A338" s="654" t="str">
        <f>'Planta central'!A338</f>
        <v>Dirección de Talento Humano</v>
      </c>
      <c r="B338" s="654" t="str">
        <f>+UPPER(A338)</f>
        <v>DIRECCIÓN DE TALENTO HUMANO</v>
      </c>
      <c r="C338" s="656">
        <f>SUBTOTAL(9,'Planta central'!M338:M352)</f>
        <v>122.03033665043405</v>
      </c>
      <c r="D338" s="656">
        <f>SUBTOTAL(9,'Planta central'!N338:N352)</f>
        <v>353.64391561295787</v>
      </c>
      <c r="E338" s="656">
        <f>SUBTOTAL(9,'Planta central'!O338:O352)</f>
        <v>439.60257287087029</v>
      </c>
      <c r="F338" s="656">
        <f>SUBTOTAL(9,'Planta central'!P338:P352)</f>
        <v>638.82378373890958</v>
      </c>
      <c r="G338" s="656">
        <f>SUBTOTAL(9,'Planta central'!Q338:Q352)</f>
        <v>695.69409444797498</v>
      </c>
      <c r="H338" s="656">
        <f>SUBTOTAL(9,'Planta central'!R338:R352)</f>
        <v>872.71409682563478</v>
      </c>
      <c r="I338" s="656">
        <f>SUBTOTAL(9,'Planta central'!S338:S352)</f>
        <v>917.28177706633824</v>
      </c>
      <c r="J338" s="656">
        <f>SUBTOTAL(9,'Planta central'!T338:T352)</f>
        <v>1086.3927666831066</v>
      </c>
    </row>
    <row r="339" spans="1:10" hidden="1" x14ac:dyDescent="0.3">
      <c r="A339">
        <f>'Planta central'!A339</f>
        <v>0</v>
      </c>
      <c r="C339"/>
      <c r="D339"/>
      <c r="E339"/>
      <c r="F339"/>
      <c r="G339"/>
      <c r="H339"/>
      <c r="I339"/>
      <c r="J339"/>
    </row>
    <row r="340" spans="1:10" hidden="1" x14ac:dyDescent="0.3">
      <c r="A340">
        <f>'Planta central'!A340</f>
        <v>0</v>
      </c>
      <c r="C340"/>
      <c r="D340"/>
      <c r="E340"/>
      <c r="F340"/>
      <c r="G340"/>
      <c r="H340"/>
      <c r="I340"/>
      <c r="J340"/>
    </row>
    <row r="341" spans="1:10" hidden="1" x14ac:dyDescent="0.3">
      <c r="A341">
        <f>'Planta central'!A341</f>
        <v>0</v>
      </c>
      <c r="C341"/>
      <c r="D341"/>
      <c r="E341"/>
      <c r="F341"/>
      <c r="G341"/>
      <c r="H341"/>
      <c r="I341"/>
      <c r="J341"/>
    </row>
    <row r="342" spans="1:10" hidden="1" x14ac:dyDescent="0.3">
      <c r="A342">
        <f>'Planta central'!A342</f>
        <v>0</v>
      </c>
      <c r="C342"/>
      <c r="D342"/>
      <c r="E342"/>
      <c r="F342"/>
      <c r="G342"/>
      <c r="H342"/>
      <c r="I342"/>
      <c r="J342"/>
    </row>
    <row r="343" spans="1:10" hidden="1" x14ac:dyDescent="0.3">
      <c r="A343">
        <f>'Planta central'!A343</f>
        <v>0</v>
      </c>
      <c r="C343"/>
      <c r="D343"/>
      <c r="E343"/>
      <c r="F343"/>
      <c r="G343"/>
      <c r="H343"/>
      <c r="I343"/>
      <c r="J343"/>
    </row>
    <row r="344" spans="1:10" hidden="1" x14ac:dyDescent="0.3">
      <c r="A344">
        <f>'Planta central'!A344</f>
        <v>0</v>
      </c>
      <c r="C344"/>
      <c r="D344"/>
      <c r="E344"/>
      <c r="F344"/>
      <c r="G344"/>
      <c r="H344"/>
      <c r="I344"/>
      <c r="J344"/>
    </row>
    <row r="345" spans="1:10" hidden="1" x14ac:dyDescent="0.3">
      <c r="A345">
        <f>'Planta central'!A345</f>
        <v>0</v>
      </c>
      <c r="C345"/>
      <c r="D345"/>
      <c r="E345"/>
      <c r="F345"/>
      <c r="G345"/>
      <c r="H345"/>
      <c r="I345"/>
      <c r="J345"/>
    </row>
    <row r="346" spans="1:10" hidden="1" x14ac:dyDescent="0.3">
      <c r="A346">
        <f>'Planta central'!A346</f>
        <v>0</v>
      </c>
      <c r="C346"/>
      <c r="D346"/>
      <c r="E346"/>
      <c r="F346"/>
      <c r="G346"/>
      <c r="H346"/>
      <c r="I346"/>
      <c r="J346"/>
    </row>
    <row r="347" spans="1:10" hidden="1" x14ac:dyDescent="0.3">
      <c r="A347">
        <f>'Planta central'!A347</f>
        <v>0</v>
      </c>
      <c r="C347"/>
      <c r="D347"/>
      <c r="E347"/>
      <c r="F347"/>
      <c r="G347"/>
      <c r="H347"/>
      <c r="I347"/>
      <c r="J347"/>
    </row>
    <row r="348" spans="1:10" hidden="1" x14ac:dyDescent="0.3">
      <c r="A348">
        <f>'Planta central'!A348</f>
        <v>0</v>
      </c>
      <c r="C348"/>
      <c r="D348"/>
      <c r="E348"/>
      <c r="F348"/>
      <c r="G348"/>
      <c r="H348"/>
      <c r="I348"/>
      <c r="J348"/>
    </row>
    <row r="349" spans="1:10" hidden="1" x14ac:dyDescent="0.3">
      <c r="A349">
        <f>'Planta central'!A349</f>
        <v>0</v>
      </c>
      <c r="C349"/>
      <c r="D349"/>
      <c r="E349"/>
      <c r="F349"/>
      <c r="G349"/>
      <c r="H349"/>
      <c r="I349"/>
      <c r="J349"/>
    </row>
    <row r="350" spans="1:10" hidden="1" x14ac:dyDescent="0.3">
      <c r="A350">
        <f>'Planta central'!A350</f>
        <v>0</v>
      </c>
      <c r="C350"/>
      <c r="D350"/>
      <c r="E350"/>
      <c r="F350"/>
      <c r="G350"/>
      <c r="H350"/>
      <c r="I350"/>
      <c r="J350"/>
    </row>
    <row r="351" spans="1:10" hidden="1" x14ac:dyDescent="0.3">
      <c r="A351">
        <f>'Planta central'!A351</f>
        <v>0</v>
      </c>
      <c r="C351"/>
      <c r="D351"/>
      <c r="E351"/>
      <c r="F351"/>
      <c r="G351"/>
      <c r="H351"/>
      <c r="I351"/>
      <c r="J351"/>
    </row>
    <row r="352" spans="1:10" hidden="1" x14ac:dyDescent="0.3">
      <c r="A352">
        <f>'Planta central'!A352</f>
        <v>0</v>
      </c>
      <c r="C352"/>
      <c r="D352"/>
      <c r="E352"/>
      <c r="F352"/>
      <c r="G352"/>
      <c r="H352"/>
      <c r="I352"/>
      <c r="J352"/>
    </row>
    <row r="353" spans="1:10" x14ac:dyDescent="0.3">
      <c r="A353" s="654" t="str">
        <f>'Planta central'!A353</f>
        <v>Dirección de Obras</v>
      </c>
      <c r="B353" s="654" t="str">
        <f>+UPPER(A353)</f>
        <v>DIRECCIÓN DE OBRAS</v>
      </c>
      <c r="C353" s="656">
        <f>SUBTOTAL(9,'Planta central'!M353:M370)</f>
        <v>232.27756934152023</v>
      </c>
      <c r="D353" s="656">
        <f>SUBTOTAL(9,'Planta central'!N353:N370)</f>
        <v>673.14039595172551</v>
      </c>
      <c r="E353" s="656">
        <f>SUBTOTAL(9,'Planta central'!O353:O370)</f>
        <v>836.75764490616996</v>
      </c>
      <c r="F353" s="656">
        <f>SUBTOTAL(9,'Planta central'!P353:P370)</f>
        <v>1215.9635038087811</v>
      </c>
      <c r="G353" s="656">
        <f>SUBTOTAL(9,'Planta central'!Q353:Q370)</f>
        <v>1324.2127957618056</v>
      </c>
      <c r="H353" s="656">
        <f>SUBTOTAL(9,'Planta central'!R353:R370)</f>
        <v>1661.1599599321237</v>
      </c>
      <c r="I353" s="656">
        <f>SUBTOTAL(9,'Planta central'!S353:S370)</f>
        <v>1745.9919182930605</v>
      </c>
      <c r="J353" s="656">
        <f>SUBTOTAL(9,'Planta central'!T353:T370)</f>
        <v>2067.8847417935376</v>
      </c>
    </row>
    <row r="354" spans="1:10" hidden="1" x14ac:dyDescent="0.3">
      <c r="A354">
        <f>'Planta central'!A354</f>
        <v>0</v>
      </c>
      <c r="C354"/>
      <c r="D354"/>
      <c r="E354"/>
      <c r="F354"/>
      <c r="G354"/>
      <c r="H354"/>
      <c r="I354"/>
      <c r="J354"/>
    </row>
    <row r="355" spans="1:10" hidden="1" x14ac:dyDescent="0.3">
      <c r="A355">
        <f>'Planta central'!A355</f>
        <v>0</v>
      </c>
      <c r="C355"/>
      <c r="D355"/>
      <c r="E355"/>
      <c r="F355"/>
      <c r="G355"/>
      <c r="H355"/>
      <c r="I355"/>
      <c r="J355"/>
    </row>
    <row r="356" spans="1:10" hidden="1" x14ac:dyDescent="0.3">
      <c r="A356">
        <f>'Planta central'!A356</f>
        <v>0</v>
      </c>
      <c r="C356"/>
      <c r="D356"/>
      <c r="E356"/>
      <c r="F356"/>
      <c r="G356"/>
      <c r="H356"/>
      <c r="I356"/>
      <c r="J356"/>
    </row>
    <row r="357" spans="1:10" hidden="1" x14ac:dyDescent="0.3">
      <c r="A357">
        <f>'Planta central'!A357</f>
        <v>0</v>
      </c>
      <c r="C357"/>
      <c r="D357"/>
      <c r="E357"/>
      <c r="F357"/>
      <c r="G357"/>
      <c r="H357"/>
      <c r="I357"/>
      <c r="J357"/>
    </row>
    <row r="358" spans="1:10" hidden="1" x14ac:dyDescent="0.3">
      <c r="A358">
        <f>'Planta central'!A358</f>
        <v>0</v>
      </c>
      <c r="C358"/>
      <c r="D358"/>
      <c r="E358"/>
      <c r="F358"/>
      <c r="G358"/>
      <c r="H358"/>
      <c r="I358"/>
      <c r="J358"/>
    </row>
    <row r="359" spans="1:10" hidden="1" x14ac:dyDescent="0.3">
      <c r="A359">
        <f>'Planta central'!A359</f>
        <v>0</v>
      </c>
      <c r="C359"/>
      <c r="D359"/>
      <c r="E359"/>
      <c r="F359"/>
      <c r="G359"/>
      <c r="H359"/>
      <c r="I359"/>
      <c r="J359"/>
    </row>
    <row r="360" spans="1:10" hidden="1" x14ac:dyDescent="0.3">
      <c r="A360">
        <f>'Planta central'!A360</f>
        <v>0</v>
      </c>
      <c r="C360"/>
      <c r="D360"/>
      <c r="E360"/>
      <c r="F360"/>
      <c r="G360"/>
      <c r="H360"/>
      <c r="I360"/>
      <c r="J360"/>
    </row>
    <row r="361" spans="1:10" hidden="1" x14ac:dyDescent="0.3">
      <c r="A361">
        <f>'Planta central'!A361</f>
        <v>0</v>
      </c>
      <c r="C361"/>
      <c r="D361"/>
      <c r="E361"/>
      <c r="F361"/>
      <c r="G361"/>
      <c r="H361"/>
      <c r="I361"/>
      <c r="J361"/>
    </row>
    <row r="362" spans="1:10" hidden="1" x14ac:dyDescent="0.3">
      <c r="A362">
        <f>'Planta central'!A362</f>
        <v>0</v>
      </c>
      <c r="C362"/>
      <c r="D362"/>
      <c r="E362"/>
      <c r="F362"/>
      <c r="G362"/>
      <c r="H362"/>
      <c r="I362"/>
      <c r="J362"/>
    </row>
    <row r="363" spans="1:10" hidden="1" x14ac:dyDescent="0.3">
      <c r="A363">
        <f>'Planta central'!A363</f>
        <v>0</v>
      </c>
      <c r="C363"/>
      <c r="D363"/>
      <c r="E363"/>
      <c r="F363"/>
      <c r="G363"/>
      <c r="H363"/>
      <c r="I363"/>
      <c r="J363"/>
    </row>
    <row r="364" spans="1:10" hidden="1" x14ac:dyDescent="0.3">
      <c r="A364">
        <f>'Planta central'!A364</f>
        <v>0</v>
      </c>
      <c r="C364"/>
      <c r="D364"/>
      <c r="E364"/>
      <c r="F364"/>
      <c r="G364"/>
      <c r="H364"/>
      <c r="I364"/>
      <c r="J364"/>
    </row>
    <row r="365" spans="1:10" hidden="1" x14ac:dyDescent="0.3">
      <c r="A365">
        <f>'Planta central'!A365</f>
        <v>0</v>
      </c>
      <c r="C365"/>
      <c r="D365"/>
      <c r="E365"/>
      <c r="F365"/>
      <c r="G365"/>
      <c r="H365"/>
      <c r="I365"/>
      <c r="J365"/>
    </row>
    <row r="366" spans="1:10" hidden="1" x14ac:dyDescent="0.3">
      <c r="A366">
        <f>'Planta central'!A366</f>
        <v>0</v>
      </c>
      <c r="C366"/>
      <c r="D366"/>
      <c r="E366"/>
      <c r="F366"/>
      <c r="G366"/>
      <c r="H366"/>
      <c r="I366"/>
      <c r="J366"/>
    </row>
    <row r="367" spans="1:10" hidden="1" x14ac:dyDescent="0.3">
      <c r="A367">
        <f>'Planta central'!A367</f>
        <v>0</v>
      </c>
      <c r="C367"/>
      <c r="D367"/>
      <c r="E367"/>
      <c r="F367"/>
      <c r="G367"/>
      <c r="H367"/>
      <c r="I367"/>
      <c r="J367"/>
    </row>
    <row r="368" spans="1:10" hidden="1" x14ac:dyDescent="0.3">
      <c r="A368">
        <f>'Planta central'!A368</f>
        <v>0</v>
      </c>
      <c r="C368"/>
      <c r="D368"/>
      <c r="E368"/>
      <c r="F368"/>
      <c r="G368"/>
      <c r="H368"/>
      <c r="I368"/>
      <c r="J368"/>
    </row>
    <row r="369" spans="1:10" hidden="1" x14ac:dyDescent="0.3">
      <c r="A369">
        <f>'Planta central'!A369</f>
        <v>0</v>
      </c>
      <c r="C369"/>
      <c r="D369"/>
      <c r="E369"/>
      <c r="F369"/>
      <c r="G369"/>
      <c r="H369"/>
      <c r="I369"/>
      <c r="J369"/>
    </row>
    <row r="370" spans="1:10" hidden="1" x14ac:dyDescent="0.3">
      <c r="A370">
        <f>'Planta central'!A370</f>
        <v>0</v>
      </c>
      <c r="C370"/>
      <c r="D370"/>
      <c r="E370"/>
      <c r="F370"/>
      <c r="G370"/>
      <c r="H370"/>
      <c r="I370"/>
      <c r="J370"/>
    </row>
    <row r="371" spans="1:10" x14ac:dyDescent="0.3">
      <c r="A371" s="654" t="str">
        <f>'Planta central'!A371</f>
        <v>Becas</v>
      </c>
      <c r="B371" s="654" t="str">
        <f>+UPPER(A371)</f>
        <v>BECAS</v>
      </c>
      <c r="C371" s="656">
        <f>SUBTOTAL(9,'Planta central'!M371:M374)</f>
        <v>0</v>
      </c>
      <c r="D371" s="656">
        <f>SUBTOTAL(9,'Planta central'!N371:N374)</f>
        <v>0</v>
      </c>
      <c r="E371" s="656">
        <f>SUBTOTAL(9,'Planta central'!O371:O374)</f>
        <v>0</v>
      </c>
      <c r="F371" s="656">
        <f>SUBTOTAL(9,'Planta central'!P371:P374)</f>
        <v>0</v>
      </c>
      <c r="G371" s="656">
        <f>SUBTOTAL(9,'Planta central'!Q371:Q374)</f>
        <v>0</v>
      </c>
      <c r="H371" s="656">
        <f>SUBTOTAL(9,'Planta central'!R371:R374)</f>
        <v>0</v>
      </c>
      <c r="I371" s="656">
        <f>SUBTOTAL(9,'Planta central'!S371:S374)</f>
        <v>0</v>
      </c>
      <c r="J371" s="656">
        <f>SUBTOTAL(9,'Planta central'!T371:T374)</f>
        <v>0</v>
      </c>
    </row>
    <row r="372" spans="1:10" hidden="1" x14ac:dyDescent="0.3">
      <c r="A372">
        <f>'Planta central'!A372</f>
        <v>0</v>
      </c>
      <c r="C372"/>
      <c r="D372"/>
      <c r="E372"/>
      <c r="F372"/>
      <c r="G372"/>
      <c r="H372"/>
      <c r="I372"/>
      <c r="J372"/>
    </row>
    <row r="373" spans="1:10" hidden="1" x14ac:dyDescent="0.3">
      <c r="A373">
        <f>'Planta central'!A373</f>
        <v>0</v>
      </c>
      <c r="C373"/>
      <c r="D373"/>
      <c r="E373"/>
      <c r="F373"/>
      <c r="G373"/>
      <c r="H373"/>
      <c r="I373"/>
      <c r="J373"/>
    </row>
    <row r="374" spans="1:10" hidden="1" x14ac:dyDescent="0.3">
      <c r="A374">
        <f>'Planta central'!A374</f>
        <v>0</v>
      </c>
      <c r="C374"/>
      <c r="D374"/>
      <c r="E374"/>
      <c r="F374"/>
      <c r="G374"/>
      <c r="H374"/>
      <c r="I374"/>
      <c r="J374"/>
    </row>
    <row r="375" spans="1:10" x14ac:dyDescent="0.3">
      <c r="A375" s="654" t="str">
        <f>'Planta central'!A375</f>
        <v>DIRECCIÓN DE COMUNICACIÓN, CULTURA Y MARKETING</v>
      </c>
      <c r="B375" s="654" t="str">
        <f>+UPPER(A375)</f>
        <v>DIRECCIÓN DE COMUNICACIÓN, CULTURA Y MARKETING</v>
      </c>
      <c r="C375" s="656">
        <f>SUBTOTAL(9,'Planta central'!M375:M389)</f>
        <v>179.39214905780221</v>
      </c>
      <c r="D375" s="656">
        <f>SUBTOTAL(9,'Planta central'!N375:N389)</f>
        <v>519.87844796951072</v>
      </c>
      <c r="E375" s="656">
        <f>SUBTOTAL(9,'Planta central'!O375:O389)</f>
        <v>646.24299533442297</v>
      </c>
      <c r="F375" s="656">
        <f>SUBTOTAL(9,'Planta central'!P375:P389)</f>
        <v>939.11050792591641</v>
      </c>
      <c r="G375" s="656">
        <f>SUBTOTAL(9,'Planta central'!Q375:Q389)</f>
        <v>1022.7133851752753</v>
      </c>
      <c r="H375" s="656">
        <f>SUBTOTAL(9,'Planta central'!R375:R389)</f>
        <v>1282.9437469394431</v>
      </c>
      <c r="I375" s="656">
        <f>SUBTOTAL(9,'Planta central'!S375:S389)</f>
        <v>1348.4609958166907</v>
      </c>
      <c r="J375" s="656">
        <f>SUBTOTAL(9,'Planta central'!T375:T389)</f>
        <v>1597.0646192218042</v>
      </c>
    </row>
    <row r="376" spans="1:10" hidden="1" x14ac:dyDescent="0.3">
      <c r="A376">
        <f>'Planta central'!A376</f>
        <v>0</v>
      </c>
      <c r="C376"/>
      <c r="D376"/>
      <c r="E376"/>
      <c r="F376"/>
      <c r="G376"/>
      <c r="H376"/>
      <c r="I376"/>
      <c r="J376"/>
    </row>
    <row r="377" spans="1:10" hidden="1" x14ac:dyDescent="0.3">
      <c r="A377">
        <f>'Planta central'!A377</f>
        <v>0</v>
      </c>
      <c r="C377"/>
      <c r="D377"/>
      <c r="E377"/>
      <c r="F377"/>
      <c r="G377"/>
      <c r="H377"/>
      <c r="I377"/>
      <c r="J377"/>
    </row>
    <row r="378" spans="1:10" hidden="1" x14ac:dyDescent="0.3">
      <c r="A378">
        <f>'Planta central'!A378</f>
        <v>0</v>
      </c>
      <c r="C378"/>
      <c r="D378"/>
      <c r="E378"/>
      <c r="F378"/>
      <c r="G378"/>
      <c r="H378"/>
      <c r="I378"/>
      <c r="J378"/>
    </row>
    <row r="379" spans="1:10" hidden="1" x14ac:dyDescent="0.3">
      <c r="A379">
        <f>'Planta central'!A379</f>
        <v>0</v>
      </c>
      <c r="C379"/>
      <c r="D379"/>
      <c r="E379"/>
      <c r="F379"/>
      <c r="G379"/>
      <c r="H379"/>
      <c r="I379"/>
      <c r="J379"/>
    </row>
    <row r="380" spans="1:10" hidden="1" x14ac:dyDescent="0.3">
      <c r="A380">
        <f>'Planta central'!A380</f>
        <v>0</v>
      </c>
      <c r="C380"/>
      <c r="D380"/>
      <c r="E380"/>
      <c r="F380"/>
      <c r="G380"/>
      <c r="H380"/>
      <c r="I380"/>
      <c r="J380"/>
    </row>
    <row r="381" spans="1:10" hidden="1" x14ac:dyDescent="0.3">
      <c r="A381">
        <f>'Planta central'!A381</f>
        <v>0</v>
      </c>
      <c r="C381"/>
      <c r="D381"/>
      <c r="E381"/>
      <c r="F381"/>
      <c r="G381"/>
      <c r="H381"/>
      <c r="I381"/>
      <c r="J381"/>
    </row>
    <row r="382" spans="1:10" hidden="1" x14ac:dyDescent="0.3">
      <c r="A382">
        <f>'Planta central'!A382</f>
        <v>0</v>
      </c>
      <c r="C382"/>
      <c r="D382"/>
      <c r="E382"/>
      <c r="F382"/>
      <c r="G382"/>
      <c r="H382"/>
      <c r="I382"/>
      <c r="J382"/>
    </row>
    <row r="383" spans="1:10" hidden="1" x14ac:dyDescent="0.3">
      <c r="A383">
        <f>'Planta central'!A383</f>
        <v>0</v>
      </c>
      <c r="C383"/>
      <c r="D383"/>
      <c r="E383"/>
      <c r="F383"/>
      <c r="G383"/>
      <c r="H383"/>
      <c r="I383"/>
      <c r="J383"/>
    </row>
    <row r="384" spans="1:10" hidden="1" x14ac:dyDescent="0.3">
      <c r="A384">
        <f>'Planta central'!A384</f>
        <v>0</v>
      </c>
      <c r="C384"/>
      <c r="D384"/>
      <c r="E384"/>
      <c r="F384"/>
      <c r="G384"/>
      <c r="H384"/>
      <c r="I384"/>
      <c r="J384"/>
    </row>
    <row r="385" spans="1:10" hidden="1" x14ac:dyDescent="0.3">
      <c r="A385">
        <f>'Planta central'!A385</f>
        <v>0</v>
      </c>
      <c r="C385"/>
      <c r="D385"/>
      <c r="E385"/>
      <c r="F385"/>
      <c r="G385"/>
      <c r="H385"/>
      <c r="I385"/>
      <c r="J385"/>
    </row>
    <row r="386" spans="1:10" hidden="1" x14ac:dyDescent="0.3">
      <c r="A386">
        <f>'Planta central'!A386</f>
        <v>0</v>
      </c>
      <c r="C386"/>
      <c r="D386"/>
      <c r="E386"/>
      <c r="F386"/>
      <c r="G386"/>
      <c r="H386"/>
      <c r="I386"/>
      <c r="J386"/>
    </row>
    <row r="387" spans="1:10" hidden="1" x14ac:dyDescent="0.3">
      <c r="A387">
        <f>'Planta central'!A387</f>
        <v>0</v>
      </c>
      <c r="C387"/>
      <c r="D387"/>
      <c r="E387"/>
      <c r="F387"/>
      <c r="G387"/>
      <c r="H387"/>
      <c r="I387"/>
      <c r="J387"/>
    </row>
    <row r="388" spans="1:10" hidden="1" x14ac:dyDescent="0.3">
      <c r="A388">
        <f>'Planta central'!A388</f>
        <v>0</v>
      </c>
      <c r="C388"/>
      <c r="D388"/>
      <c r="E388"/>
      <c r="F388"/>
      <c r="G388"/>
      <c r="H388"/>
      <c r="I388"/>
      <c r="J388"/>
    </row>
    <row r="389" spans="1:10" hidden="1" x14ac:dyDescent="0.3">
      <c r="A389">
        <f>'Planta central'!A389</f>
        <v>0</v>
      </c>
      <c r="C389"/>
      <c r="D389"/>
      <c r="E389"/>
      <c r="F389"/>
      <c r="G389"/>
      <c r="H389"/>
      <c r="I389"/>
      <c r="J389"/>
    </row>
    <row r="390" spans="1:10" x14ac:dyDescent="0.3">
      <c r="A390" s="654" t="str">
        <f>'Planta central'!A390</f>
        <v>CENTRO DE INVESTIGACIÓN, INNOVACIÓN Y TRANSFERENCIA DE TECNOLOGÍA CIITT</v>
      </c>
      <c r="B390" s="654" t="str">
        <f>+UPPER(A390)</f>
        <v>CENTRO DE INVESTIGACIÓN, INNOVACIÓN Y TRANSFERENCIA DE TECNOLOGÍA CIITT</v>
      </c>
      <c r="C390" s="656">
        <f>SUBTOTAL(9,'Planta central'!M390:M397)</f>
        <v>78.717687910226559</v>
      </c>
      <c r="D390" s="656">
        <f>SUBTOTAL(9,'Planta central'!N390:N397)</f>
        <v>228.1238595638365</v>
      </c>
      <c r="E390" s="656">
        <f>SUBTOTAL(9,'Planta central'!O390:O397)</f>
        <v>283.57291379855172</v>
      </c>
      <c r="F390" s="656">
        <f>SUBTOTAL(9,'Planta central'!P390:P397)</f>
        <v>412.08385241155258</v>
      </c>
      <c r="G390" s="656">
        <f>SUBTOTAL(9,'Planta central'!Q390:Q397)</f>
        <v>448.76898737580075</v>
      </c>
      <c r="H390" s="656">
        <f>SUBTOTAL(9,'Planta central'!R390:R397)</f>
        <v>562.95866908543189</v>
      </c>
      <c r="I390" s="656">
        <f>SUBTOTAL(9,'Planta central'!S390:S397)</f>
        <v>591.70778869263404</v>
      </c>
      <c r="J390" s="656">
        <f>SUBTOTAL(9,'Planta central'!T390:T397)</f>
        <v>700.79563084925871</v>
      </c>
    </row>
    <row r="391" spans="1:10" hidden="1" x14ac:dyDescent="0.3">
      <c r="A391">
        <f>'Planta central'!A391</f>
        <v>0</v>
      </c>
      <c r="C391"/>
      <c r="D391"/>
      <c r="E391"/>
      <c r="F391"/>
      <c r="G391"/>
      <c r="H391"/>
      <c r="I391"/>
      <c r="J391"/>
    </row>
    <row r="392" spans="1:10" hidden="1" x14ac:dyDescent="0.3">
      <c r="A392">
        <f>'Planta central'!A392</f>
        <v>0</v>
      </c>
      <c r="C392"/>
      <c r="D392"/>
      <c r="E392"/>
      <c r="F392"/>
      <c r="G392"/>
      <c r="H392"/>
      <c r="I392"/>
      <c r="J392"/>
    </row>
    <row r="393" spans="1:10" hidden="1" x14ac:dyDescent="0.3">
      <c r="A393">
        <f>'Planta central'!A393</f>
        <v>0</v>
      </c>
      <c r="C393"/>
      <c r="D393"/>
      <c r="E393"/>
      <c r="F393"/>
      <c r="G393"/>
      <c r="H393"/>
      <c r="I393"/>
      <c r="J393"/>
    </row>
    <row r="394" spans="1:10" hidden="1" x14ac:dyDescent="0.3">
      <c r="A394">
        <f>'Planta central'!A394</f>
        <v>0</v>
      </c>
      <c r="C394"/>
      <c r="D394"/>
      <c r="E394"/>
      <c r="F394"/>
      <c r="G394"/>
      <c r="H394"/>
      <c r="I394"/>
      <c r="J394"/>
    </row>
    <row r="395" spans="1:10" hidden="1" x14ac:dyDescent="0.3">
      <c r="A395">
        <f>'Planta central'!A395</f>
        <v>0</v>
      </c>
      <c r="C395"/>
      <c r="D395"/>
      <c r="E395"/>
      <c r="F395"/>
      <c r="G395"/>
      <c r="H395"/>
      <c r="I395"/>
      <c r="J395"/>
    </row>
    <row r="396" spans="1:10" hidden="1" x14ac:dyDescent="0.3">
      <c r="A396">
        <f>'Planta central'!A396</f>
        <v>0</v>
      </c>
      <c r="C396"/>
      <c r="D396"/>
      <c r="E396"/>
      <c r="F396"/>
      <c r="G396"/>
      <c r="H396"/>
      <c r="I396"/>
      <c r="J396"/>
    </row>
    <row r="397" spans="1:10" hidden="1" x14ac:dyDescent="0.3">
      <c r="A397">
        <f>'Planta central'!A397</f>
        <v>0</v>
      </c>
      <c r="C397"/>
      <c r="D397"/>
      <c r="E397"/>
      <c r="F397"/>
      <c r="G397"/>
      <c r="H397"/>
      <c r="I397"/>
      <c r="J397"/>
    </row>
    <row r="398" spans="1:10" x14ac:dyDescent="0.3">
      <c r="A398" s="654" t="str">
        <f>'Planta central'!A398</f>
        <v>CENTRO DE MEDIACIÓN JOSEFINA ESPINOZA ASTORGA</v>
      </c>
      <c r="B398" s="654" t="str">
        <f>+UPPER(A398)</f>
        <v>CENTRO DE MEDIACIÓN JOSEFINA ESPINOZA ASTORGA</v>
      </c>
      <c r="C398" s="656">
        <f>SUBTOTAL(9,'Planta central'!M398:M405)</f>
        <v>97.072792716493737</v>
      </c>
      <c r="D398" s="656">
        <f>SUBTOTAL(9,'Planta central'!N398:N405)</f>
        <v>281.31695329239886</v>
      </c>
      <c r="E398" s="656">
        <f>SUBTOTAL(9,'Planta central'!O398:O405)</f>
        <v>349.6954167730679</v>
      </c>
      <c r="F398" s="656">
        <f>SUBTOTAL(9,'Planta central'!P398:P405)</f>
        <v>508.17206969520254</v>
      </c>
      <c r="G398" s="656">
        <f>SUBTOTAL(9,'Planta central'!Q398:Q405)</f>
        <v>553.41131130278563</v>
      </c>
      <c r="H398" s="656">
        <f>SUBTOTAL(9,'Planta central'!R398:R405)</f>
        <v>694.2273286075997</v>
      </c>
      <c r="I398" s="656">
        <f>SUBTOTAL(9,'Planta central'!S398:S405)</f>
        <v>729.68006359639071</v>
      </c>
      <c r="J398" s="656">
        <f>SUBTOTAL(9,'Planta central'!T398:T405)</f>
        <v>864.20461291542517</v>
      </c>
    </row>
    <row r="399" spans="1:10" hidden="1" x14ac:dyDescent="0.3">
      <c r="A399">
        <f>'Planta central'!A399</f>
        <v>0</v>
      </c>
      <c r="C399"/>
      <c r="D399"/>
      <c r="E399"/>
      <c r="F399"/>
      <c r="G399"/>
      <c r="H399"/>
      <c r="I399"/>
      <c r="J399"/>
    </row>
    <row r="400" spans="1:10" hidden="1" x14ac:dyDescent="0.3">
      <c r="A400">
        <f>'Planta central'!A400</f>
        <v>0</v>
      </c>
      <c r="C400"/>
      <c r="D400"/>
      <c r="E400"/>
      <c r="F400"/>
      <c r="G400"/>
      <c r="H400"/>
      <c r="I400"/>
      <c r="J400"/>
    </row>
    <row r="401" spans="1:10" hidden="1" x14ac:dyDescent="0.3">
      <c r="A401">
        <f>'Planta central'!A401</f>
        <v>0</v>
      </c>
      <c r="C401"/>
      <c r="D401"/>
      <c r="E401"/>
      <c r="F401"/>
      <c r="G401"/>
      <c r="H401"/>
      <c r="I401"/>
      <c r="J401"/>
    </row>
    <row r="402" spans="1:10" hidden="1" x14ac:dyDescent="0.3">
      <c r="A402">
        <f>'Planta central'!A402</f>
        <v>0</v>
      </c>
      <c r="C402"/>
      <c r="D402"/>
      <c r="E402"/>
      <c r="F402"/>
      <c r="G402"/>
      <c r="H402"/>
      <c r="I402"/>
      <c r="J402"/>
    </row>
    <row r="403" spans="1:10" hidden="1" x14ac:dyDescent="0.3">
      <c r="A403">
        <f>'Planta central'!A403</f>
        <v>0</v>
      </c>
      <c r="C403"/>
      <c r="D403"/>
      <c r="E403"/>
      <c r="F403"/>
      <c r="G403"/>
      <c r="H403"/>
      <c r="I403"/>
      <c r="J403"/>
    </row>
    <row r="404" spans="1:10" hidden="1" x14ac:dyDescent="0.3">
      <c r="A404">
        <f>'Planta central'!A404</f>
        <v>0</v>
      </c>
      <c r="C404"/>
      <c r="D404"/>
      <c r="E404"/>
      <c r="F404"/>
      <c r="G404"/>
      <c r="H404"/>
      <c r="I404"/>
      <c r="J404"/>
    </row>
    <row r="405" spans="1:10" hidden="1" x14ac:dyDescent="0.3">
      <c r="A405">
        <f>'Planta central'!A405</f>
        <v>0</v>
      </c>
      <c r="C405"/>
      <c r="D405"/>
      <c r="E405"/>
      <c r="F405"/>
      <c r="G405"/>
      <c r="H405"/>
      <c r="I405"/>
      <c r="J405"/>
    </row>
    <row r="406" spans="1:10" x14ac:dyDescent="0.3">
      <c r="A406" s="654" t="str">
        <f>'Planta central'!A406</f>
        <v>COMITE DE ETICA</v>
      </c>
      <c r="B406" s="654" t="str">
        <f>+UPPER(A406)</f>
        <v>COMITE DE ETICA</v>
      </c>
      <c r="C406" s="656">
        <f>SUBTOTAL(9,'Planta central'!M398:M405)</f>
        <v>97.072792716493737</v>
      </c>
      <c r="D406" s="656">
        <f>SUBTOTAL(9,'Planta central'!N398:N405)</f>
        <v>281.31695329239886</v>
      </c>
      <c r="E406" s="656">
        <f>SUBTOTAL(9,'Planta central'!O398:O405)</f>
        <v>349.6954167730679</v>
      </c>
      <c r="F406" s="656">
        <f>SUBTOTAL(9,'Planta central'!P398:P405)</f>
        <v>508.17206969520254</v>
      </c>
      <c r="G406" s="656">
        <f>SUBTOTAL(9,'Planta central'!Q398:Q405)</f>
        <v>553.41131130278563</v>
      </c>
      <c r="H406" s="656">
        <f>SUBTOTAL(9,'Planta central'!R398:R405)</f>
        <v>694.2273286075997</v>
      </c>
      <c r="I406" s="656">
        <f>SUBTOTAL(9,'Planta central'!S398:S405)</f>
        <v>729.68006359639071</v>
      </c>
      <c r="J406" s="656">
        <f>SUBTOTAL(9,'Planta central'!T398:T405)</f>
        <v>864.20461291542517</v>
      </c>
    </row>
    <row r="407" spans="1:10" hidden="1" x14ac:dyDescent="0.3">
      <c r="A407">
        <f>'Planta central'!A407</f>
        <v>0</v>
      </c>
      <c r="C407"/>
      <c r="D407"/>
      <c r="E407"/>
      <c r="F407"/>
      <c r="G407"/>
      <c r="H407"/>
      <c r="I407"/>
      <c r="J407"/>
    </row>
    <row r="408" spans="1:10" hidden="1" x14ac:dyDescent="0.3">
      <c r="A408">
        <f>'Planta central'!A408</f>
        <v>0</v>
      </c>
      <c r="C408"/>
      <c r="D408"/>
      <c r="E408"/>
      <c r="F408"/>
      <c r="G408"/>
      <c r="H408"/>
      <c r="I408"/>
      <c r="J408"/>
    </row>
    <row r="409" spans="1:10" hidden="1" x14ac:dyDescent="0.3">
      <c r="A409">
        <f>'Planta central'!A409</f>
        <v>0</v>
      </c>
      <c r="C409"/>
      <c r="D409"/>
      <c r="E409"/>
      <c r="F409"/>
      <c r="G409"/>
      <c r="H409"/>
      <c r="I409"/>
      <c r="J409"/>
    </row>
    <row r="410" spans="1:10" x14ac:dyDescent="0.3">
      <c r="A410" s="654" t="str">
        <f>'Planta central'!A410</f>
        <v>CONSULTORIO JURIDICO</v>
      </c>
      <c r="B410" s="654" t="str">
        <f>+UPPER(A410)</f>
        <v>CONSULTORIO JURIDICO</v>
      </c>
      <c r="C410" s="656">
        <f>SUBTOTAL(9,'Planta central'!M406:M409)</f>
        <v>0</v>
      </c>
      <c r="D410" s="656">
        <f>SUBTOTAL(9,'Planta central'!N406:N409)</f>
        <v>0</v>
      </c>
      <c r="E410" s="656">
        <f>SUBTOTAL(9,'Planta central'!O406:O409)</f>
        <v>0</v>
      </c>
      <c r="F410" s="656">
        <f>SUBTOTAL(9,'Planta central'!P406:P409)</f>
        <v>0</v>
      </c>
      <c r="G410" s="656">
        <f>SUBTOTAL(9,'Planta central'!Q406:Q409)</f>
        <v>0</v>
      </c>
      <c r="H410" s="656">
        <f>SUBTOTAL(9,'Planta central'!R406:R409)</f>
        <v>0</v>
      </c>
      <c r="I410" s="656">
        <f>SUBTOTAL(9,'Planta central'!S406:S409)</f>
        <v>0</v>
      </c>
      <c r="J410" s="656">
        <f>SUBTOTAL(9,'Planta central'!T406:T409)</f>
        <v>0</v>
      </c>
    </row>
    <row r="411" spans="1:10" hidden="1" x14ac:dyDescent="0.3">
      <c r="A411">
        <f>'Planta central'!A411</f>
        <v>0</v>
      </c>
      <c r="C411"/>
      <c r="D411"/>
      <c r="E411"/>
      <c r="F411"/>
      <c r="G411"/>
      <c r="H411"/>
      <c r="I411"/>
      <c r="J411"/>
    </row>
    <row r="412" spans="1:10" hidden="1" x14ac:dyDescent="0.3">
      <c r="A412">
        <f>'Planta central'!A412</f>
        <v>0</v>
      </c>
      <c r="C412"/>
      <c r="D412"/>
      <c r="E412"/>
      <c r="F412"/>
      <c r="G412"/>
      <c r="H412"/>
      <c r="I412"/>
      <c r="J412"/>
    </row>
    <row r="413" spans="1:10" hidden="1" x14ac:dyDescent="0.3">
      <c r="A413">
        <f>'Planta central'!A413</f>
        <v>0</v>
      </c>
      <c r="C413"/>
      <c r="D413"/>
      <c r="E413"/>
      <c r="F413"/>
      <c r="G413"/>
      <c r="H413"/>
      <c r="I413"/>
      <c r="J413"/>
    </row>
    <row r="414" spans="1:10" hidden="1" x14ac:dyDescent="0.3">
      <c r="A414">
        <f>'Planta central'!A414</f>
        <v>0</v>
      </c>
      <c r="C414"/>
      <c r="D414"/>
      <c r="E414"/>
      <c r="F414"/>
      <c r="G414"/>
      <c r="H414"/>
      <c r="I414"/>
      <c r="J414"/>
    </row>
    <row r="415" spans="1:10" hidden="1" x14ac:dyDescent="0.3">
      <c r="A415">
        <f>'Planta central'!A415</f>
        <v>0</v>
      </c>
      <c r="C415"/>
      <c r="D415"/>
      <c r="E415"/>
      <c r="F415"/>
      <c r="G415"/>
      <c r="H415"/>
      <c r="I415"/>
      <c r="J415"/>
    </row>
    <row r="416" spans="1:10" hidden="1" x14ac:dyDescent="0.3">
      <c r="A416">
        <f>'Planta central'!A416</f>
        <v>0</v>
      </c>
      <c r="C416"/>
      <c r="D416"/>
      <c r="E416"/>
      <c r="F416"/>
      <c r="G416"/>
      <c r="H416"/>
      <c r="I416"/>
      <c r="J416"/>
    </row>
    <row r="417" spans="1:10" hidden="1" x14ac:dyDescent="0.3">
      <c r="A417">
        <f>'Planta central'!A417</f>
        <v>0</v>
      </c>
      <c r="C417"/>
      <c r="D417"/>
      <c r="E417"/>
      <c r="F417"/>
      <c r="G417"/>
      <c r="H417"/>
      <c r="I417"/>
      <c r="J417"/>
    </row>
    <row r="418" spans="1:10" hidden="1" x14ac:dyDescent="0.3">
      <c r="A418">
        <f>'Planta central'!A418</f>
        <v>0</v>
      </c>
      <c r="C418"/>
      <c r="D418"/>
      <c r="E418"/>
      <c r="F418"/>
      <c r="G418"/>
      <c r="H418"/>
      <c r="I418"/>
      <c r="J418"/>
    </row>
    <row r="419" spans="1:10" hidden="1" x14ac:dyDescent="0.3">
      <c r="A419">
        <f>'Planta central'!A419</f>
        <v>0</v>
      </c>
      <c r="C419"/>
      <c r="D419"/>
      <c r="E419"/>
      <c r="F419"/>
      <c r="G419"/>
      <c r="H419"/>
      <c r="I419"/>
      <c r="J419"/>
    </row>
    <row r="420" spans="1:10" hidden="1" x14ac:dyDescent="0.3">
      <c r="A420">
        <f>'Planta central'!A420</f>
        <v>0</v>
      </c>
      <c r="C420"/>
      <c r="D420"/>
      <c r="E420"/>
      <c r="F420"/>
      <c r="G420"/>
      <c r="H420"/>
      <c r="I420"/>
      <c r="J420"/>
    </row>
    <row r="421" spans="1:10" hidden="1" x14ac:dyDescent="0.3">
      <c r="A421">
        <f>'Planta central'!A421</f>
        <v>0</v>
      </c>
      <c r="C421"/>
      <c r="D421"/>
      <c r="E421"/>
      <c r="F421"/>
      <c r="G421"/>
      <c r="H421"/>
      <c r="I421"/>
      <c r="J421"/>
    </row>
    <row r="422" spans="1:10" hidden="1" x14ac:dyDescent="0.3">
      <c r="A422">
        <f>'Planta central'!A422</f>
        <v>0</v>
      </c>
      <c r="C422"/>
      <c r="D422"/>
      <c r="E422"/>
      <c r="F422"/>
      <c r="G422"/>
      <c r="H422"/>
      <c r="I422"/>
      <c r="J422"/>
    </row>
    <row r="423" spans="1:10" hidden="1" x14ac:dyDescent="0.3">
      <c r="A423">
        <f>'Planta central'!A423</f>
        <v>0</v>
      </c>
      <c r="C423"/>
      <c r="D423"/>
      <c r="E423"/>
      <c r="F423"/>
      <c r="G423"/>
      <c r="H423"/>
      <c r="I423"/>
      <c r="J423"/>
    </row>
    <row r="424" spans="1:10" hidden="1" x14ac:dyDescent="0.3">
      <c r="A424">
        <f>'Planta central'!A424</f>
        <v>0</v>
      </c>
      <c r="C424"/>
      <c r="D424"/>
      <c r="E424"/>
      <c r="F424"/>
      <c r="G424"/>
      <c r="H424"/>
      <c r="I424"/>
      <c r="J424"/>
    </row>
    <row r="425" spans="1:10" hidden="1" x14ac:dyDescent="0.3">
      <c r="A425">
        <f>'Planta central'!A425</f>
        <v>0</v>
      </c>
      <c r="C425"/>
      <c r="D425"/>
      <c r="E425"/>
      <c r="F425"/>
      <c r="G425"/>
      <c r="H425"/>
      <c r="I425"/>
      <c r="J425"/>
    </row>
    <row r="426" spans="1:10" hidden="1" x14ac:dyDescent="0.3">
      <c r="A426">
        <f>'Planta central'!A426</f>
        <v>0</v>
      </c>
      <c r="C426"/>
      <c r="D426"/>
      <c r="E426"/>
      <c r="F426"/>
      <c r="G426"/>
      <c r="H426"/>
      <c r="I426"/>
      <c r="J426"/>
    </row>
    <row r="427" spans="1:10" hidden="1" x14ac:dyDescent="0.3">
      <c r="A427">
        <f>'Planta central'!A427</f>
        <v>0</v>
      </c>
      <c r="C427"/>
      <c r="D427"/>
      <c r="E427"/>
      <c r="F427"/>
      <c r="G427"/>
      <c r="H427"/>
      <c r="I427"/>
      <c r="J427"/>
    </row>
    <row r="428" spans="1:10" hidden="1" x14ac:dyDescent="0.3">
      <c r="A428">
        <f>'Planta central'!A428</f>
        <v>0</v>
      </c>
      <c r="C428"/>
      <c r="D428"/>
      <c r="E428"/>
      <c r="F428"/>
      <c r="G428"/>
      <c r="H428"/>
      <c r="I428"/>
      <c r="J428"/>
    </row>
    <row r="429" spans="1:10" hidden="1" x14ac:dyDescent="0.3">
      <c r="A429">
        <f>'Planta central'!A429</f>
        <v>0</v>
      </c>
      <c r="C429"/>
      <c r="D429"/>
      <c r="E429"/>
      <c r="F429"/>
      <c r="G429"/>
      <c r="H429"/>
      <c r="I429"/>
      <c r="J429"/>
    </row>
    <row r="430" spans="1:10" x14ac:dyDescent="0.3">
      <c r="A430" s="654" t="str">
        <f>'Planta central'!A430</f>
        <v>COORDINACIÓN CARRERAS TÉCNICAS Y TECNOLÓGICAS SUPERIORES</v>
      </c>
      <c r="B430" s="654" t="str">
        <f>+UPPER(A430)</f>
        <v>COORDINACIÓN CARRERAS TÉCNICAS Y TECNOLÓGICAS SUPERIORES</v>
      </c>
      <c r="C430" s="656">
        <f>SUBTOTAL(9,'Planta central'!M410:M429)</f>
        <v>281.11020012703784</v>
      </c>
      <c r="D430" s="656">
        <f>SUBTOTAL(9,'Planta central'!N410:N429)</f>
        <v>814.65735996815579</v>
      </c>
      <c r="E430" s="656">
        <f>SUBTOTAL(9,'Planta central'!O410:O429)</f>
        <v>1012.6725093784416</v>
      </c>
      <c r="F430" s="656">
        <f>SUBTOTAL(9,'Planta central'!P410:P429)</f>
        <v>1471.6003136759164</v>
      </c>
      <c r="G430" s="656">
        <f>SUBTOTAL(9,'Planta central'!Q410:Q429)</f>
        <v>1602.6072818080111</v>
      </c>
      <c r="H430" s="656">
        <f>SUBTOTAL(9,'Planta central'!R410:R429)</f>
        <v>2010.3921790784364</v>
      </c>
      <c r="I430" s="656">
        <f>SUBTOTAL(9,'Planta central'!S410:S429)</f>
        <v>2113.058695090358</v>
      </c>
      <c r="J430" s="656">
        <f>SUBTOTAL(9,'Planta central'!T410:T429)</f>
        <v>2502.624318194637</v>
      </c>
    </row>
    <row r="431" spans="1:10" hidden="1" x14ac:dyDescent="0.3">
      <c r="A431">
        <f>'Planta central'!A431</f>
        <v>0</v>
      </c>
      <c r="C431"/>
      <c r="D431"/>
      <c r="E431"/>
      <c r="F431"/>
      <c r="G431"/>
      <c r="H431"/>
      <c r="I431"/>
      <c r="J431"/>
    </row>
    <row r="432" spans="1:10" hidden="1" x14ac:dyDescent="0.3">
      <c r="A432">
        <f>'Planta central'!A432</f>
        <v>0</v>
      </c>
      <c r="C432"/>
      <c r="D432"/>
      <c r="E432"/>
      <c r="F432"/>
      <c r="G432"/>
      <c r="H432"/>
      <c r="I432"/>
      <c r="J432"/>
    </row>
    <row r="433" spans="1:10" x14ac:dyDescent="0.3">
      <c r="A433" s="654" t="str">
        <f>'Planta central'!A433</f>
        <v>DEPARTAMENTO DE RELACIONES INTERNACIONALES E INTERINSTITUCIONALES</v>
      </c>
      <c r="B433" s="654" t="str">
        <f>+UPPER(A433)</f>
        <v>DEPARTAMENTO DE RELACIONES INTERNACIONALES E INTERINSTITUCIONALES</v>
      </c>
      <c r="C433" s="656">
        <f>SUBTOTAL(9,'Planta central'!M430:M432)</f>
        <v>27.463120897734491</v>
      </c>
      <c r="D433" s="656">
        <f>SUBTOTAL(9,'Planta central'!N430:N432)</f>
        <v>79.588124361634556</v>
      </c>
      <c r="E433" s="656">
        <f>SUBTOTAL(9,'Planta central'!O430:O432)</f>
        <v>98.933256574482328</v>
      </c>
      <c r="F433" s="656">
        <f>SUBTOTAL(9,'Planta central'!P430:P432)</f>
        <v>143.76830619935413</v>
      </c>
      <c r="G433" s="656">
        <f>SUBTOTAL(9,'Planta central'!Q430:Q432)</f>
        <v>156.56705986475453</v>
      </c>
      <c r="H433" s="656">
        <f>SUBTOTAL(9,'Planta central'!R430:R432)</f>
        <v>196.40569229056803</v>
      </c>
      <c r="I433" s="656">
        <f>SUBTOTAL(9,'Planta central'!S430:S432)</f>
        <v>206.43571944757053</v>
      </c>
      <c r="J433" s="656">
        <f>SUBTOTAL(9,'Planta central'!T430:T432)</f>
        <v>244.49441600173031</v>
      </c>
    </row>
    <row r="434" spans="1:10" hidden="1" x14ac:dyDescent="0.3">
      <c r="A434">
        <f>'Planta central'!A434</f>
        <v>0</v>
      </c>
      <c r="C434"/>
      <c r="D434"/>
      <c r="E434"/>
      <c r="F434"/>
      <c r="G434"/>
      <c r="H434"/>
      <c r="I434"/>
      <c r="J434"/>
    </row>
    <row r="435" spans="1:10" hidden="1" x14ac:dyDescent="0.3">
      <c r="A435">
        <f>'Planta central'!A435</f>
        <v>0</v>
      </c>
      <c r="C435"/>
      <c r="D435"/>
      <c r="E435"/>
      <c r="F435"/>
      <c r="G435"/>
      <c r="H435"/>
      <c r="I435"/>
      <c r="J435"/>
    </row>
    <row r="436" spans="1:10" x14ac:dyDescent="0.3">
      <c r="A436" s="654" t="str">
        <f>'Planta central'!A436</f>
        <v>FAB LAB CUENCA</v>
      </c>
      <c r="B436" s="654" t="str">
        <f>+UPPER(A436)</f>
        <v>FAB LAB CUENCA</v>
      </c>
      <c r="C436" s="656">
        <f>SUBTOTAL(9,'Planta central'!M436:M439)</f>
        <v>43.792623332627556</v>
      </c>
      <c r="D436" s="656">
        <f>SUBTOTAL(9,'Planta central'!N436:N439)</f>
        <v>126.91102241795468</v>
      </c>
      <c r="E436" s="656">
        <f>SUBTOTAL(9,'Planta central'!O436:O439)</f>
        <v>157.75872146395085</v>
      </c>
      <c r="F436" s="656">
        <f>SUBTOTAL(9,'Planta central'!P436:P439)</f>
        <v>229.25257853988302</v>
      </c>
      <c r="G436" s="656">
        <f>SUBTOTAL(9,'Planta central'!Q436:Q439)</f>
        <v>249.66143886144255</v>
      </c>
      <c r="H436" s="656">
        <f>SUBTOTAL(9,'Planta central'!R436:R439)</f>
        <v>313.18802167070271</v>
      </c>
      <c r="I436" s="656">
        <f>SUBTOTAL(9,'Planta central'!S436:S439)</f>
        <v>329.18187768358109</v>
      </c>
      <c r="J436" s="656">
        <f>SUBTOTAL(9,'Planta central'!T436:T439)</f>
        <v>389.87017924018164</v>
      </c>
    </row>
    <row r="437" spans="1:10" hidden="1" x14ac:dyDescent="0.3">
      <c r="A437">
        <f>'Planta central'!A437</f>
        <v>0</v>
      </c>
      <c r="C437"/>
      <c r="D437"/>
      <c r="E437"/>
      <c r="F437"/>
      <c r="G437"/>
      <c r="H437"/>
      <c r="I437"/>
      <c r="J437"/>
    </row>
    <row r="438" spans="1:10" hidden="1" x14ac:dyDescent="0.3">
      <c r="A438">
        <f>'Planta central'!A438</f>
        <v>0</v>
      </c>
      <c r="C438"/>
      <c r="D438"/>
      <c r="E438"/>
      <c r="F438"/>
      <c r="G438"/>
      <c r="H438"/>
      <c r="I438"/>
      <c r="J438"/>
    </row>
    <row r="439" spans="1:10" hidden="1" x14ac:dyDescent="0.3">
      <c r="A439">
        <f>'Planta central'!A439</f>
        <v>0</v>
      </c>
      <c r="C439"/>
      <c r="D439"/>
      <c r="E439"/>
      <c r="F439"/>
      <c r="G439"/>
      <c r="H439"/>
      <c r="I439"/>
      <c r="J439"/>
    </row>
    <row r="440" spans="1:10" ht="23.25" customHeight="1" x14ac:dyDescent="0.3">
      <c r="A440" s="654" t="str">
        <f>'Planta central'!A440</f>
        <v>TOTALES</v>
      </c>
      <c r="B440" s="659" t="str">
        <f>+UPPER(A440)</f>
        <v>TOTALES</v>
      </c>
      <c r="C440" s="660">
        <f>+'Planta central'!M440</f>
        <v>4905.8121713825994</v>
      </c>
      <c r="D440" s="660">
        <f>+'Planta central'!N440</f>
        <v>14217.043672666778</v>
      </c>
      <c r="E440" s="660">
        <f>+'Planta central'!O440</f>
        <v>17672.717389437345</v>
      </c>
      <c r="F440" s="660">
        <f>+'Planta central'!P440</f>
        <v>25681.724558479968</v>
      </c>
      <c r="G440" s="660">
        <f>+'Planta central'!Q440</f>
        <v>27968.000824897565</v>
      </c>
      <c r="H440" s="660">
        <f>+'Planta central'!R440</f>
        <v>35084.484365627097</v>
      </c>
      <c r="I440" s="660">
        <f>+'Planta central'!S440</f>
        <v>36876.175466188841</v>
      </c>
      <c r="J440" s="660">
        <f>+'Planta central'!T440</f>
        <v>43674.704208701813</v>
      </c>
    </row>
  </sheetData>
  <autoFilter ref="A4:A440" xr:uid="{00000000-0009-0000-0000-00000A000000}">
    <filterColumn colId="0">
      <filters>
        <filter val="Becas"/>
        <filter val="Bienestar Estudiantil"/>
        <filter val="Capacitación Docente"/>
        <filter val="CENTRO DE APOYO - QUITO"/>
        <filter val="CENTRO DE APOYO - TENA"/>
        <filter val="CENTRO DE APOYO - ZAMORA"/>
        <filter val="CENTRO DE DOCUMENTACION Y ARCHIVO"/>
        <filter val="CENTRO DE INVESTIGACIÓN, INNOVACIÓN Y TRANSFERENCIA DE TECNOLOGÍA CIITT"/>
        <filter val="CENTRO DE MEDIACIÓN JOSEFINA ESPINOZA ASTORGA"/>
        <filter val="CLINICA ODONTOLOGICA"/>
        <filter val="Colecturía"/>
        <filter val="COMITE DE ETICA"/>
        <filter val="CONSULTORIO JURIDICO"/>
        <filter val="COORDINACIÓN CARRERAS TÉCNICAS Y TECNOLÓGICAS SUPERIORES"/>
        <filter val="Culltura"/>
        <filter val="Departamento de Pastoral Universitaria"/>
        <filter val="DEPARTAMENTO DE RELACIONES INTERNACIONALES E INTERINSTITUCIONALES"/>
        <filter val="Dirección Académica"/>
        <filter val="Dirección Administrativa"/>
        <filter val="DIRECCIÓN DE COMUNICACIÓN, CULTURA Y MARKETING"/>
        <filter val="Dirección de Obras"/>
        <filter val="Dirección de Planificación"/>
        <filter val="Dirección de Talento Humano"/>
        <filter val="Dirección Financiera"/>
        <filter val="Editorial"/>
        <filter val="Educación Continua"/>
        <filter val="Emprendimiento"/>
        <filter val="Evaluación Interna"/>
        <filter val="FAB LAB CUENCA"/>
        <filter val="Gestión de Calidad"/>
        <filter val="LABORATORIO DE SUELOS"/>
        <filter val="LABORATORIO QUIMICO MICROBIOLOGICO"/>
        <filter val="Nivelación"/>
        <filter val="Planificación Académica"/>
        <filter val="Posgrado, Investigación, Vinculación con la Sociedad y Publicaciones"/>
        <filter val="Procuraduría y Asesoría Jurídica"/>
        <filter val="Rectorado"/>
        <filter val="Secretaría General"/>
        <filter val="Seguimiento a Graduados"/>
        <filter val="Seguridad Ocupacional"/>
        <filter val="SUBDIRECCION DE VINCULACION CON LA SOCIEDAD"/>
        <filter val="TIC"/>
        <filter val="TITULACION Y REGISTRO"/>
        <filter val="TOTALES"/>
        <filter val="UNIDAD COORDINADORA DE ESTUDIOS NO PRESENCIALES"/>
        <filter val="Vicerrectorado Académico"/>
        <filter val="Vicerrectorado Administrativo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8"/>
  <sheetViews>
    <sheetView showGridLines="0" zoomScale="110" zoomScaleNormal="110" workbookViewId="0">
      <selection activeCell="C11" sqref="C11"/>
    </sheetView>
  </sheetViews>
  <sheetFormatPr baseColWidth="10" defaultColWidth="10.6640625" defaultRowHeight="10.199999999999999" x14ac:dyDescent="0.2"/>
  <cols>
    <col min="1" max="1" width="2.88671875" style="42" customWidth="1"/>
    <col min="2" max="3" width="7.88671875" style="42" customWidth="1"/>
    <col min="4" max="16384" width="10.6640625" style="42"/>
  </cols>
  <sheetData>
    <row r="1" spans="1:4" x14ac:dyDescent="0.2">
      <c r="A1" s="485"/>
      <c r="B1" s="486" t="s">
        <v>1</v>
      </c>
      <c r="C1" s="340" t="s">
        <v>159</v>
      </c>
    </row>
    <row r="2" spans="1:4" x14ac:dyDescent="0.2">
      <c r="A2" s="163">
        <v>1</v>
      </c>
      <c r="B2" s="338">
        <v>2011</v>
      </c>
      <c r="C2" s="336">
        <v>5.41</v>
      </c>
      <c r="D2" s="42" t="s">
        <v>407</v>
      </c>
    </row>
    <row r="3" spans="1:4" x14ac:dyDescent="0.2">
      <c r="A3" s="163">
        <v>2</v>
      </c>
      <c r="B3" s="338">
        <v>2012</v>
      </c>
      <c r="C3" s="336">
        <v>4.16</v>
      </c>
    </row>
    <row r="4" spans="1:4" x14ac:dyDescent="0.2">
      <c r="A4" s="163">
        <v>3</v>
      </c>
      <c r="B4" s="338">
        <v>2013</v>
      </c>
      <c r="C4" s="336">
        <v>2.7</v>
      </c>
    </row>
    <row r="5" spans="1:4" x14ac:dyDescent="0.2">
      <c r="A5" s="163">
        <v>4</v>
      </c>
      <c r="B5" s="338">
        <v>2014</v>
      </c>
      <c r="C5" s="336">
        <v>3.67</v>
      </c>
    </row>
    <row r="6" spans="1:4" x14ac:dyDescent="0.2">
      <c r="A6" s="163">
        <v>5</v>
      </c>
      <c r="B6" s="338">
        <v>2015</v>
      </c>
      <c r="C6" s="336">
        <v>3.38</v>
      </c>
    </row>
    <row r="7" spans="1:4" x14ac:dyDescent="0.2">
      <c r="A7" s="163">
        <v>6</v>
      </c>
      <c r="B7" s="338">
        <v>2016</v>
      </c>
      <c r="C7" s="336">
        <v>0.4</v>
      </c>
    </row>
    <row r="8" spans="1:4" x14ac:dyDescent="0.2">
      <c r="A8" s="163">
        <v>7</v>
      </c>
      <c r="B8" s="338">
        <v>2017</v>
      </c>
      <c r="C8" s="337">
        <v>-0.2</v>
      </c>
    </row>
    <row r="9" spans="1:4" x14ac:dyDescent="0.2">
      <c r="A9" s="163">
        <v>8</v>
      </c>
      <c r="B9" s="338">
        <v>2018</v>
      </c>
      <c r="C9" s="337">
        <v>-0.22</v>
      </c>
    </row>
    <row r="10" spans="1:4" x14ac:dyDescent="0.2">
      <c r="A10" s="163">
        <v>9</v>
      </c>
      <c r="B10" s="338">
        <v>2019</v>
      </c>
      <c r="C10" s="337">
        <v>1.27</v>
      </c>
    </row>
    <row r="11" spans="1:4" x14ac:dyDescent="0.2">
      <c r="A11" s="163">
        <v>10</v>
      </c>
      <c r="B11" s="338">
        <v>2020</v>
      </c>
      <c r="C11" s="337">
        <v>1.34</v>
      </c>
    </row>
    <row r="12" spans="1:4" x14ac:dyDescent="0.2">
      <c r="A12" s="163">
        <v>11</v>
      </c>
      <c r="B12" s="338">
        <v>2021</v>
      </c>
      <c r="C12" s="337">
        <v>1.43</v>
      </c>
      <c r="D12" s="339"/>
    </row>
    <row r="13" spans="1:4" x14ac:dyDescent="0.2">
      <c r="A13" s="163">
        <v>12</v>
      </c>
      <c r="B13" s="338">
        <v>2022</v>
      </c>
      <c r="C13" s="337">
        <v>3.31</v>
      </c>
      <c r="D13" s="339" t="s">
        <v>408</v>
      </c>
    </row>
    <row r="14" spans="1:4" x14ac:dyDescent="0.2">
      <c r="A14" s="163">
        <v>13</v>
      </c>
      <c r="B14" s="338">
        <v>2023</v>
      </c>
      <c r="C14" s="337">
        <v>1.35</v>
      </c>
      <c r="D14" s="339"/>
    </row>
    <row r="15" spans="1:4" x14ac:dyDescent="0.2">
      <c r="A15" s="163">
        <v>14</v>
      </c>
      <c r="B15" s="338">
        <v>2024</v>
      </c>
      <c r="C15" s="337">
        <v>0.53</v>
      </c>
      <c r="D15" s="953"/>
    </row>
    <row r="16" spans="1:4" x14ac:dyDescent="0.2">
      <c r="A16" s="163">
        <v>15</v>
      </c>
      <c r="B16" s="338">
        <v>2025</v>
      </c>
      <c r="C16" s="337">
        <v>1.91</v>
      </c>
      <c r="D16" s="339"/>
    </row>
    <row r="17" spans="1:4" x14ac:dyDescent="0.2">
      <c r="A17" s="163">
        <v>16</v>
      </c>
      <c r="B17" s="338">
        <v>2026</v>
      </c>
      <c r="C17" s="932">
        <v>1.55</v>
      </c>
      <c r="D17" s="339"/>
    </row>
    <row r="18" spans="1:4" x14ac:dyDescent="0.2">
      <c r="A18" s="163">
        <v>17</v>
      </c>
      <c r="B18" s="338">
        <v>2027</v>
      </c>
      <c r="C18" s="932">
        <v>1</v>
      </c>
      <c r="D18" s="339"/>
    </row>
    <row r="19" spans="1:4" ht="10.8" thickBot="1" x14ac:dyDescent="0.25">
      <c r="A19" s="487">
        <v>18</v>
      </c>
      <c r="B19" s="338">
        <v>2028</v>
      </c>
      <c r="C19" s="932">
        <v>1</v>
      </c>
      <c r="D19" s="42" t="s">
        <v>497</v>
      </c>
    </row>
    <row r="45" spans="1:2" x14ac:dyDescent="0.2">
      <c r="A45" s="339"/>
    </row>
    <row r="46" spans="1:2" x14ac:dyDescent="0.2">
      <c r="A46" s="339"/>
    </row>
    <row r="47" spans="1:2" x14ac:dyDescent="0.2">
      <c r="A47" s="339"/>
    </row>
    <row r="48" spans="1:2" x14ac:dyDescent="0.2">
      <c r="B48" s="42" t="s">
        <v>409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9"/>
  <sheetViews>
    <sheetView showGridLines="0" zoomScaleNormal="100" workbookViewId="0">
      <selection activeCell="G10" sqref="G10"/>
    </sheetView>
  </sheetViews>
  <sheetFormatPr baseColWidth="10" defaultColWidth="11.44140625" defaultRowHeight="10.199999999999999" x14ac:dyDescent="0.3"/>
  <cols>
    <col min="1" max="1" width="23.33203125" style="48" customWidth="1"/>
    <col min="2" max="2" width="13.33203125" style="48" customWidth="1"/>
    <col min="3" max="3" width="13.5546875" style="48" customWidth="1"/>
    <col min="4" max="4" width="13.44140625" style="48" customWidth="1"/>
    <col min="5" max="12" width="11.44140625" style="48" customWidth="1"/>
    <col min="13" max="16384" width="11.44140625" style="48"/>
  </cols>
  <sheetData>
    <row r="1" spans="1:14" ht="24" customHeight="1" thickBot="1" x14ac:dyDescent="0.35">
      <c r="A1" s="216" t="s">
        <v>87</v>
      </c>
      <c r="B1" s="572" t="s">
        <v>121</v>
      </c>
      <c r="C1" s="265" t="s">
        <v>89</v>
      </c>
      <c r="D1" s="194" t="s">
        <v>1</v>
      </c>
      <c r="E1" s="570">
        <f>+'1 Estudiantes'!B3</f>
        <v>2023</v>
      </c>
      <c r="F1" s="570">
        <f>+'1 Estudiantes'!C3</f>
        <v>2023</v>
      </c>
      <c r="G1" s="269">
        <f>+'1 Estudiantes'!D3</f>
        <v>2024</v>
      </c>
      <c r="H1" s="269">
        <f>+'1 Estudiantes'!E3</f>
        <v>2024</v>
      </c>
      <c r="I1" s="269">
        <f>+'1 Estudiantes'!F3</f>
        <v>2025</v>
      </c>
      <c r="J1" s="269">
        <f>+'1 Estudiantes'!G3</f>
        <v>2025</v>
      </c>
      <c r="K1" s="269">
        <f>+'1 Estudiantes'!H3</f>
        <v>2026</v>
      </c>
      <c r="L1" s="269">
        <f>+'1 Estudiantes'!I3</f>
        <v>2026</v>
      </c>
    </row>
    <row r="2" spans="1:14" ht="13.5" customHeight="1" x14ac:dyDescent="0.3">
      <c r="A2" s="260" t="s">
        <v>274</v>
      </c>
      <c r="B2" s="576"/>
      <c r="C2" s="266" t="s">
        <v>275</v>
      </c>
      <c r="D2" s="834" t="s">
        <v>214</v>
      </c>
      <c r="E2" s="55">
        <f>+'1 Estudiantes'!B12</f>
        <v>30</v>
      </c>
      <c r="F2" s="55">
        <f>+'1 Estudiantes'!C12</f>
        <v>86.94</v>
      </c>
      <c r="G2" s="55">
        <f>+'1 Estudiantes'!D12</f>
        <v>108.07212</v>
      </c>
      <c r="H2" s="55">
        <f>+'1 Estudiantes'!E12</f>
        <v>157.04876376000001</v>
      </c>
      <c r="I2" s="55">
        <f>+'1 Estudiantes'!F12</f>
        <v>171.02978985648002</v>
      </c>
      <c r="J2" s="55">
        <f>+'1 Estudiantes'!G12</f>
        <v>214.54847723454117</v>
      </c>
      <c r="K2" s="55">
        <f>+'1 Estudiantes'!H12</f>
        <v>225.5050184022603</v>
      </c>
      <c r="L2" s="55">
        <f>+'1 Estudiantes'!I12</f>
        <v>267.07935006239512</v>
      </c>
    </row>
    <row r="3" spans="1:14" ht="21" customHeight="1" x14ac:dyDescent="0.3">
      <c r="A3" s="261" t="s">
        <v>276</v>
      </c>
      <c r="B3" s="262"/>
      <c r="C3" s="267" t="s">
        <v>277</v>
      </c>
      <c r="D3" s="720" t="s">
        <v>278</v>
      </c>
      <c r="E3" s="721">
        <f>+(($B$12/'Planta central'!$B$2)/2)*'8 Mantenimiento'!E2</f>
        <v>1120.050815159856</v>
      </c>
      <c r="F3" s="721">
        <f>+((($B$12/'Planta central'!$B$2)/2)*'8 Mantenimiento'!F2)*'5 Demanda'!C79</f>
        <v>3292.3237361846282</v>
      </c>
      <c r="G3" s="721">
        <f>+((($B$12/'Planta central'!$B$2)/2)*'8 Mantenimiento'!G2)*'5 Demanda'!D79</f>
        <v>4092.5742569104382</v>
      </c>
      <c r="H3" s="721">
        <f>+((($B$12/'Planta central'!$B$2)/2)*'8 Mantenimiento'!H2)*'5 Demanda'!E79</f>
        <v>6057.4990597502447</v>
      </c>
      <c r="I3" s="721">
        <f>+((($B$12/'Planta central'!$B$2)/2)*'8 Mantenimiento'!I2)*'5 Demanda'!F79</f>
        <v>6596.7586527973672</v>
      </c>
      <c r="J3" s="721">
        <f>+((($B$12/'Planta central'!$B$2)/2)*'8 Mantenimiento'!J2)*'5 Demanda'!G79</f>
        <v>8118.3105658298227</v>
      </c>
      <c r="K3" s="721">
        <f>+((($B$12/'Planta central'!$B$2)/2)*'8 Mantenimiento'!K2)*'5 Demanda'!H79</f>
        <v>8532.895675327507</v>
      </c>
      <c r="L3" s="721">
        <f>+((($B$12/'Planta central'!$B$2)/2)*'8 Mantenimiento'!L2)*'5 Demanda'!I79</f>
        <v>10106.02889134573</v>
      </c>
    </row>
    <row r="4" spans="1:14" ht="22.5" customHeight="1" thickBot="1" x14ac:dyDescent="0.35">
      <c r="A4" s="263" t="s">
        <v>279</v>
      </c>
      <c r="B4" s="264">
        <f>+((B12/12)/'Planta central'!B2)</f>
        <v>6.2225045286658673</v>
      </c>
      <c r="C4" s="268" t="s">
        <v>275</v>
      </c>
      <c r="D4" s="722" t="s">
        <v>280</v>
      </c>
      <c r="E4" s="723">
        <f>+(($B$20/'Planta central'!$B$2)/2)*'8 Mantenimiento'!E2</f>
        <v>3132.9663349565953</v>
      </c>
      <c r="F4" s="723">
        <f>+((($B$20/'Planta central'!$B$2)/2)*'8 Mantenimiento'!F2)*'5 Demanda'!C79</f>
        <v>9209.1709497776828</v>
      </c>
      <c r="G4" s="723">
        <f>+((($B$20/'Planta central'!$B$2)/2)*'8 Mantenimiento'!G2)*'5 Demanda'!D79</f>
        <v>11447.603266446835</v>
      </c>
      <c r="H4" s="723">
        <f>+((($B$20/'Planta central'!$B$2)/2)*'8 Mantenimiento'!H2)*'5 Demanda'!E79</f>
        <v>16943.821093974362</v>
      </c>
      <c r="I4" s="723">
        <f>+((($B$20/'Planta central'!$B$2)/2)*'8 Mantenimiento'!I2)*'5 Demanda'!F79</f>
        <v>18452.218863032635</v>
      </c>
      <c r="J4" s="723">
        <f>+((($B$20/'Planta central'!$B$2)/2)*'8 Mantenimiento'!J2)*'5 Demanda'!G79</f>
        <v>22708.249800110374</v>
      </c>
      <c r="K4" s="723">
        <f>+((($B$20/'Planta central'!$B$2)/2)*'8 Mantenimiento'!K2)*'5 Demanda'!H79</f>
        <v>23867.91253455976</v>
      </c>
      <c r="L4" s="723">
        <f>+((($B$20/'Planta central'!$B$2)/2)*'8 Mantenimiento'!L2)*'5 Demanda'!I79</f>
        <v>28268.22485921413</v>
      </c>
      <c r="N4" s="614"/>
    </row>
    <row r="6" spans="1:14" ht="10.8" thickBot="1" x14ac:dyDescent="0.35"/>
    <row r="7" spans="1:14" ht="20.25" customHeight="1" x14ac:dyDescent="0.3">
      <c r="A7" s="861" t="s">
        <v>281</v>
      </c>
      <c r="B7" s="573" t="s">
        <v>282</v>
      </c>
    </row>
    <row r="8" spans="1:14" x14ac:dyDescent="0.3">
      <c r="A8" s="121" t="s">
        <v>283</v>
      </c>
      <c r="B8" s="113">
        <v>120000</v>
      </c>
      <c r="C8" s="278"/>
    </row>
    <row r="9" spans="1:14" x14ac:dyDescent="0.3">
      <c r="A9" s="121" t="s">
        <v>284</v>
      </c>
      <c r="B9" s="113">
        <v>624000</v>
      </c>
      <c r="C9" s="278"/>
    </row>
    <row r="10" spans="1:14" x14ac:dyDescent="0.3">
      <c r="A10" s="121" t="s">
        <v>285</v>
      </c>
      <c r="B10" s="113">
        <v>296000</v>
      </c>
      <c r="C10" s="278"/>
    </row>
    <row r="11" spans="1:14" x14ac:dyDescent="0.3">
      <c r="A11" s="121" t="s">
        <v>286</v>
      </c>
      <c r="B11" s="113">
        <v>18000</v>
      </c>
      <c r="C11" s="278"/>
      <c r="E11" s="50"/>
    </row>
    <row r="12" spans="1:14" ht="27" customHeight="1" thickBot="1" x14ac:dyDescent="0.35">
      <c r="A12" s="115" t="s">
        <v>115</v>
      </c>
      <c r="B12" s="574">
        <f>SUM(B8:B11)</f>
        <v>1058000</v>
      </c>
      <c r="E12" s="195"/>
      <c r="F12" s="195"/>
    </row>
    <row r="13" spans="1:14" ht="10.8" thickBot="1" x14ac:dyDescent="0.35">
      <c r="E13" s="195"/>
      <c r="F13" s="195"/>
    </row>
    <row r="14" spans="1:14" ht="24.75" customHeight="1" x14ac:dyDescent="0.3">
      <c r="A14" s="861" t="s">
        <v>287</v>
      </c>
      <c r="B14" s="573" t="s">
        <v>282</v>
      </c>
    </row>
    <row r="15" spans="1:14" x14ac:dyDescent="0.3">
      <c r="A15" s="121" t="s">
        <v>288</v>
      </c>
      <c r="B15" s="851">
        <v>399400</v>
      </c>
      <c r="C15" s="732"/>
    </row>
    <row r="16" spans="1:14" ht="14.25" customHeight="1" x14ac:dyDescent="0.3">
      <c r="A16" s="121" t="s">
        <v>289</v>
      </c>
      <c r="B16" s="851">
        <v>120000</v>
      </c>
      <c r="C16" s="732"/>
    </row>
    <row r="17" spans="1:3" x14ac:dyDescent="0.3">
      <c r="A17" s="121"/>
      <c r="B17" s="851"/>
      <c r="C17" s="732"/>
    </row>
    <row r="18" spans="1:3" x14ac:dyDescent="0.3">
      <c r="A18" s="121" t="s">
        <v>290</v>
      </c>
      <c r="B18" s="851">
        <v>265000</v>
      </c>
      <c r="C18" s="732"/>
    </row>
    <row r="19" spans="1:3" x14ac:dyDescent="0.3">
      <c r="A19" s="121" t="s">
        <v>291</v>
      </c>
      <c r="B19" s="113">
        <v>2175000</v>
      </c>
      <c r="C19" s="278"/>
    </row>
    <row r="20" spans="1:3" ht="28.5" customHeight="1" thickBot="1" x14ac:dyDescent="0.35">
      <c r="A20" s="115" t="s">
        <v>115</v>
      </c>
      <c r="B20" s="575">
        <f>SUM(B15:B19)</f>
        <v>2959400</v>
      </c>
    </row>
    <row r="49" spans="4:4" x14ac:dyDescent="0.3">
      <c r="D49" s="48" t="e">
        <f>+('8 Mantenimiento'!#REF!)</f>
        <v>#REF!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7"/>
  <sheetViews>
    <sheetView showGridLines="0" zoomScale="124" zoomScaleNormal="124" workbookViewId="0">
      <selection activeCell="A4" sqref="A4"/>
    </sheetView>
  </sheetViews>
  <sheetFormatPr baseColWidth="10" defaultColWidth="10.6640625" defaultRowHeight="10.199999999999999" x14ac:dyDescent="0.2"/>
  <cols>
    <col min="1" max="1" width="19.5546875" style="42" customWidth="1"/>
    <col min="2" max="2" width="12" style="42" customWidth="1"/>
    <col min="3" max="3" width="12.44140625" style="42" customWidth="1"/>
    <col min="4" max="9" width="10.6640625" style="42" customWidth="1"/>
    <col min="10" max="16384" width="10.6640625" style="42"/>
  </cols>
  <sheetData>
    <row r="1" spans="1:9" ht="30.75" customHeight="1" thickBot="1" x14ac:dyDescent="0.25">
      <c r="A1" s="1015" t="s">
        <v>308</v>
      </c>
      <c r="B1" s="1016"/>
      <c r="C1" s="1016"/>
      <c r="D1" s="1016"/>
      <c r="E1" s="1016"/>
      <c r="F1" s="1016"/>
      <c r="G1" s="1016"/>
      <c r="H1" s="1016"/>
      <c r="I1" s="1017"/>
    </row>
    <row r="2" spans="1:9" ht="17.25" customHeight="1" thickBot="1" x14ac:dyDescent="0.25">
      <c r="A2" s="938" t="str">
        <f>+'1 Estudiantes'!A3</f>
        <v>AÑO</v>
      </c>
      <c r="B2" s="939">
        <f>+'1 Estudiantes'!B3</f>
        <v>2023</v>
      </c>
      <c r="C2" s="939">
        <f>+'1 Estudiantes'!C3</f>
        <v>2023</v>
      </c>
      <c r="D2" s="939">
        <f>+'1 Estudiantes'!D3</f>
        <v>2024</v>
      </c>
      <c r="E2" s="939">
        <f>+'1 Estudiantes'!E3</f>
        <v>2024</v>
      </c>
      <c r="F2" s="939">
        <f>+'1 Estudiantes'!F3</f>
        <v>2025</v>
      </c>
      <c r="G2" s="939">
        <f>+'1 Estudiantes'!G3</f>
        <v>2025</v>
      </c>
      <c r="H2" s="939">
        <f>+'1 Estudiantes'!H3</f>
        <v>2026</v>
      </c>
      <c r="I2" s="940">
        <f>+'1 Estudiantes'!I3</f>
        <v>2026</v>
      </c>
    </row>
    <row r="3" spans="1:9" ht="11.25" customHeight="1" x14ac:dyDescent="0.2">
      <c r="A3" s="135" t="str">
        <f>+'1 Estudiantes'!A12</f>
        <v>Total Nº de Estudiantes</v>
      </c>
      <c r="B3" s="221">
        <f>+'5 Demanda'!B11</f>
        <v>30</v>
      </c>
      <c r="C3" s="221">
        <f>+'5 Demanda'!C11</f>
        <v>86.94</v>
      </c>
      <c r="D3" s="221">
        <f>+'5 Demanda'!D11</f>
        <v>108.07212</v>
      </c>
      <c r="E3" s="221">
        <f>+'5 Demanda'!E11</f>
        <v>157.04876376000001</v>
      </c>
      <c r="F3" s="221">
        <f>+'5 Demanda'!F11</f>
        <v>171.02978985648002</v>
      </c>
      <c r="G3" s="221">
        <f>+'5 Demanda'!G11</f>
        <v>214.54847723454117</v>
      </c>
      <c r="H3" s="221">
        <f>+'5 Demanda'!H11</f>
        <v>225.5050184022603</v>
      </c>
      <c r="I3" s="226">
        <f>+'5 Demanda'!I11</f>
        <v>267.07935006239512</v>
      </c>
    </row>
    <row r="4" spans="1:9" ht="11.25" customHeight="1" x14ac:dyDescent="0.2">
      <c r="A4" s="121" t="s">
        <v>309</v>
      </c>
      <c r="B4" s="222">
        <f>+'5 Demanda'!B34</f>
        <v>6169.3870260000003</v>
      </c>
      <c r="C4" s="222">
        <f>+'5 Demanda'!C34</f>
        <v>17878.883601348003</v>
      </c>
      <c r="D4" s="222">
        <f>+'5 Demanda'!D34</f>
        <v>22224.624500010508</v>
      </c>
      <c r="E4" s="222">
        <f>+'5 Demanda'!E34</f>
        <v>32296.486853009439</v>
      </c>
      <c r="F4" s="222">
        <f>+'5 Demanda'!F34</f>
        <v>35171.632220002481</v>
      </c>
      <c r="G4" s="222">
        <f>+'5 Demanda'!G34</f>
        <v>44121.086396627834</v>
      </c>
      <c r="H4" s="222">
        <f>+'5 Demanda'!H34</f>
        <v>46374.257827626541</v>
      </c>
      <c r="I4" s="223">
        <f>+'5 Demanda'!I34</f>
        <v>54923.862572915103</v>
      </c>
    </row>
    <row r="5" spans="1:9" ht="11.25" customHeight="1" x14ac:dyDescent="0.2">
      <c r="A5" s="121" t="s">
        <v>310</v>
      </c>
      <c r="B5" s="672">
        <v>1</v>
      </c>
      <c r="C5" s="672">
        <v>1.03</v>
      </c>
      <c r="D5" s="672">
        <v>1</v>
      </c>
      <c r="E5" s="672">
        <v>1.03</v>
      </c>
      <c r="F5" s="672">
        <v>1</v>
      </c>
      <c r="G5" s="672">
        <v>1.03</v>
      </c>
      <c r="H5" s="672">
        <v>1</v>
      </c>
      <c r="I5" s="819">
        <v>1.03</v>
      </c>
    </row>
    <row r="6" spans="1:9" ht="11.25" customHeight="1" x14ac:dyDescent="0.2">
      <c r="A6" s="121" t="s">
        <v>311</v>
      </c>
      <c r="B6" s="222">
        <f>(62451974.57)*(B5/2)</f>
        <v>31225987.285</v>
      </c>
      <c r="C6" s="222">
        <f>+(B6+B17)*C5/2</f>
        <v>33312098.519175</v>
      </c>
      <c r="D6" s="222">
        <f>+C6</f>
        <v>33312098.519175</v>
      </c>
      <c r="E6" s="222">
        <f>+((B6+C6)*E5)/2</f>
        <v>33237114.189150129</v>
      </c>
      <c r="F6" s="222">
        <f>+E6</f>
        <v>33237114.189150129</v>
      </c>
      <c r="G6" s="222">
        <f>+((D6+E6)*G5)/2</f>
        <v>34272844.544787444</v>
      </c>
      <c r="H6" s="222">
        <f>+G6</f>
        <v>34272844.544787444</v>
      </c>
      <c r="I6" s="223">
        <f>+((F6+G6)*I5)/2</f>
        <v>34767628.747977853</v>
      </c>
    </row>
    <row r="7" spans="1:9" ht="11.25" customHeight="1" x14ac:dyDescent="0.2">
      <c r="A7" s="121" t="s">
        <v>312</v>
      </c>
      <c r="B7" s="137">
        <f>+'Planta central'!$B$2</f>
        <v>14169</v>
      </c>
      <c r="C7" s="137">
        <f>+'Planta central'!$B$2</f>
        <v>14169</v>
      </c>
      <c r="D7" s="137">
        <f>+'Planta central'!$B$2</f>
        <v>14169</v>
      </c>
      <c r="E7" s="137">
        <f>+'Planta central'!$B$2</f>
        <v>14169</v>
      </c>
      <c r="F7" s="137">
        <f>+'Planta central'!$B$2</f>
        <v>14169</v>
      </c>
      <c r="G7" s="137">
        <f>+'Planta central'!$B$2</f>
        <v>14169</v>
      </c>
      <c r="H7" s="137">
        <f>+'Planta central'!$B$2</f>
        <v>14169</v>
      </c>
      <c r="I7" s="138">
        <f>+'Planta central'!$B$2</f>
        <v>14169</v>
      </c>
    </row>
    <row r="8" spans="1:9" ht="14.25" customHeight="1" x14ac:dyDescent="0.2">
      <c r="A8" s="54" t="s">
        <v>313</v>
      </c>
      <c r="B8" s="538">
        <f>+(B6*5%)/B7*B3</f>
        <v>3305.7365323946647</v>
      </c>
      <c r="C8" s="538">
        <f t="shared" ref="C8:I8" si="0">+(C6*5%)/C7*C3</f>
        <v>10220.036153776113</v>
      </c>
      <c r="D8" s="538">
        <f t="shared" si="0"/>
        <v>12704.174989823217</v>
      </c>
      <c r="E8" s="538">
        <f t="shared" si="0"/>
        <v>18419.957986999729</v>
      </c>
      <c r="F8" s="538">
        <f t="shared" si="0"/>
        <v>20059.766586231126</v>
      </c>
      <c r="G8" s="538">
        <f t="shared" si="0"/>
        <v>25948.149508011495</v>
      </c>
      <c r="H8" s="538">
        <f t="shared" si="0"/>
        <v>27273.267131661018</v>
      </c>
      <c r="I8" s="671">
        <f t="shared" si="0"/>
        <v>32767.717161481298</v>
      </c>
    </row>
    <row r="9" spans="1:9" ht="14.25" customHeight="1" x14ac:dyDescent="0.2">
      <c r="A9" s="54" t="s">
        <v>314</v>
      </c>
      <c r="B9" s="538">
        <f t="shared" ref="B9:I9" si="1">+(B6*1%)/B7*B3</f>
        <v>661.14730647893282</v>
      </c>
      <c r="C9" s="538">
        <f t="shared" si="1"/>
        <v>2044.0072307552223</v>
      </c>
      <c r="D9" s="538">
        <f t="shared" si="1"/>
        <v>2540.8349979646432</v>
      </c>
      <c r="E9" s="538">
        <f t="shared" si="1"/>
        <v>3683.9915973999464</v>
      </c>
      <c r="F9" s="538">
        <f t="shared" si="1"/>
        <v>4011.9533172462261</v>
      </c>
      <c r="G9" s="538">
        <f t="shared" si="1"/>
        <v>5189.6299016022995</v>
      </c>
      <c r="H9" s="538">
        <f t="shared" si="1"/>
        <v>5454.6534263322037</v>
      </c>
      <c r="I9" s="671">
        <f t="shared" si="1"/>
        <v>6553.5434322962592</v>
      </c>
    </row>
    <row r="10" spans="1:9" ht="11.25" customHeight="1" x14ac:dyDescent="0.2">
      <c r="A10" s="121" t="s">
        <v>310</v>
      </c>
      <c r="B10" s="672">
        <v>1</v>
      </c>
      <c r="C10" s="672">
        <v>1</v>
      </c>
      <c r="D10" s="672">
        <v>1.03</v>
      </c>
      <c r="E10" s="672">
        <v>1</v>
      </c>
      <c r="F10" s="672">
        <v>1.03</v>
      </c>
      <c r="G10" s="672">
        <v>1</v>
      </c>
      <c r="H10" s="672">
        <v>1.03</v>
      </c>
      <c r="I10" s="819">
        <v>1</v>
      </c>
    </row>
    <row r="11" spans="1:9" ht="11.25" customHeight="1" x14ac:dyDescent="0.2">
      <c r="A11" s="121" t="s">
        <v>315</v>
      </c>
      <c r="B11" s="222"/>
      <c r="C11" s="222">
        <f>+B11</f>
        <v>0</v>
      </c>
      <c r="D11" s="222">
        <f>+((C11+B11)*D10)/2</f>
        <v>0</v>
      </c>
      <c r="E11" s="222">
        <f>+D11</f>
        <v>0</v>
      </c>
      <c r="F11" s="222">
        <f>+((E11+D11)*F10)/2</f>
        <v>0</v>
      </c>
      <c r="G11" s="222">
        <f>+F11</f>
        <v>0</v>
      </c>
      <c r="H11" s="222">
        <f>+((G11+F11)*H10)/2</f>
        <v>0</v>
      </c>
      <c r="I11" s="223">
        <f>+H11</f>
        <v>0</v>
      </c>
    </row>
    <row r="12" spans="1:9" ht="11.25" customHeight="1" x14ac:dyDescent="0.2">
      <c r="A12" s="121" t="s">
        <v>316</v>
      </c>
      <c r="B12" s="137">
        <f>+'Planta central'!$F$2</f>
        <v>891</v>
      </c>
      <c r="C12" s="137">
        <f>+'Planta central'!$F$2</f>
        <v>891</v>
      </c>
      <c r="D12" s="137">
        <f>+'Planta central'!$F$2</f>
        <v>891</v>
      </c>
      <c r="E12" s="137">
        <f>+'Planta central'!$F$2</f>
        <v>891</v>
      </c>
      <c r="F12" s="137">
        <f>+'Planta central'!$F$2</f>
        <v>891</v>
      </c>
      <c r="G12" s="137">
        <f>+'Planta central'!$F$2</f>
        <v>891</v>
      </c>
      <c r="H12" s="137">
        <f>+'Planta central'!$F$2</f>
        <v>891</v>
      </c>
      <c r="I12" s="138">
        <f>+'Planta central'!$F$2</f>
        <v>891</v>
      </c>
    </row>
    <row r="13" spans="1:9" ht="11.25" customHeight="1" x14ac:dyDescent="0.2">
      <c r="A13" s="121" t="s">
        <v>317</v>
      </c>
      <c r="B13" s="222">
        <f t="shared" ref="B13:I13" si="2">+(B11*90%)/B7*B3</f>
        <v>0</v>
      </c>
      <c r="C13" s="222">
        <f t="shared" si="2"/>
        <v>0</v>
      </c>
      <c r="D13" s="222">
        <f t="shared" si="2"/>
        <v>0</v>
      </c>
      <c r="E13" s="222">
        <f t="shared" si="2"/>
        <v>0</v>
      </c>
      <c r="F13" s="222">
        <f t="shared" si="2"/>
        <v>0</v>
      </c>
      <c r="G13" s="222">
        <f t="shared" si="2"/>
        <v>0</v>
      </c>
      <c r="H13" s="222">
        <f t="shared" si="2"/>
        <v>0</v>
      </c>
      <c r="I13" s="223">
        <f t="shared" si="2"/>
        <v>0</v>
      </c>
    </row>
    <row r="14" spans="1:9" ht="11.25" customHeight="1" thickBot="1" x14ac:dyDescent="0.25">
      <c r="A14" s="136" t="s">
        <v>318</v>
      </c>
      <c r="B14" s="224">
        <f>+(B11*10%)/B12*'5 Demanda'!B20</f>
        <v>0</v>
      </c>
      <c r="C14" s="224">
        <f>+(C11*10%)/C12*'5 Demanda'!C20</f>
        <v>0</v>
      </c>
      <c r="D14" s="224">
        <f>+(D11*10%)/D12*'5 Demanda'!D20</f>
        <v>0</v>
      </c>
      <c r="E14" s="224">
        <f>+(E11*10%)/E12*'5 Demanda'!E20</f>
        <v>0</v>
      </c>
      <c r="F14" s="224">
        <f>+(F11*10%)/F12*'5 Demanda'!F20</f>
        <v>0</v>
      </c>
      <c r="G14" s="224">
        <f>+(G11*10%)/G12*'5 Demanda'!G20</f>
        <v>0</v>
      </c>
      <c r="H14" s="224">
        <f>+(H11*10%)/H12*'5 Demanda'!H20</f>
        <v>0</v>
      </c>
      <c r="I14" s="225">
        <f>+(I11*10%)/I12*'5 Demanda'!I20</f>
        <v>0</v>
      </c>
    </row>
    <row r="17" spans="1:2" x14ac:dyDescent="0.2">
      <c r="A17" s="42">
        <v>2022</v>
      </c>
      <c r="B17" s="653">
        <f>66915398.32/2</f>
        <v>33457699.16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442"/>
  <sheetViews>
    <sheetView showGridLines="0" zoomScaleNormal="100" workbookViewId="0">
      <selection activeCell="C440" sqref="C440"/>
    </sheetView>
  </sheetViews>
  <sheetFormatPr baseColWidth="10" defaultColWidth="11.44140625" defaultRowHeight="10.199999999999999" x14ac:dyDescent="0.3"/>
  <cols>
    <col min="1" max="1" width="33.6640625" style="58" customWidth="1"/>
    <col min="2" max="2" width="12.33203125" style="117" customWidth="1"/>
    <col min="3" max="3" width="13.44140625" style="48" customWidth="1"/>
    <col min="4" max="4" width="14.33203125" style="48" bestFit="1" customWidth="1"/>
    <col min="5" max="5" width="12.33203125" style="48" bestFit="1" customWidth="1"/>
    <col min="6" max="6" width="12.44140625" style="48" bestFit="1" customWidth="1"/>
    <col min="7" max="8" width="12.33203125" style="48" bestFit="1" customWidth="1"/>
    <col min="9" max="11" width="13.33203125" style="48" bestFit="1" customWidth="1"/>
    <col min="12" max="12" width="15.109375" style="48" customWidth="1"/>
    <col min="13" max="14" width="12.33203125" style="48" bestFit="1" customWidth="1"/>
    <col min="15" max="15" width="13.6640625" style="48" customWidth="1"/>
    <col min="16" max="18" width="13.5546875" style="48" customWidth="1"/>
    <col min="19" max="20" width="13.33203125" style="48" customWidth="1"/>
    <col min="21" max="22" width="13.33203125" style="48" hidden="1" customWidth="1"/>
    <col min="23" max="16384" width="11.44140625" style="48"/>
  </cols>
  <sheetData>
    <row r="1" spans="1:22" ht="10.8" thickBot="1" x14ac:dyDescent="0.35">
      <c r="A1" s="242" t="s">
        <v>210</v>
      </c>
      <c r="B1" s="243"/>
      <c r="C1" s="244"/>
      <c r="D1" s="244"/>
      <c r="E1" s="244"/>
      <c r="F1" s="244"/>
      <c r="G1" s="244"/>
      <c r="H1" s="244"/>
      <c r="I1" s="244"/>
      <c r="J1" s="244"/>
      <c r="K1" s="244"/>
      <c r="L1" s="58"/>
      <c r="M1" s="1030"/>
      <c r="N1" s="1030"/>
      <c r="O1" s="1030"/>
      <c r="P1" s="1030"/>
      <c r="Q1" s="1030"/>
      <c r="R1" s="1030"/>
      <c r="S1" s="1030"/>
      <c r="T1" s="1030"/>
      <c r="U1" s="1030"/>
      <c r="V1" s="47"/>
    </row>
    <row r="2" spans="1:22" s="165" customFormat="1" ht="37.5" customHeight="1" x14ac:dyDescent="0.3">
      <c r="A2" s="341" t="s">
        <v>211</v>
      </c>
      <c r="B2" s="536">
        <v>14169</v>
      </c>
      <c r="C2" s="342"/>
      <c r="D2" s="988" t="s">
        <v>212</v>
      </c>
      <c r="E2" s="974"/>
      <c r="F2" s="537">
        <v>891</v>
      </c>
      <c r="G2" s="988" t="s">
        <v>213</v>
      </c>
      <c r="H2" s="968"/>
      <c r="I2" s="968"/>
      <c r="J2" s="968"/>
      <c r="K2" s="1032"/>
      <c r="L2" s="558" t="s">
        <v>214</v>
      </c>
      <c r="M2" s="561">
        <f>+'1 Estudiantes'!B12</f>
        <v>30</v>
      </c>
      <c r="N2" s="562">
        <f>+'1 Estudiantes'!C12</f>
        <v>86.94</v>
      </c>
      <c r="O2" s="562">
        <f>+'1 Estudiantes'!D12</f>
        <v>108.07212</v>
      </c>
      <c r="P2" s="562">
        <f>+'1 Estudiantes'!E12</f>
        <v>157.04876376000001</v>
      </c>
      <c r="Q2" s="562">
        <f>+'1 Estudiantes'!F12</f>
        <v>171.02978985648002</v>
      </c>
      <c r="R2" s="562">
        <f>+'1 Estudiantes'!G12</f>
        <v>214.54847723454117</v>
      </c>
      <c r="S2" s="562">
        <f>+'1 Estudiantes'!H12</f>
        <v>225.5050184022603</v>
      </c>
      <c r="T2" s="562">
        <f>+'1 Estudiantes'!I12</f>
        <v>267.07935006239512</v>
      </c>
      <c r="U2" s="562" t="e">
        <f>+'1 Estudiantes'!#REF!</f>
        <v>#REF!</v>
      </c>
      <c r="V2" s="563">
        <f>+'1 Estudiantes'!K12</f>
        <v>0</v>
      </c>
    </row>
    <row r="3" spans="1:22" ht="51.75" customHeight="1" thickBot="1" x14ac:dyDescent="0.35">
      <c r="A3" s="343" t="s">
        <v>215</v>
      </c>
      <c r="B3" s="540" t="s">
        <v>216</v>
      </c>
      <c r="C3" s="540" t="s">
        <v>217</v>
      </c>
      <c r="D3" s="235" t="s">
        <v>218</v>
      </c>
      <c r="E3" s="235" t="s">
        <v>219</v>
      </c>
      <c r="F3" s="235" t="s">
        <v>220</v>
      </c>
      <c r="G3" s="235" t="s">
        <v>221</v>
      </c>
      <c r="H3" s="235" t="s">
        <v>222</v>
      </c>
      <c r="I3" s="235" t="s">
        <v>223</v>
      </c>
      <c r="J3" s="235" t="s">
        <v>224</v>
      </c>
      <c r="K3" s="352" t="s">
        <v>225</v>
      </c>
      <c r="L3" s="559" t="s">
        <v>226</v>
      </c>
      <c r="M3" s="866">
        <f>+'1 Estudiantes'!B3</f>
        <v>2023</v>
      </c>
      <c r="N3" s="867">
        <f>+'1 Estudiantes'!C3</f>
        <v>2023</v>
      </c>
      <c r="O3" s="867">
        <f>+'1 Estudiantes'!D3</f>
        <v>2024</v>
      </c>
      <c r="P3" s="867">
        <f>+'1 Estudiantes'!E3</f>
        <v>2024</v>
      </c>
      <c r="Q3" s="867">
        <f>+'1 Estudiantes'!F3</f>
        <v>2025</v>
      </c>
      <c r="R3" s="867">
        <f>+'1 Estudiantes'!G3</f>
        <v>2025</v>
      </c>
      <c r="S3" s="867">
        <f>+'1 Estudiantes'!H3</f>
        <v>2026</v>
      </c>
      <c r="T3" s="867">
        <f>+'1 Estudiantes'!I3</f>
        <v>2026</v>
      </c>
      <c r="U3" s="867">
        <f>+'1 Estudiantes'!J3</f>
        <v>0</v>
      </c>
      <c r="V3" s="344">
        <f>+'1 Estudiantes'!K3</f>
        <v>0</v>
      </c>
    </row>
    <row r="4" spans="1:22" x14ac:dyDescent="0.3">
      <c r="A4" s="1018" t="s">
        <v>227</v>
      </c>
      <c r="B4" s="539">
        <v>1</v>
      </c>
      <c r="C4" s="511">
        <v>820</v>
      </c>
      <c r="D4" s="245"/>
      <c r="E4" s="245">
        <f>+C4*0.0833</f>
        <v>68.305999999999997</v>
      </c>
      <c r="F4" s="245">
        <f>(394/12)</f>
        <v>32.833333333333336</v>
      </c>
      <c r="G4" s="245">
        <f>+C4/12</f>
        <v>68.333333333333329</v>
      </c>
      <c r="H4" s="245">
        <f>+C4*0.1115</f>
        <v>91.43</v>
      </c>
      <c r="I4" s="245">
        <f>SUM(C4:H4)</f>
        <v>1080.9026666666668</v>
      </c>
      <c r="J4" s="375"/>
      <c r="K4" s="376">
        <f>SUM(I4:J4)</f>
        <v>1080.9026666666668</v>
      </c>
      <c r="L4" s="349"/>
      <c r="M4" s="345">
        <f>+(K4/$B$2)*$M$2*6</f>
        <v>13.731560448867246</v>
      </c>
      <c r="N4" s="249">
        <f>+(K4/$B$2)*$N$2*6</f>
        <v>39.794062180817278</v>
      </c>
      <c r="O4" s="249">
        <f>+(K4/$B$2)*$O$2*6</f>
        <v>49.466628287241164</v>
      </c>
      <c r="P4" s="249">
        <f>+(K4/$B$2)*$P$2*6</f>
        <v>71.884153099677064</v>
      </c>
      <c r="Q4" s="249">
        <f>+(K4/$B$2)*$Q$2*6</f>
        <v>78.283529932377263</v>
      </c>
      <c r="R4" s="249">
        <f>+(K4/$B$2)*$R$2*6</f>
        <v>98.202846145284013</v>
      </c>
      <c r="S4" s="249">
        <f>+(K4/$B$2)*$S$2*6</f>
        <v>103.21785972378527</v>
      </c>
      <c r="T4" s="249">
        <f>+(K4/$B$2)*$T$2*6</f>
        <v>122.24720800086516</v>
      </c>
      <c r="U4" s="249" t="e">
        <f>+(K4/$B$2)*$U$2*6</f>
        <v>#REF!</v>
      </c>
      <c r="V4" s="251">
        <f>+(K4/$B$2)*$V$2*6</f>
        <v>0</v>
      </c>
    </row>
    <row r="5" spans="1:22" x14ac:dyDescent="0.3">
      <c r="A5" s="1019"/>
      <c r="B5" s="237">
        <v>1</v>
      </c>
      <c r="C5" s="247">
        <v>700</v>
      </c>
      <c r="D5" s="247"/>
      <c r="E5" s="247">
        <f t="shared" ref="E5:E23" si="0">+C5*0.0833</f>
        <v>58.31</v>
      </c>
      <c r="F5" s="247">
        <v>32.833333333333336</v>
      </c>
      <c r="G5" s="247">
        <f t="shared" ref="G5:G23" si="1">+C5/12</f>
        <v>58.333333333333336</v>
      </c>
      <c r="H5" s="247">
        <f t="shared" ref="H5:H23" si="2">+C5*0.1115</f>
        <v>78.05</v>
      </c>
      <c r="I5" s="247">
        <f t="shared" ref="I5:I23" si="3">SUM(C5:H5)</f>
        <v>927.52666666666664</v>
      </c>
      <c r="J5" s="248"/>
      <c r="K5" s="354">
        <f t="shared" ref="K5:K14" si="4">SUM(I5:J5)</f>
        <v>927.52666666666664</v>
      </c>
      <c r="L5" s="349"/>
      <c r="M5" s="345">
        <f t="shared" ref="M5:M118" si="5">+(K5/$B$2)*$M$2*6</f>
        <v>11.783103959347873</v>
      </c>
      <c r="N5" s="249">
        <f t="shared" ref="N5:N10" si="6">+(K5/$B$2)*$N$2*6</f>
        <v>34.14743527419013</v>
      </c>
      <c r="O5" s="249">
        <f t="shared" ref="O5:O10" si="7">+(K5/$B$2)*$O$2*6</f>
        <v>42.447500835570615</v>
      </c>
      <c r="P5" s="249">
        <f t="shared" ref="P5:P10" si="8">+(K5/$B$2)*$P$2*6</f>
        <v>61.68406366903816</v>
      </c>
      <c r="Q5" s="249">
        <f t="shared" ref="Q5:Q10" si="9">+(K5/$B$2)*$Q$2*6</f>
        <v>67.175393134144144</v>
      </c>
      <c r="R5" s="249">
        <f t="shared" ref="R5:R10" si="10">+(K5/$B$2)*$R$2*6</f>
        <v>84.268233719145968</v>
      </c>
      <c r="S5" s="249">
        <f t="shared" ref="S5:S10" si="11">+(K5/$B$2)*$S$2*6</f>
        <v>88.571635839616278</v>
      </c>
      <c r="T5" s="249">
        <f t="shared" ref="T5:T10" si="12">+(K5/$B$2)*$T$2*6</f>
        <v>104.90079157267549</v>
      </c>
      <c r="U5" s="249" t="e">
        <f t="shared" ref="U5:U10" si="13">+(K5/$B$2)*$U$2*6</f>
        <v>#REF!</v>
      </c>
      <c r="V5" s="251">
        <f t="shared" ref="V5:V10" si="14">+(K5/$B$2)*$V$2*6</f>
        <v>0</v>
      </c>
    </row>
    <row r="6" spans="1:22" x14ac:dyDescent="0.3">
      <c r="A6" s="1019"/>
      <c r="B6" s="237">
        <v>1</v>
      </c>
      <c r="C6" s="247">
        <v>1800</v>
      </c>
      <c r="D6" s="247"/>
      <c r="E6" s="247">
        <f t="shared" si="0"/>
        <v>149.94</v>
      </c>
      <c r="F6" s="247">
        <v>32.833333333333336</v>
      </c>
      <c r="G6" s="247">
        <f t="shared" si="1"/>
        <v>150</v>
      </c>
      <c r="H6" s="247">
        <f t="shared" si="2"/>
        <v>200.70000000000002</v>
      </c>
      <c r="I6" s="247">
        <f t="shared" si="3"/>
        <v>2333.4733333333334</v>
      </c>
      <c r="J6" s="238"/>
      <c r="K6" s="354">
        <f t="shared" si="4"/>
        <v>2333.4733333333334</v>
      </c>
      <c r="L6" s="349"/>
      <c r="M6" s="345">
        <f t="shared" si="5"/>
        <v>29.64395511327546</v>
      </c>
      <c r="N6" s="249">
        <f t="shared" si="6"/>
        <v>85.908181918272277</v>
      </c>
      <c r="O6" s="249">
        <f t="shared" si="7"/>
        <v>106.78950247588398</v>
      </c>
      <c r="P6" s="249">
        <f t="shared" si="8"/>
        <v>155.18488344989476</v>
      </c>
      <c r="Q6" s="249">
        <f t="shared" si="9"/>
        <v>168.99998045128095</v>
      </c>
      <c r="R6" s="249">
        <f t="shared" si="10"/>
        <v>212.0021809587447</v>
      </c>
      <c r="S6" s="249">
        <f t="shared" si="11"/>
        <v>222.82868811116538</v>
      </c>
      <c r="T6" s="249">
        <f t="shared" si="12"/>
        <v>263.90960883108085</v>
      </c>
      <c r="U6" s="249" t="e">
        <f t="shared" si="13"/>
        <v>#REF!</v>
      </c>
      <c r="V6" s="251">
        <f t="shared" si="14"/>
        <v>0</v>
      </c>
    </row>
    <row r="7" spans="1:22" x14ac:dyDescent="0.3">
      <c r="A7" s="1019"/>
      <c r="B7" s="237">
        <v>1</v>
      </c>
      <c r="C7" s="247">
        <v>2500</v>
      </c>
      <c r="D7" s="247"/>
      <c r="E7" s="247">
        <f t="shared" si="0"/>
        <v>208.25</v>
      </c>
      <c r="F7" s="247">
        <v>32.833333333333336</v>
      </c>
      <c r="G7" s="247">
        <f t="shared" si="1"/>
        <v>208.33333333333334</v>
      </c>
      <c r="H7" s="247">
        <f t="shared" si="2"/>
        <v>278.75</v>
      </c>
      <c r="I7" s="247">
        <f t="shared" si="3"/>
        <v>3228.166666666667</v>
      </c>
      <c r="J7" s="238"/>
      <c r="K7" s="354">
        <f t="shared" si="4"/>
        <v>3228.166666666667</v>
      </c>
      <c r="L7" s="349"/>
      <c r="M7" s="345">
        <f t="shared" si="5"/>
        <v>41.009951302138475</v>
      </c>
      <c r="N7" s="249">
        <f t="shared" si="6"/>
        <v>118.84683887359729</v>
      </c>
      <c r="O7" s="249">
        <f t="shared" si="7"/>
        <v>147.73441261062885</v>
      </c>
      <c r="P7" s="249">
        <f t="shared" si="8"/>
        <v>214.68540512862168</v>
      </c>
      <c r="Q7" s="249">
        <f t="shared" si="9"/>
        <v>233.79744510764078</v>
      </c>
      <c r="R7" s="249">
        <f t="shared" si="10"/>
        <v>293.28742011121665</v>
      </c>
      <c r="S7" s="249">
        <f t="shared" si="11"/>
        <v>308.26499410215121</v>
      </c>
      <c r="T7" s="249">
        <f t="shared" si="12"/>
        <v>365.09703799552062</v>
      </c>
      <c r="U7" s="249" t="e">
        <f t="shared" si="13"/>
        <v>#REF!</v>
      </c>
      <c r="V7" s="251">
        <f t="shared" si="14"/>
        <v>0</v>
      </c>
    </row>
    <row r="8" spans="1:22" ht="10.8" thickBot="1" x14ac:dyDescent="0.35">
      <c r="A8" s="1020"/>
      <c r="B8" s="239"/>
      <c r="C8" s="233"/>
      <c r="D8" s="233"/>
      <c r="E8" s="233">
        <f t="shared" si="0"/>
        <v>0</v>
      </c>
      <c r="F8" s="233"/>
      <c r="G8" s="233">
        <f t="shared" si="1"/>
        <v>0</v>
      </c>
      <c r="H8" s="233">
        <f t="shared" si="2"/>
        <v>0</v>
      </c>
      <c r="I8" s="233">
        <f t="shared" si="3"/>
        <v>0</v>
      </c>
      <c r="J8" s="377"/>
      <c r="K8" s="378">
        <f t="shared" si="4"/>
        <v>0</v>
      </c>
      <c r="L8" s="349"/>
      <c r="M8" s="364">
        <f t="shared" si="5"/>
        <v>0</v>
      </c>
      <c r="N8" s="363">
        <f t="shared" si="6"/>
        <v>0</v>
      </c>
      <c r="O8" s="363">
        <f t="shared" si="7"/>
        <v>0</v>
      </c>
      <c r="P8" s="363">
        <f t="shared" si="8"/>
        <v>0</v>
      </c>
      <c r="Q8" s="363">
        <f t="shared" si="9"/>
        <v>0</v>
      </c>
      <c r="R8" s="363">
        <f t="shared" si="10"/>
        <v>0</v>
      </c>
      <c r="S8" s="363">
        <f t="shared" si="11"/>
        <v>0</v>
      </c>
      <c r="T8" s="363">
        <f t="shared" si="12"/>
        <v>0</v>
      </c>
      <c r="U8" s="363" t="e">
        <f t="shared" si="13"/>
        <v>#REF!</v>
      </c>
      <c r="V8" s="365">
        <f t="shared" si="14"/>
        <v>0</v>
      </c>
    </row>
    <row r="9" spans="1:22" x14ac:dyDescent="0.3">
      <c r="A9" s="1018" t="s">
        <v>228</v>
      </c>
      <c r="B9" s="236">
        <v>1</v>
      </c>
      <c r="C9" s="245">
        <v>850</v>
      </c>
      <c r="D9" s="245"/>
      <c r="E9" s="245">
        <f t="shared" si="0"/>
        <v>70.804999999999993</v>
      </c>
      <c r="F9" s="245">
        <v>32.833333333333336</v>
      </c>
      <c r="G9" s="245">
        <f t="shared" si="1"/>
        <v>70.833333333333329</v>
      </c>
      <c r="H9" s="245">
        <f t="shared" si="2"/>
        <v>94.775000000000006</v>
      </c>
      <c r="I9" s="245">
        <f t="shared" si="3"/>
        <v>1119.2466666666667</v>
      </c>
      <c r="J9" s="379"/>
      <c r="K9" s="376">
        <f t="shared" si="4"/>
        <v>1119.2466666666667</v>
      </c>
      <c r="L9" s="349"/>
      <c r="M9" s="366">
        <f t="shared" si="5"/>
        <v>14.218674571247089</v>
      </c>
      <c r="N9" s="245">
        <f t="shared" si="6"/>
        <v>41.205718907474065</v>
      </c>
      <c r="O9" s="245">
        <f t="shared" si="7"/>
        <v>51.221410150158803</v>
      </c>
      <c r="P9" s="245">
        <f t="shared" si="8"/>
        <v>74.434175457336778</v>
      </c>
      <c r="Q9" s="245">
        <f t="shared" si="9"/>
        <v>81.060564131935521</v>
      </c>
      <c r="R9" s="245">
        <f t="shared" si="10"/>
        <v>101.6864992518185</v>
      </c>
      <c r="S9" s="245">
        <f t="shared" si="11"/>
        <v>106.87941569482751</v>
      </c>
      <c r="T9" s="245">
        <f t="shared" si="12"/>
        <v>126.58381210791256</v>
      </c>
      <c r="U9" s="245" t="e">
        <f t="shared" si="13"/>
        <v>#REF!</v>
      </c>
      <c r="V9" s="246">
        <f t="shared" si="14"/>
        <v>0</v>
      </c>
    </row>
    <row r="10" spans="1:22" x14ac:dyDescent="0.3">
      <c r="A10" s="1019"/>
      <c r="B10" s="237">
        <v>1</v>
      </c>
      <c r="C10" s="247">
        <v>1850</v>
      </c>
      <c r="D10" s="247"/>
      <c r="E10" s="247">
        <f t="shared" si="0"/>
        <v>154.10499999999999</v>
      </c>
      <c r="F10" s="247">
        <v>32.833333333333336</v>
      </c>
      <c r="G10" s="247">
        <f t="shared" si="1"/>
        <v>154.16666666666666</v>
      </c>
      <c r="H10" s="247">
        <f t="shared" si="2"/>
        <v>206.27500000000001</v>
      </c>
      <c r="I10" s="247">
        <f t="shared" si="3"/>
        <v>2397.38</v>
      </c>
      <c r="J10" s="238"/>
      <c r="K10" s="354">
        <f t="shared" si="4"/>
        <v>2397.38</v>
      </c>
      <c r="L10" s="349"/>
      <c r="M10" s="345">
        <f t="shared" si="5"/>
        <v>30.455811983908532</v>
      </c>
      <c r="N10" s="249">
        <f t="shared" si="6"/>
        <v>88.260943129366922</v>
      </c>
      <c r="O10" s="249">
        <f t="shared" si="7"/>
        <v>109.71413891408002</v>
      </c>
      <c r="P10" s="249">
        <f t="shared" si="8"/>
        <v>159.43492071266095</v>
      </c>
      <c r="Q10" s="249">
        <f t="shared" si="9"/>
        <v>173.62837078387807</v>
      </c>
      <c r="R10" s="249">
        <f t="shared" si="10"/>
        <v>217.80826946963555</v>
      </c>
      <c r="S10" s="249">
        <f t="shared" si="11"/>
        <v>228.93128139623582</v>
      </c>
      <c r="T10" s="249">
        <f t="shared" si="12"/>
        <v>271.1372823428265</v>
      </c>
      <c r="U10" s="249" t="e">
        <f t="shared" si="13"/>
        <v>#REF!</v>
      </c>
      <c r="V10" s="251">
        <f t="shared" si="14"/>
        <v>0</v>
      </c>
    </row>
    <row r="11" spans="1:22" ht="10.8" thickBot="1" x14ac:dyDescent="0.35">
      <c r="A11" s="1020"/>
      <c r="B11" s="239"/>
      <c r="C11" s="233"/>
      <c r="D11" s="233"/>
      <c r="E11" s="233">
        <f t="shared" si="0"/>
        <v>0</v>
      </c>
      <c r="F11" s="233"/>
      <c r="G11" s="233">
        <f t="shared" si="1"/>
        <v>0</v>
      </c>
      <c r="H11" s="233">
        <f t="shared" si="2"/>
        <v>0</v>
      </c>
      <c r="I11" s="233">
        <f t="shared" si="3"/>
        <v>0</v>
      </c>
      <c r="J11" s="377"/>
      <c r="K11" s="378">
        <f t="shared" si="4"/>
        <v>0</v>
      </c>
      <c r="L11" s="349"/>
      <c r="M11" s="346">
        <f t="shared" si="5"/>
        <v>0</v>
      </c>
      <c r="N11" s="347">
        <f t="shared" ref="N11:N120" si="15">+(K11/$B$2)*$N$2*6</f>
        <v>0</v>
      </c>
      <c r="O11" s="347">
        <f t="shared" ref="O11:O120" si="16">+(K11/$B$2)*$O$2*6</f>
        <v>0</v>
      </c>
      <c r="P11" s="347">
        <f t="shared" ref="P11:P120" si="17">+(K11/$B$2)*$P$2*6</f>
        <v>0</v>
      </c>
      <c r="Q11" s="347">
        <f t="shared" ref="Q11:Q120" si="18">+(K11/$B$2)*$Q$2*6</f>
        <v>0</v>
      </c>
      <c r="R11" s="347">
        <f t="shared" ref="R11:R120" si="19">+(K11/$B$2)*$R$2*6</f>
        <v>0</v>
      </c>
      <c r="S11" s="347">
        <f t="shared" ref="S11:S120" si="20">+(K11/$B$2)*$S$2*6</f>
        <v>0</v>
      </c>
      <c r="T11" s="347">
        <f t="shared" ref="T11:T120" si="21">+(K11/$B$2)*$T$2*6</f>
        <v>0</v>
      </c>
      <c r="U11" s="347" t="e">
        <f t="shared" ref="U11:U120" si="22">+(K11/$B$2)*$U$2*6</f>
        <v>#REF!</v>
      </c>
      <c r="V11" s="348">
        <f t="shared" ref="V11:V120" si="23">+(K11/$B$2)*$V$2*6</f>
        <v>0</v>
      </c>
    </row>
    <row r="12" spans="1:22" x14ac:dyDescent="0.3">
      <c r="A12" s="1018" t="s">
        <v>229</v>
      </c>
      <c r="B12" s="240">
        <v>1</v>
      </c>
      <c r="C12" s="249">
        <v>1500</v>
      </c>
      <c r="D12" s="249"/>
      <c r="E12" s="249">
        <f t="shared" si="0"/>
        <v>124.95</v>
      </c>
      <c r="F12" s="249">
        <v>32.833333333333336</v>
      </c>
      <c r="G12" s="249">
        <f t="shared" si="1"/>
        <v>125</v>
      </c>
      <c r="H12" s="249">
        <f t="shared" si="2"/>
        <v>167.25</v>
      </c>
      <c r="I12" s="249">
        <f t="shared" si="3"/>
        <v>1950.0333333333333</v>
      </c>
      <c r="J12" s="374"/>
      <c r="K12" s="353">
        <f t="shared" si="4"/>
        <v>1950.0333333333333</v>
      </c>
      <c r="L12" s="349"/>
      <c r="M12" s="345">
        <f t="shared" si="5"/>
        <v>24.772813889477025</v>
      </c>
      <c r="N12" s="249">
        <f t="shared" si="15"/>
        <v>71.791614651704407</v>
      </c>
      <c r="O12" s="249">
        <f t="shared" si="16"/>
        <v>89.241683846707588</v>
      </c>
      <c r="P12" s="249">
        <f t="shared" si="17"/>
        <v>129.68465987329748</v>
      </c>
      <c r="Q12" s="249">
        <f t="shared" si="18"/>
        <v>141.22963845569819</v>
      </c>
      <c r="R12" s="249">
        <f t="shared" si="19"/>
        <v>177.16564989339955</v>
      </c>
      <c r="S12" s="249">
        <f t="shared" si="20"/>
        <v>186.21312840074287</v>
      </c>
      <c r="T12" s="249">
        <f t="shared" si="21"/>
        <v>220.54356776060663</v>
      </c>
      <c r="U12" s="249" t="e">
        <f t="shared" si="22"/>
        <v>#REF!</v>
      </c>
      <c r="V12" s="251">
        <f t="shared" si="23"/>
        <v>0</v>
      </c>
    </row>
    <row r="13" spans="1:22" x14ac:dyDescent="0.3">
      <c r="A13" s="1019"/>
      <c r="B13" s="237">
        <v>1</v>
      </c>
      <c r="C13" s="247">
        <v>700</v>
      </c>
      <c r="D13" s="247"/>
      <c r="E13" s="247">
        <f t="shared" si="0"/>
        <v>58.31</v>
      </c>
      <c r="F13" s="247">
        <v>32.833333333333336</v>
      </c>
      <c r="G13" s="247">
        <f t="shared" si="1"/>
        <v>58.333333333333336</v>
      </c>
      <c r="H13" s="247">
        <f t="shared" si="2"/>
        <v>78.05</v>
      </c>
      <c r="I13" s="247">
        <f t="shared" si="3"/>
        <v>927.52666666666664</v>
      </c>
      <c r="J13" s="238"/>
      <c r="K13" s="354">
        <f t="shared" si="4"/>
        <v>927.52666666666664</v>
      </c>
      <c r="L13" s="349"/>
      <c r="M13" s="345">
        <f t="shared" si="5"/>
        <v>11.783103959347873</v>
      </c>
      <c r="N13" s="249">
        <f t="shared" si="15"/>
        <v>34.14743527419013</v>
      </c>
      <c r="O13" s="249">
        <f t="shared" si="16"/>
        <v>42.447500835570615</v>
      </c>
      <c r="P13" s="249">
        <f t="shared" si="17"/>
        <v>61.68406366903816</v>
      </c>
      <c r="Q13" s="249">
        <f t="shared" si="18"/>
        <v>67.175393134144144</v>
      </c>
      <c r="R13" s="249">
        <f t="shared" si="19"/>
        <v>84.268233719145968</v>
      </c>
      <c r="S13" s="249">
        <f t="shared" si="20"/>
        <v>88.571635839616278</v>
      </c>
      <c r="T13" s="249">
        <f t="shared" si="21"/>
        <v>104.90079157267549</v>
      </c>
      <c r="U13" s="249" t="e">
        <f t="shared" si="22"/>
        <v>#REF!</v>
      </c>
      <c r="V13" s="251">
        <f t="shared" si="23"/>
        <v>0</v>
      </c>
    </row>
    <row r="14" spans="1:22" ht="10.8" thickBot="1" x14ac:dyDescent="0.35">
      <c r="A14" s="1020"/>
      <c r="B14" s="252">
        <v>1</v>
      </c>
      <c r="C14" s="253">
        <v>820</v>
      </c>
      <c r="D14" s="253"/>
      <c r="E14" s="253">
        <f t="shared" si="0"/>
        <v>68.305999999999997</v>
      </c>
      <c r="F14" s="247">
        <v>32.833333333333336</v>
      </c>
      <c r="G14" s="253">
        <f t="shared" si="1"/>
        <v>68.333333333333329</v>
      </c>
      <c r="H14" s="253">
        <f t="shared" si="2"/>
        <v>91.43</v>
      </c>
      <c r="I14" s="253">
        <f t="shared" si="3"/>
        <v>1080.9026666666668</v>
      </c>
      <c r="J14" s="355"/>
      <c r="K14" s="356">
        <f t="shared" si="4"/>
        <v>1080.9026666666668</v>
      </c>
      <c r="L14" s="349"/>
      <c r="M14" s="364">
        <f t="shared" si="5"/>
        <v>13.731560448867246</v>
      </c>
      <c r="N14" s="363">
        <f t="shared" si="15"/>
        <v>39.794062180817278</v>
      </c>
      <c r="O14" s="363">
        <f t="shared" si="16"/>
        <v>49.466628287241164</v>
      </c>
      <c r="P14" s="363">
        <f t="shared" si="17"/>
        <v>71.884153099677064</v>
      </c>
      <c r="Q14" s="363">
        <f t="shared" si="18"/>
        <v>78.283529932377263</v>
      </c>
      <c r="R14" s="363">
        <f t="shared" si="19"/>
        <v>98.202846145284013</v>
      </c>
      <c r="S14" s="363">
        <f t="shared" si="20"/>
        <v>103.21785972378527</v>
      </c>
      <c r="T14" s="363">
        <f t="shared" si="21"/>
        <v>122.24720800086516</v>
      </c>
      <c r="U14" s="363" t="e">
        <f t="shared" si="22"/>
        <v>#REF!</v>
      </c>
      <c r="V14" s="365">
        <f t="shared" si="23"/>
        <v>0</v>
      </c>
    </row>
    <row r="15" spans="1:22" x14ac:dyDescent="0.3">
      <c r="A15" s="1024" t="s">
        <v>230</v>
      </c>
      <c r="B15" s="236">
        <v>1</v>
      </c>
      <c r="C15" s="245">
        <v>810</v>
      </c>
      <c r="D15" s="245"/>
      <c r="E15" s="245">
        <f t="shared" si="0"/>
        <v>67.472999999999999</v>
      </c>
      <c r="F15" s="245">
        <f t="shared" ref="F15:F34" si="24">(394/12)</f>
        <v>32.833333333333336</v>
      </c>
      <c r="G15" s="245">
        <f t="shared" si="1"/>
        <v>67.5</v>
      </c>
      <c r="H15" s="245">
        <f t="shared" si="2"/>
        <v>90.314999999999998</v>
      </c>
      <c r="I15" s="245">
        <f t="shared" si="3"/>
        <v>1068.1213333333333</v>
      </c>
      <c r="J15" s="357"/>
      <c r="K15" s="358">
        <f>SUM(I15:J15)</f>
        <v>1068.1213333333333</v>
      </c>
      <c r="L15" s="350"/>
      <c r="M15" s="366">
        <f t="shared" si="5"/>
        <v>13.569189074740631</v>
      </c>
      <c r="N15" s="245">
        <f t="shared" si="15"/>
        <v>39.323509938598349</v>
      </c>
      <c r="O15" s="245">
        <f t="shared" si="16"/>
        <v>48.881700999601946</v>
      </c>
      <c r="P15" s="245">
        <f t="shared" si="17"/>
        <v>71.034145647123808</v>
      </c>
      <c r="Q15" s="245">
        <f t="shared" si="18"/>
        <v>77.357851865857825</v>
      </c>
      <c r="R15" s="245">
        <f t="shared" si="19"/>
        <v>97.041628443105836</v>
      </c>
      <c r="S15" s="245">
        <f t="shared" si="20"/>
        <v>101.99734106677118</v>
      </c>
      <c r="T15" s="245">
        <f t="shared" si="21"/>
        <v>120.80167329851602</v>
      </c>
      <c r="U15" s="245" t="e">
        <f t="shared" si="22"/>
        <v>#REF!</v>
      </c>
      <c r="V15" s="246">
        <f t="shared" si="23"/>
        <v>0</v>
      </c>
    </row>
    <row r="16" spans="1:22" ht="15" customHeight="1" x14ac:dyDescent="0.3">
      <c r="A16" s="1025"/>
      <c r="B16" s="237">
        <v>1</v>
      </c>
      <c r="C16" s="247">
        <v>650</v>
      </c>
      <c r="D16" s="51"/>
      <c r="E16" s="247">
        <f t="shared" si="0"/>
        <v>54.144999999999996</v>
      </c>
      <c r="F16" s="247">
        <f t="shared" si="24"/>
        <v>32.833333333333336</v>
      </c>
      <c r="G16" s="247">
        <f t="shared" si="1"/>
        <v>54.166666666666664</v>
      </c>
      <c r="H16" s="247">
        <f t="shared" si="2"/>
        <v>72.474999999999994</v>
      </c>
      <c r="I16" s="247">
        <f t="shared" si="3"/>
        <v>863.62</v>
      </c>
      <c r="J16" s="51"/>
      <c r="K16" s="359">
        <f t="shared" ref="K16:K138" si="25">SUM(I16:J16)</f>
        <v>863.62</v>
      </c>
      <c r="L16" s="351"/>
      <c r="M16" s="345">
        <f t="shared" si="5"/>
        <v>10.971247088714799</v>
      </c>
      <c r="N16" s="249">
        <f t="shared" si="15"/>
        <v>31.794674063095485</v>
      </c>
      <c r="O16" s="249">
        <f t="shared" si="16"/>
        <v>39.522864397374548</v>
      </c>
      <c r="P16" s="249">
        <f t="shared" si="17"/>
        <v>57.434026406271954</v>
      </c>
      <c r="Q16" s="249">
        <f t="shared" si="18"/>
        <v>62.547002801547016</v>
      </c>
      <c r="R16" s="249">
        <f t="shared" si="19"/>
        <v>78.462145208255109</v>
      </c>
      <c r="S16" s="249">
        <f t="shared" si="20"/>
        <v>82.469042554545851</v>
      </c>
      <c r="T16" s="249">
        <f t="shared" si="21"/>
        <v>97.673118060929767</v>
      </c>
      <c r="U16" s="249" t="e">
        <f t="shared" si="22"/>
        <v>#REF!</v>
      </c>
      <c r="V16" s="251">
        <f t="shared" si="23"/>
        <v>0</v>
      </c>
    </row>
    <row r="17" spans="1:22" ht="15" customHeight="1" x14ac:dyDescent="0.3">
      <c r="A17" s="1025"/>
      <c r="B17" s="237">
        <v>1</v>
      </c>
      <c r="C17" s="247">
        <v>650</v>
      </c>
      <c r="D17" s="51"/>
      <c r="E17" s="247">
        <f t="shared" si="0"/>
        <v>54.144999999999996</v>
      </c>
      <c r="F17" s="247">
        <f t="shared" si="24"/>
        <v>32.833333333333336</v>
      </c>
      <c r="G17" s="247">
        <f t="shared" si="1"/>
        <v>54.166666666666664</v>
      </c>
      <c r="H17" s="247">
        <f t="shared" si="2"/>
        <v>72.474999999999994</v>
      </c>
      <c r="I17" s="247">
        <f t="shared" si="3"/>
        <v>863.62</v>
      </c>
      <c r="J17" s="247"/>
      <c r="K17" s="359">
        <f t="shared" si="25"/>
        <v>863.62</v>
      </c>
      <c r="L17" s="351"/>
      <c r="M17" s="345">
        <f t="shared" si="5"/>
        <v>10.971247088714799</v>
      </c>
      <c r="N17" s="249">
        <f t="shared" si="15"/>
        <v>31.794674063095485</v>
      </c>
      <c r="O17" s="249">
        <f t="shared" si="16"/>
        <v>39.522864397374548</v>
      </c>
      <c r="P17" s="249">
        <f t="shared" si="17"/>
        <v>57.434026406271954</v>
      </c>
      <c r="Q17" s="249">
        <f t="shared" si="18"/>
        <v>62.547002801547016</v>
      </c>
      <c r="R17" s="249">
        <f t="shared" si="19"/>
        <v>78.462145208255109</v>
      </c>
      <c r="S17" s="249">
        <f t="shared" si="20"/>
        <v>82.469042554545851</v>
      </c>
      <c r="T17" s="249">
        <f t="shared" si="21"/>
        <v>97.673118060929767</v>
      </c>
      <c r="U17" s="249" t="e">
        <f t="shared" si="22"/>
        <v>#REF!</v>
      </c>
      <c r="V17" s="251">
        <f t="shared" si="23"/>
        <v>0</v>
      </c>
    </row>
    <row r="18" spans="1:22" ht="15" customHeight="1" x14ac:dyDescent="0.3">
      <c r="A18" s="1025"/>
      <c r="B18" s="237">
        <v>1</v>
      </c>
      <c r="C18" s="247">
        <v>1300</v>
      </c>
      <c r="D18" s="51"/>
      <c r="E18" s="247">
        <f t="shared" si="0"/>
        <v>108.28999999999999</v>
      </c>
      <c r="F18" s="247">
        <f t="shared" si="24"/>
        <v>32.833333333333336</v>
      </c>
      <c r="G18" s="247">
        <f t="shared" si="1"/>
        <v>108.33333333333333</v>
      </c>
      <c r="H18" s="247">
        <f t="shared" si="2"/>
        <v>144.94999999999999</v>
      </c>
      <c r="I18" s="247">
        <f t="shared" si="3"/>
        <v>1694.4066666666665</v>
      </c>
      <c r="J18" s="247"/>
      <c r="K18" s="359">
        <f t="shared" si="25"/>
        <v>1694.4066666666665</v>
      </c>
      <c r="L18" s="351"/>
      <c r="M18" s="345">
        <f t="shared" si="5"/>
        <v>21.525386406944737</v>
      </c>
      <c r="N18" s="249">
        <f t="shared" si="15"/>
        <v>62.380569807325841</v>
      </c>
      <c r="O18" s="249">
        <f t="shared" si="16"/>
        <v>77.543138093923346</v>
      </c>
      <c r="P18" s="249">
        <f t="shared" si="17"/>
        <v>112.68451082223265</v>
      </c>
      <c r="Q18" s="249">
        <f t="shared" si="18"/>
        <v>122.71607712530965</v>
      </c>
      <c r="R18" s="249">
        <f t="shared" si="19"/>
        <v>153.94129584983617</v>
      </c>
      <c r="S18" s="249">
        <f t="shared" si="20"/>
        <v>161.80275526046123</v>
      </c>
      <c r="T18" s="249">
        <f t="shared" si="21"/>
        <v>191.63287371362381</v>
      </c>
      <c r="U18" s="249" t="e">
        <f t="shared" si="22"/>
        <v>#REF!</v>
      </c>
      <c r="V18" s="251">
        <f t="shared" si="23"/>
        <v>0</v>
      </c>
    </row>
    <row r="19" spans="1:22" ht="15" customHeight="1" x14ac:dyDescent="0.3">
      <c r="A19" s="1025"/>
      <c r="B19" s="237">
        <v>1</v>
      </c>
      <c r="C19" s="247">
        <v>750</v>
      </c>
      <c r="D19" s="51"/>
      <c r="E19" s="247">
        <f t="shared" si="0"/>
        <v>62.475000000000001</v>
      </c>
      <c r="F19" s="247">
        <f t="shared" si="24"/>
        <v>32.833333333333336</v>
      </c>
      <c r="G19" s="247">
        <f t="shared" si="1"/>
        <v>62.5</v>
      </c>
      <c r="H19" s="247">
        <f t="shared" si="2"/>
        <v>83.625</v>
      </c>
      <c r="I19" s="247">
        <f t="shared" si="3"/>
        <v>991.43333333333339</v>
      </c>
      <c r="J19" s="247"/>
      <c r="K19" s="359">
        <f t="shared" si="25"/>
        <v>991.43333333333339</v>
      </c>
      <c r="L19" s="351"/>
      <c r="M19" s="345">
        <f t="shared" si="5"/>
        <v>12.594960829980945</v>
      </c>
      <c r="N19" s="249">
        <f t="shared" si="15"/>
        <v>36.500196485284775</v>
      </c>
      <c r="O19" s="249">
        <f t="shared" si="16"/>
        <v>45.372137273766675</v>
      </c>
      <c r="P19" s="249">
        <f t="shared" si="17"/>
        <v>65.934100931804366</v>
      </c>
      <c r="Q19" s="249">
        <f t="shared" si="18"/>
        <v>71.80378346674128</v>
      </c>
      <c r="R19" s="249">
        <f t="shared" si="19"/>
        <v>90.074322230036813</v>
      </c>
      <c r="S19" s="249">
        <f t="shared" si="20"/>
        <v>94.67422912468669</v>
      </c>
      <c r="T19" s="249">
        <f t="shared" si="21"/>
        <v>112.12846508442118</v>
      </c>
      <c r="U19" s="249" t="e">
        <f t="shared" si="22"/>
        <v>#REF!</v>
      </c>
      <c r="V19" s="251">
        <f t="shared" si="23"/>
        <v>0</v>
      </c>
    </row>
    <row r="20" spans="1:22" ht="15" customHeight="1" x14ac:dyDescent="0.3">
      <c r="A20" s="1025"/>
      <c r="B20" s="237">
        <v>1</v>
      </c>
      <c r="C20" s="247">
        <v>700</v>
      </c>
      <c r="D20" s="51"/>
      <c r="E20" s="247">
        <f t="shared" si="0"/>
        <v>58.31</v>
      </c>
      <c r="F20" s="247">
        <f t="shared" si="24"/>
        <v>32.833333333333336</v>
      </c>
      <c r="G20" s="247">
        <f t="shared" si="1"/>
        <v>58.333333333333336</v>
      </c>
      <c r="H20" s="247">
        <f t="shared" si="2"/>
        <v>78.05</v>
      </c>
      <c r="I20" s="247">
        <f t="shared" si="3"/>
        <v>927.52666666666664</v>
      </c>
      <c r="J20" s="247"/>
      <c r="K20" s="359">
        <f t="shared" si="25"/>
        <v>927.52666666666664</v>
      </c>
      <c r="L20" s="351"/>
      <c r="M20" s="345">
        <f t="shared" si="5"/>
        <v>11.783103959347873</v>
      </c>
      <c r="N20" s="249">
        <f t="shared" si="15"/>
        <v>34.14743527419013</v>
      </c>
      <c r="O20" s="249">
        <f t="shared" si="16"/>
        <v>42.447500835570615</v>
      </c>
      <c r="P20" s="249">
        <f t="shared" si="17"/>
        <v>61.68406366903816</v>
      </c>
      <c r="Q20" s="249">
        <f t="shared" si="18"/>
        <v>67.175393134144144</v>
      </c>
      <c r="R20" s="249">
        <f t="shared" si="19"/>
        <v>84.268233719145968</v>
      </c>
      <c r="S20" s="249">
        <f t="shared" si="20"/>
        <v>88.571635839616278</v>
      </c>
      <c r="T20" s="249">
        <f t="shared" si="21"/>
        <v>104.90079157267549</v>
      </c>
      <c r="U20" s="249" t="e">
        <f t="shared" si="22"/>
        <v>#REF!</v>
      </c>
      <c r="V20" s="251">
        <f t="shared" si="23"/>
        <v>0</v>
      </c>
    </row>
    <row r="21" spans="1:22" ht="15" customHeight="1" x14ac:dyDescent="0.3">
      <c r="A21" s="1025"/>
      <c r="B21" s="237">
        <v>1</v>
      </c>
      <c r="C21" s="247">
        <v>2200</v>
      </c>
      <c r="D21" s="51"/>
      <c r="E21" s="247">
        <f t="shared" si="0"/>
        <v>183.26</v>
      </c>
      <c r="F21" s="247">
        <f t="shared" si="24"/>
        <v>32.833333333333336</v>
      </c>
      <c r="G21" s="247">
        <f t="shared" si="1"/>
        <v>183.33333333333334</v>
      </c>
      <c r="H21" s="247">
        <f t="shared" si="2"/>
        <v>245.3</v>
      </c>
      <c r="I21" s="247">
        <f t="shared" si="3"/>
        <v>2844.7266666666674</v>
      </c>
      <c r="J21" s="247"/>
      <c r="K21" s="359">
        <f t="shared" si="25"/>
        <v>2844.7266666666674</v>
      </c>
      <c r="L21" s="351"/>
      <c r="M21" s="345">
        <f t="shared" si="5"/>
        <v>36.138810078340043</v>
      </c>
      <c r="N21" s="249">
        <f t="shared" si="15"/>
        <v>104.73027160702944</v>
      </c>
      <c r="O21" s="249">
        <f t="shared" si="16"/>
        <v>130.18659398145249</v>
      </c>
      <c r="P21" s="249">
        <f t="shared" si="17"/>
        <v>189.18518155202446</v>
      </c>
      <c r="Q21" s="249">
        <f t="shared" si="18"/>
        <v>206.027103112058</v>
      </c>
      <c r="R21" s="249">
        <f t="shared" si="19"/>
        <v>258.45088904587152</v>
      </c>
      <c r="S21" s="249">
        <f t="shared" si="20"/>
        <v>271.64943439172873</v>
      </c>
      <c r="T21" s="249">
        <f t="shared" si="21"/>
        <v>321.7309969250465</v>
      </c>
      <c r="U21" s="249" t="e">
        <f t="shared" si="22"/>
        <v>#REF!</v>
      </c>
      <c r="V21" s="251">
        <f t="shared" si="23"/>
        <v>0</v>
      </c>
    </row>
    <row r="22" spans="1:22" ht="15" customHeight="1" x14ac:dyDescent="0.3">
      <c r="A22" s="1025"/>
      <c r="B22" s="237"/>
      <c r="C22" s="247"/>
      <c r="D22" s="51"/>
      <c r="E22" s="247">
        <f t="shared" si="0"/>
        <v>0</v>
      </c>
      <c r="F22" s="247"/>
      <c r="G22" s="247">
        <f t="shared" si="1"/>
        <v>0</v>
      </c>
      <c r="H22" s="247">
        <f t="shared" si="2"/>
        <v>0</v>
      </c>
      <c r="I22" s="247">
        <f t="shared" si="3"/>
        <v>0</v>
      </c>
      <c r="J22" s="247"/>
      <c r="K22" s="359">
        <f t="shared" si="25"/>
        <v>0</v>
      </c>
      <c r="L22" s="351"/>
      <c r="M22" s="345">
        <f t="shared" si="5"/>
        <v>0</v>
      </c>
      <c r="N22" s="249">
        <f t="shared" si="15"/>
        <v>0</v>
      </c>
      <c r="O22" s="249">
        <f t="shared" si="16"/>
        <v>0</v>
      </c>
      <c r="P22" s="249">
        <f t="shared" si="17"/>
        <v>0</v>
      </c>
      <c r="Q22" s="249">
        <f t="shared" si="18"/>
        <v>0</v>
      </c>
      <c r="R22" s="249">
        <f t="shared" si="19"/>
        <v>0</v>
      </c>
      <c r="S22" s="249">
        <f t="shared" si="20"/>
        <v>0</v>
      </c>
      <c r="T22" s="249">
        <f t="shared" si="21"/>
        <v>0</v>
      </c>
      <c r="U22" s="249" t="e">
        <f t="shared" si="22"/>
        <v>#REF!</v>
      </c>
      <c r="V22" s="251">
        <f t="shared" si="23"/>
        <v>0</v>
      </c>
    </row>
    <row r="23" spans="1:22" ht="15" customHeight="1" thickBot="1" x14ac:dyDescent="0.35">
      <c r="A23" s="1031"/>
      <c r="B23" s="252"/>
      <c r="C23" s="253"/>
      <c r="D23" s="254"/>
      <c r="E23" s="253">
        <f t="shared" si="0"/>
        <v>0</v>
      </c>
      <c r="F23" s="253"/>
      <c r="G23" s="253">
        <f t="shared" si="1"/>
        <v>0</v>
      </c>
      <c r="H23" s="253">
        <f t="shared" si="2"/>
        <v>0</v>
      </c>
      <c r="I23" s="253">
        <f t="shared" si="3"/>
        <v>0</v>
      </c>
      <c r="J23" s="253"/>
      <c r="K23" s="361">
        <f t="shared" si="25"/>
        <v>0</v>
      </c>
      <c r="L23" s="351"/>
      <c r="M23" s="346">
        <f t="shared" si="5"/>
        <v>0</v>
      </c>
      <c r="N23" s="347">
        <f t="shared" si="15"/>
        <v>0</v>
      </c>
      <c r="O23" s="347">
        <f t="shared" si="16"/>
        <v>0</v>
      </c>
      <c r="P23" s="347">
        <f t="shared" si="17"/>
        <v>0</v>
      </c>
      <c r="Q23" s="347">
        <f t="shared" si="18"/>
        <v>0</v>
      </c>
      <c r="R23" s="347">
        <f t="shared" si="19"/>
        <v>0</v>
      </c>
      <c r="S23" s="347">
        <f t="shared" si="20"/>
        <v>0</v>
      </c>
      <c r="T23" s="347">
        <f t="shared" si="21"/>
        <v>0</v>
      </c>
      <c r="U23" s="347" t="e">
        <f t="shared" si="22"/>
        <v>#REF!</v>
      </c>
      <c r="V23" s="348">
        <f t="shared" si="23"/>
        <v>0</v>
      </c>
    </row>
    <row r="24" spans="1:22" ht="15.75" customHeight="1" x14ac:dyDescent="0.3">
      <c r="A24" s="1018" t="s">
        <v>231</v>
      </c>
      <c r="B24" s="236">
        <v>1</v>
      </c>
      <c r="C24" s="245">
        <v>820</v>
      </c>
      <c r="D24" s="255"/>
      <c r="E24" s="245">
        <f t="shared" ref="E24:E41" si="26">+C24*0.0833</f>
        <v>68.305999999999997</v>
      </c>
      <c r="F24" s="245">
        <f t="shared" si="24"/>
        <v>32.833333333333336</v>
      </c>
      <c r="G24" s="245">
        <f t="shared" ref="G24:G41" si="27">+C24/12</f>
        <v>68.333333333333329</v>
      </c>
      <c r="H24" s="245">
        <f t="shared" ref="H24:H41" si="28">+C24*0.1115</f>
        <v>91.43</v>
      </c>
      <c r="I24" s="245">
        <f t="shared" ref="I24:I41" si="29">SUM(C24:H24)</f>
        <v>1080.9026666666668</v>
      </c>
      <c r="J24" s="245"/>
      <c r="K24" s="362">
        <f t="shared" si="25"/>
        <v>1080.9026666666668</v>
      </c>
      <c r="L24" s="351"/>
      <c r="M24" s="366">
        <f t="shared" si="5"/>
        <v>13.731560448867246</v>
      </c>
      <c r="N24" s="245">
        <f t="shared" si="15"/>
        <v>39.794062180817278</v>
      </c>
      <c r="O24" s="245">
        <f t="shared" si="16"/>
        <v>49.466628287241164</v>
      </c>
      <c r="P24" s="245">
        <f t="shared" si="17"/>
        <v>71.884153099677064</v>
      </c>
      <c r="Q24" s="245">
        <f t="shared" si="18"/>
        <v>78.283529932377263</v>
      </c>
      <c r="R24" s="245">
        <f t="shared" si="19"/>
        <v>98.202846145284013</v>
      </c>
      <c r="S24" s="245">
        <f t="shared" si="20"/>
        <v>103.21785972378527</v>
      </c>
      <c r="T24" s="245">
        <f t="shared" si="21"/>
        <v>122.24720800086516</v>
      </c>
      <c r="U24" s="245" t="e">
        <f t="shared" si="22"/>
        <v>#REF!</v>
      </c>
      <c r="V24" s="246">
        <f t="shared" si="23"/>
        <v>0</v>
      </c>
    </row>
    <row r="25" spans="1:22" x14ac:dyDescent="0.3">
      <c r="A25" s="1019"/>
      <c r="B25" s="237">
        <v>1</v>
      </c>
      <c r="C25" s="247">
        <v>820</v>
      </c>
      <c r="D25" s="51"/>
      <c r="E25" s="247">
        <f t="shared" si="26"/>
        <v>68.305999999999997</v>
      </c>
      <c r="F25" s="247">
        <f t="shared" si="24"/>
        <v>32.833333333333336</v>
      </c>
      <c r="G25" s="247">
        <f t="shared" si="27"/>
        <v>68.333333333333329</v>
      </c>
      <c r="H25" s="247">
        <f t="shared" si="28"/>
        <v>91.43</v>
      </c>
      <c r="I25" s="247">
        <f t="shared" si="29"/>
        <v>1080.9026666666668</v>
      </c>
      <c r="J25" s="247"/>
      <c r="K25" s="359">
        <f t="shared" si="25"/>
        <v>1080.9026666666668</v>
      </c>
      <c r="L25" s="351"/>
      <c r="M25" s="345">
        <f t="shared" si="5"/>
        <v>13.731560448867246</v>
      </c>
      <c r="N25" s="249">
        <f t="shared" si="15"/>
        <v>39.794062180817278</v>
      </c>
      <c r="O25" s="249">
        <f t="shared" si="16"/>
        <v>49.466628287241164</v>
      </c>
      <c r="P25" s="249">
        <f t="shared" si="17"/>
        <v>71.884153099677064</v>
      </c>
      <c r="Q25" s="249">
        <f t="shared" si="18"/>
        <v>78.283529932377263</v>
      </c>
      <c r="R25" s="249">
        <f t="shared" si="19"/>
        <v>98.202846145284013</v>
      </c>
      <c r="S25" s="249">
        <f t="shared" si="20"/>
        <v>103.21785972378527</v>
      </c>
      <c r="T25" s="249">
        <f t="shared" si="21"/>
        <v>122.24720800086516</v>
      </c>
      <c r="U25" s="249" t="e">
        <f t="shared" si="22"/>
        <v>#REF!</v>
      </c>
      <c r="V25" s="251">
        <f t="shared" si="23"/>
        <v>0</v>
      </c>
    </row>
    <row r="26" spans="1:22" x14ac:dyDescent="0.3">
      <c r="A26" s="1019"/>
      <c r="B26" s="237">
        <v>1</v>
      </c>
      <c r="C26" s="247">
        <v>1460.13</v>
      </c>
      <c r="D26" s="51"/>
      <c r="E26" s="247">
        <f t="shared" si="26"/>
        <v>121.62882900000001</v>
      </c>
      <c r="F26" s="247">
        <f t="shared" si="24"/>
        <v>32.833333333333336</v>
      </c>
      <c r="G26" s="247">
        <f t="shared" si="27"/>
        <v>121.67750000000001</v>
      </c>
      <c r="H26" s="247">
        <f t="shared" si="28"/>
        <v>162.804495</v>
      </c>
      <c r="I26" s="247">
        <f t="shared" si="29"/>
        <v>1899.0741573333335</v>
      </c>
      <c r="J26" s="247"/>
      <c r="K26" s="359">
        <f t="shared" si="25"/>
        <v>1899.0741573333335</v>
      </c>
      <c r="L26" s="351"/>
      <c r="M26" s="345">
        <f t="shared" si="5"/>
        <v>24.125439220834217</v>
      </c>
      <c r="N26" s="249">
        <f t="shared" si="15"/>
        <v>69.915522861977564</v>
      </c>
      <c r="O26" s="249">
        <f t="shared" si="16"/>
        <v>86.909578750890063</v>
      </c>
      <c r="P26" s="249">
        <f t="shared" si="17"/>
        <v>126.29568015996772</v>
      </c>
      <c r="Q26" s="249">
        <f t="shared" si="18"/>
        <v>137.53896000448523</v>
      </c>
      <c r="R26" s="249">
        <f t="shared" si="19"/>
        <v>172.53587491481522</v>
      </c>
      <c r="S26" s="249">
        <f t="shared" si="20"/>
        <v>181.34692051522777</v>
      </c>
      <c r="T26" s="249">
        <f t="shared" si="21"/>
        <v>214.78022090234066</v>
      </c>
      <c r="U26" s="249" t="e">
        <f t="shared" si="22"/>
        <v>#REF!</v>
      </c>
      <c r="V26" s="251">
        <f t="shared" si="23"/>
        <v>0</v>
      </c>
    </row>
    <row r="27" spans="1:22" x14ac:dyDescent="0.3">
      <c r="A27" s="1019"/>
      <c r="B27" s="237">
        <v>1</v>
      </c>
      <c r="C27" s="247">
        <v>1350</v>
      </c>
      <c r="D27" s="51"/>
      <c r="E27" s="247">
        <f t="shared" si="26"/>
        <v>112.455</v>
      </c>
      <c r="F27" s="247">
        <f t="shared" si="24"/>
        <v>32.833333333333336</v>
      </c>
      <c r="G27" s="247">
        <f t="shared" si="27"/>
        <v>112.5</v>
      </c>
      <c r="H27" s="247">
        <f t="shared" si="28"/>
        <v>150.52500000000001</v>
      </c>
      <c r="I27" s="247">
        <f t="shared" si="29"/>
        <v>1758.3133333333333</v>
      </c>
      <c r="J27" s="247"/>
      <c r="K27" s="359">
        <f t="shared" si="25"/>
        <v>1758.3133333333333</v>
      </c>
      <c r="L27" s="351"/>
      <c r="M27" s="345">
        <f t="shared" si="5"/>
        <v>22.337243277577809</v>
      </c>
      <c r="N27" s="249">
        <f t="shared" si="15"/>
        <v>64.733331018420486</v>
      </c>
      <c r="O27" s="249">
        <f t="shared" si="16"/>
        <v>80.467774532119407</v>
      </c>
      <c r="P27" s="249">
        <f t="shared" si="17"/>
        <v>116.93454808499885</v>
      </c>
      <c r="Q27" s="249">
        <f t="shared" si="18"/>
        <v>127.3444674579068</v>
      </c>
      <c r="R27" s="249">
        <f t="shared" si="19"/>
        <v>159.74738436072701</v>
      </c>
      <c r="S27" s="249">
        <f t="shared" si="20"/>
        <v>167.90534854553164</v>
      </c>
      <c r="T27" s="249">
        <f t="shared" si="21"/>
        <v>198.86054722536952</v>
      </c>
      <c r="U27" s="249" t="e">
        <f t="shared" si="22"/>
        <v>#REF!</v>
      </c>
      <c r="V27" s="251">
        <f t="shared" si="23"/>
        <v>0</v>
      </c>
    </row>
    <row r="28" spans="1:22" x14ac:dyDescent="0.3">
      <c r="A28" s="1019"/>
      <c r="B28" s="237">
        <v>1</v>
      </c>
      <c r="C28" s="247">
        <v>3600</v>
      </c>
      <c r="D28" s="51"/>
      <c r="E28" s="247">
        <f t="shared" si="26"/>
        <v>299.88</v>
      </c>
      <c r="F28" s="247">
        <f t="shared" si="24"/>
        <v>32.833333333333336</v>
      </c>
      <c r="G28" s="247">
        <f t="shared" si="27"/>
        <v>300</v>
      </c>
      <c r="H28" s="247">
        <f t="shared" si="28"/>
        <v>401.40000000000003</v>
      </c>
      <c r="I28" s="247">
        <f t="shared" si="29"/>
        <v>4634.1133333333328</v>
      </c>
      <c r="J28" s="247"/>
      <c r="K28" s="359">
        <f t="shared" si="25"/>
        <v>4634.1133333333328</v>
      </c>
      <c r="L28" s="351"/>
      <c r="M28" s="345">
        <f t="shared" si="5"/>
        <v>58.870802456066059</v>
      </c>
      <c r="N28" s="249">
        <f t="shared" si="15"/>
        <v>170.60758551767941</v>
      </c>
      <c r="O28" s="249">
        <f t="shared" si="16"/>
        <v>212.07641425094218</v>
      </c>
      <c r="P28" s="249">
        <f t="shared" si="17"/>
        <v>308.18622490947826</v>
      </c>
      <c r="Q28" s="249">
        <f t="shared" si="18"/>
        <v>335.6220324247775</v>
      </c>
      <c r="R28" s="249">
        <f t="shared" si="19"/>
        <v>421.02136735081524</v>
      </c>
      <c r="S28" s="249">
        <f t="shared" si="20"/>
        <v>442.52204637370016</v>
      </c>
      <c r="T28" s="249">
        <f t="shared" si="21"/>
        <v>524.10585525392594</v>
      </c>
      <c r="U28" s="249" t="e">
        <f t="shared" si="22"/>
        <v>#REF!</v>
      </c>
      <c r="V28" s="251">
        <f t="shared" si="23"/>
        <v>0</v>
      </c>
    </row>
    <row r="29" spans="1:22" x14ac:dyDescent="0.3">
      <c r="A29" s="1019"/>
      <c r="B29" s="237">
        <v>1</v>
      </c>
      <c r="C29" s="247">
        <v>850</v>
      </c>
      <c r="D29" s="51"/>
      <c r="E29" s="247">
        <f t="shared" si="26"/>
        <v>70.804999999999993</v>
      </c>
      <c r="F29" s="247">
        <f t="shared" si="24"/>
        <v>32.833333333333336</v>
      </c>
      <c r="G29" s="247">
        <f t="shared" si="27"/>
        <v>70.833333333333329</v>
      </c>
      <c r="H29" s="247">
        <f t="shared" si="28"/>
        <v>94.775000000000006</v>
      </c>
      <c r="I29" s="247">
        <f t="shared" si="29"/>
        <v>1119.2466666666667</v>
      </c>
      <c r="J29" s="247"/>
      <c r="K29" s="359">
        <f t="shared" si="25"/>
        <v>1119.2466666666667</v>
      </c>
      <c r="L29" s="351"/>
      <c r="M29" s="345">
        <f t="shared" si="5"/>
        <v>14.218674571247089</v>
      </c>
      <c r="N29" s="249">
        <f t="shared" si="15"/>
        <v>41.205718907474065</v>
      </c>
      <c r="O29" s="249">
        <f t="shared" si="16"/>
        <v>51.221410150158803</v>
      </c>
      <c r="P29" s="249">
        <f t="shared" si="17"/>
        <v>74.434175457336778</v>
      </c>
      <c r="Q29" s="249">
        <f t="shared" si="18"/>
        <v>81.060564131935521</v>
      </c>
      <c r="R29" s="249">
        <f t="shared" si="19"/>
        <v>101.6864992518185</v>
      </c>
      <c r="S29" s="249">
        <f t="shared" si="20"/>
        <v>106.87941569482751</v>
      </c>
      <c r="T29" s="249">
        <f t="shared" si="21"/>
        <v>126.58381210791256</v>
      </c>
      <c r="U29" s="249" t="e">
        <f t="shared" si="22"/>
        <v>#REF!</v>
      </c>
      <c r="V29" s="251">
        <f t="shared" si="23"/>
        <v>0</v>
      </c>
    </row>
    <row r="30" spans="1:22" x14ac:dyDescent="0.3">
      <c r="A30" s="1019"/>
      <c r="B30" s="237">
        <v>1</v>
      </c>
      <c r="C30" s="247">
        <v>2000</v>
      </c>
      <c r="D30" s="51"/>
      <c r="E30" s="247">
        <f t="shared" si="26"/>
        <v>166.6</v>
      </c>
      <c r="F30" s="247">
        <f t="shared" si="24"/>
        <v>32.833333333333336</v>
      </c>
      <c r="G30" s="247">
        <f t="shared" si="27"/>
        <v>166.66666666666666</v>
      </c>
      <c r="H30" s="247">
        <f t="shared" si="28"/>
        <v>223</v>
      </c>
      <c r="I30" s="247">
        <f t="shared" si="29"/>
        <v>2589.1</v>
      </c>
      <c r="J30" s="247"/>
      <c r="K30" s="359">
        <f t="shared" si="25"/>
        <v>2589.1</v>
      </c>
      <c r="L30" s="351"/>
      <c r="M30" s="345">
        <f t="shared" si="5"/>
        <v>32.891382595807748</v>
      </c>
      <c r="N30" s="249">
        <f t="shared" si="15"/>
        <v>95.319226762650857</v>
      </c>
      <c r="O30" s="249">
        <f t="shared" si="16"/>
        <v>118.48804822866822</v>
      </c>
      <c r="P30" s="249">
        <f t="shared" si="17"/>
        <v>172.18503250095955</v>
      </c>
      <c r="Q30" s="249">
        <f t="shared" si="18"/>
        <v>187.51354178166946</v>
      </c>
      <c r="R30" s="249">
        <f t="shared" si="19"/>
        <v>235.22653500230808</v>
      </c>
      <c r="S30" s="249">
        <f t="shared" si="20"/>
        <v>247.23906125144703</v>
      </c>
      <c r="T30" s="249">
        <f t="shared" si="21"/>
        <v>292.82030287806356</v>
      </c>
      <c r="U30" s="249" t="e">
        <f t="shared" si="22"/>
        <v>#REF!</v>
      </c>
      <c r="V30" s="251">
        <f t="shared" si="23"/>
        <v>0</v>
      </c>
    </row>
    <row r="31" spans="1:22" x14ac:dyDescent="0.3">
      <c r="A31" s="1019"/>
      <c r="B31" s="237">
        <v>1</v>
      </c>
      <c r="C31" s="247">
        <v>650</v>
      </c>
      <c r="D31" s="51"/>
      <c r="E31" s="247">
        <f t="shared" si="26"/>
        <v>54.144999999999996</v>
      </c>
      <c r="F31" s="247">
        <f t="shared" si="24"/>
        <v>32.833333333333336</v>
      </c>
      <c r="G31" s="247">
        <f t="shared" si="27"/>
        <v>54.166666666666664</v>
      </c>
      <c r="H31" s="247">
        <f t="shared" si="28"/>
        <v>72.474999999999994</v>
      </c>
      <c r="I31" s="247">
        <f t="shared" si="29"/>
        <v>863.62</v>
      </c>
      <c r="J31" s="247"/>
      <c r="K31" s="359">
        <f t="shared" si="25"/>
        <v>863.62</v>
      </c>
      <c r="L31" s="351"/>
      <c r="M31" s="345">
        <f t="shared" si="5"/>
        <v>10.971247088714799</v>
      </c>
      <c r="N31" s="249">
        <f t="shared" si="15"/>
        <v>31.794674063095485</v>
      </c>
      <c r="O31" s="249">
        <f t="shared" si="16"/>
        <v>39.522864397374548</v>
      </c>
      <c r="P31" s="249">
        <f t="shared" si="17"/>
        <v>57.434026406271954</v>
      </c>
      <c r="Q31" s="249">
        <f t="shared" si="18"/>
        <v>62.547002801547016</v>
      </c>
      <c r="R31" s="249">
        <f t="shared" si="19"/>
        <v>78.462145208255109</v>
      </c>
      <c r="S31" s="249">
        <f t="shared" si="20"/>
        <v>82.469042554545851</v>
      </c>
      <c r="T31" s="249">
        <f t="shared" si="21"/>
        <v>97.673118060929767</v>
      </c>
      <c r="U31" s="249" t="e">
        <f t="shared" si="22"/>
        <v>#REF!</v>
      </c>
      <c r="V31" s="251">
        <f t="shared" si="23"/>
        <v>0</v>
      </c>
    </row>
    <row r="32" spans="1:22" x14ac:dyDescent="0.3">
      <c r="A32" s="1019"/>
      <c r="B32" s="237">
        <v>1</v>
      </c>
      <c r="C32" s="247">
        <v>820</v>
      </c>
      <c r="D32" s="51"/>
      <c r="E32" s="247">
        <f t="shared" si="26"/>
        <v>68.305999999999997</v>
      </c>
      <c r="F32" s="247">
        <f t="shared" si="24"/>
        <v>32.833333333333336</v>
      </c>
      <c r="G32" s="247">
        <f t="shared" si="27"/>
        <v>68.333333333333329</v>
      </c>
      <c r="H32" s="247">
        <f t="shared" si="28"/>
        <v>91.43</v>
      </c>
      <c r="I32" s="247">
        <f t="shared" si="29"/>
        <v>1080.9026666666668</v>
      </c>
      <c r="J32" s="247"/>
      <c r="K32" s="359">
        <f t="shared" si="25"/>
        <v>1080.9026666666668</v>
      </c>
      <c r="L32" s="351"/>
      <c r="M32" s="345">
        <f t="shared" si="5"/>
        <v>13.731560448867246</v>
      </c>
      <c r="N32" s="249">
        <f t="shared" si="15"/>
        <v>39.794062180817278</v>
      </c>
      <c r="O32" s="249">
        <f t="shared" si="16"/>
        <v>49.466628287241164</v>
      </c>
      <c r="P32" s="249">
        <f t="shared" si="17"/>
        <v>71.884153099677064</v>
      </c>
      <c r="Q32" s="249">
        <f t="shared" si="18"/>
        <v>78.283529932377263</v>
      </c>
      <c r="R32" s="249">
        <f t="shared" si="19"/>
        <v>98.202846145284013</v>
      </c>
      <c r="S32" s="249">
        <f t="shared" si="20"/>
        <v>103.21785972378527</v>
      </c>
      <c r="T32" s="249">
        <f t="shared" si="21"/>
        <v>122.24720800086516</v>
      </c>
      <c r="U32" s="249" t="e">
        <f t="shared" si="22"/>
        <v>#REF!</v>
      </c>
      <c r="V32" s="251">
        <f t="shared" si="23"/>
        <v>0</v>
      </c>
    </row>
    <row r="33" spans="1:22" x14ac:dyDescent="0.3">
      <c r="A33" s="1019"/>
      <c r="B33" s="237">
        <v>1</v>
      </c>
      <c r="C33" s="247">
        <v>700</v>
      </c>
      <c r="D33" s="51"/>
      <c r="E33" s="247">
        <f t="shared" si="26"/>
        <v>58.31</v>
      </c>
      <c r="F33" s="247">
        <f t="shared" si="24"/>
        <v>32.833333333333336</v>
      </c>
      <c r="G33" s="247">
        <f t="shared" si="27"/>
        <v>58.333333333333336</v>
      </c>
      <c r="H33" s="247">
        <f t="shared" si="28"/>
        <v>78.05</v>
      </c>
      <c r="I33" s="247">
        <f t="shared" si="29"/>
        <v>927.52666666666664</v>
      </c>
      <c r="J33" s="247"/>
      <c r="K33" s="359">
        <f t="shared" si="25"/>
        <v>927.52666666666664</v>
      </c>
      <c r="L33" s="351"/>
      <c r="M33" s="345">
        <f t="shared" si="5"/>
        <v>11.783103959347873</v>
      </c>
      <c r="N33" s="249">
        <f t="shared" si="15"/>
        <v>34.14743527419013</v>
      </c>
      <c r="O33" s="249">
        <f t="shared" si="16"/>
        <v>42.447500835570615</v>
      </c>
      <c r="P33" s="249">
        <f t="shared" si="17"/>
        <v>61.68406366903816</v>
      </c>
      <c r="Q33" s="249">
        <f t="shared" si="18"/>
        <v>67.175393134144144</v>
      </c>
      <c r="R33" s="249">
        <f t="shared" si="19"/>
        <v>84.268233719145968</v>
      </c>
      <c r="S33" s="249">
        <f t="shared" si="20"/>
        <v>88.571635839616278</v>
      </c>
      <c r="T33" s="249">
        <f t="shared" si="21"/>
        <v>104.90079157267549</v>
      </c>
      <c r="U33" s="249" t="e">
        <f t="shared" si="22"/>
        <v>#REF!</v>
      </c>
      <c r="V33" s="251">
        <f t="shared" si="23"/>
        <v>0</v>
      </c>
    </row>
    <row r="34" spans="1:22" ht="10.8" thickBot="1" x14ac:dyDescent="0.35">
      <c r="A34" s="1020"/>
      <c r="B34" s="239">
        <v>1</v>
      </c>
      <c r="C34" s="233">
        <v>820</v>
      </c>
      <c r="D34" s="139"/>
      <c r="E34" s="233">
        <f t="shared" si="26"/>
        <v>68.305999999999997</v>
      </c>
      <c r="F34" s="247">
        <f t="shared" si="24"/>
        <v>32.833333333333336</v>
      </c>
      <c r="G34" s="233">
        <f t="shared" si="27"/>
        <v>68.333333333333329</v>
      </c>
      <c r="H34" s="233">
        <f t="shared" si="28"/>
        <v>91.43</v>
      </c>
      <c r="I34" s="233">
        <f t="shared" si="29"/>
        <v>1080.9026666666668</v>
      </c>
      <c r="J34" s="233"/>
      <c r="K34" s="360">
        <f t="shared" si="25"/>
        <v>1080.9026666666668</v>
      </c>
      <c r="L34" s="351"/>
      <c r="M34" s="346">
        <f t="shared" si="5"/>
        <v>13.731560448867246</v>
      </c>
      <c r="N34" s="347">
        <f t="shared" si="15"/>
        <v>39.794062180817278</v>
      </c>
      <c r="O34" s="347">
        <f t="shared" si="16"/>
        <v>49.466628287241164</v>
      </c>
      <c r="P34" s="347">
        <f t="shared" si="17"/>
        <v>71.884153099677064</v>
      </c>
      <c r="Q34" s="347">
        <f t="shared" si="18"/>
        <v>78.283529932377263</v>
      </c>
      <c r="R34" s="347">
        <f t="shared" si="19"/>
        <v>98.202846145284013</v>
      </c>
      <c r="S34" s="347">
        <f t="shared" si="20"/>
        <v>103.21785972378527</v>
      </c>
      <c r="T34" s="347">
        <f t="shared" si="21"/>
        <v>122.24720800086516</v>
      </c>
      <c r="U34" s="347" t="e">
        <f t="shared" si="22"/>
        <v>#REF!</v>
      </c>
      <c r="V34" s="348">
        <f t="shared" si="23"/>
        <v>0</v>
      </c>
    </row>
    <row r="35" spans="1:22" x14ac:dyDescent="0.3">
      <c r="A35" s="1018" t="s">
        <v>232</v>
      </c>
      <c r="B35" s="236">
        <v>1</v>
      </c>
      <c r="C35" s="245">
        <v>650</v>
      </c>
      <c r="D35" s="255"/>
      <c r="E35" s="245">
        <f t="shared" si="26"/>
        <v>54.144999999999996</v>
      </c>
      <c r="F35" s="245">
        <f>(394/12)</f>
        <v>32.833333333333336</v>
      </c>
      <c r="G35" s="245">
        <f t="shared" si="27"/>
        <v>54.166666666666664</v>
      </c>
      <c r="H35" s="245">
        <f t="shared" si="28"/>
        <v>72.474999999999994</v>
      </c>
      <c r="I35" s="245">
        <f t="shared" si="29"/>
        <v>863.62</v>
      </c>
      <c r="J35" s="245"/>
      <c r="K35" s="362">
        <f t="shared" si="25"/>
        <v>863.62</v>
      </c>
      <c r="L35" s="351"/>
      <c r="M35" s="345">
        <f t="shared" si="5"/>
        <v>10.971247088714799</v>
      </c>
      <c r="N35" s="249">
        <f t="shared" si="15"/>
        <v>31.794674063095485</v>
      </c>
      <c r="O35" s="249">
        <f t="shared" si="16"/>
        <v>39.522864397374548</v>
      </c>
      <c r="P35" s="249">
        <f t="shared" si="17"/>
        <v>57.434026406271954</v>
      </c>
      <c r="Q35" s="249">
        <f t="shared" si="18"/>
        <v>62.547002801547016</v>
      </c>
      <c r="R35" s="249">
        <f t="shared" si="19"/>
        <v>78.462145208255109</v>
      </c>
      <c r="S35" s="249">
        <f t="shared" si="20"/>
        <v>82.469042554545851</v>
      </c>
      <c r="T35" s="249">
        <f t="shared" si="21"/>
        <v>97.673118060929767</v>
      </c>
      <c r="U35" s="249" t="e">
        <f t="shared" si="22"/>
        <v>#REF!</v>
      </c>
      <c r="V35" s="251">
        <f t="shared" si="23"/>
        <v>0</v>
      </c>
    </row>
    <row r="36" spans="1:22" x14ac:dyDescent="0.3">
      <c r="A36" s="1019"/>
      <c r="B36" s="237">
        <v>1</v>
      </c>
      <c r="C36" s="247">
        <v>800</v>
      </c>
      <c r="D36" s="51"/>
      <c r="E36" s="247">
        <f t="shared" si="26"/>
        <v>66.64</v>
      </c>
      <c r="F36" s="247">
        <f>(394/12)</f>
        <v>32.833333333333336</v>
      </c>
      <c r="G36" s="247">
        <f t="shared" si="27"/>
        <v>66.666666666666671</v>
      </c>
      <c r="H36" s="247">
        <f t="shared" si="28"/>
        <v>89.2</v>
      </c>
      <c r="I36" s="247">
        <f t="shared" si="29"/>
        <v>1055.3399999999999</v>
      </c>
      <c r="J36" s="247"/>
      <c r="K36" s="359">
        <f t="shared" si="25"/>
        <v>1055.3399999999999</v>
      </c>
      <c r="L36" s="351"/>
      <c r="M36" s="345">
        <f t="shared" si="5"/>
        <v>13.406817700614017</v>
      </c>
      <c r="N36" s="249">
        <f t="shared" si="15"/>
        <v>38.85295769637942</v>
      </c>
      <c r="O36" s="249">
        <f t="shared" si="16"/>
        <v>48.296773711962729</v>
      </c>
      <c r="P36" s="249">
        <f t="shared" si="17"/>
        <v>70.184138194570565</v>
      </c>
      <c r="Q36" s="249">
        <f t="shared" si="18"/>
        <v>76.432173799338386</v>
      </c>
      <c r="R36" s="249">
        <f t="shared" si="19"/>
        <v>95.880410740927658</v>
      </c>
      <c r="S36" s="249">
        <f t="shared" si="20"/>
        <v>100.77682240975707</v>
      </c>
      <c r="T36" s="249">
        <f t="shared" si="21"/>
        <v>119.35613859616686</v>
      </c>
      <c r="U36" s="249" t="e">
        <f t="shared" si="22"/>
        <v>#REF!</v>
      </c>
      <c r="V36" s="251">
        <f t="shared" si="23"/>
        <v>0</v>
      </c>
    </row>
    <row r="37" spans="1:22" x14ac:dyDescent="0.3">
      <c r="A37" s="1019"/>
      <c r="B37" s="237">
        <v>1</v>
      </c>
      <c r="C37" s="247">
        <v>650</v>
      </c>
      <c r="D37" s="51"/>
      <c r="E37" s="247">
        <f t="shared" si="26"/>
        <v>54.144999999999996</v>
      </c>
      <c r="F37" s="247">
        <f>(394/12)</f>
        <v>32.833333333333336</v>
      </c>
      <c r="G37" s="247">
        <f t="shared" si="27"/>
        <v>54.166666666666664</v>
      </c>
      <c r="H37" s="247">
        <f t="shared" si="28"/>
        <v>72.474999999999994</v>
      </c>
      <c r="I37" s="247">
        <f t="shared" si="29"/>
        <v>863.62</v>
      </c>
      <c r="J37" s="247"/>
      <c r="K37" s="359">
        <f t="shared" si="25"/>
        <v>863.62</v>
      </c>
      <c r="L37" s="351"/>
      <c r="M37" s="345">
        <f t="shared" si="5"/>
        <v>10.971247088714799</v>
      </c>
      <c r="N37" s="249">
        <f t="shared" si="15"/>
        <v>31.794674063095485</v>
      </c>
      <c r="O37" s="249">
        <f t="shared" si="16"/>
        <v>39.522864397374548</v>
      </c>
      <c r="P37" s="249">
        <f t="shared" si="17"/>
        <v>57.434026406271954</v>
      </c>
      <c r="Q37" s="249">
        <f t="shared" si="18"/>
        <v>62.547002801547016</v>
      </c>
      <c r="R37" s="249">
        <f t="shared" si="19"/>
        <v>78.462145208255109</v>
      </c>
      <c r="S37" s="249">
        <f t="shared" si="20"/>
        <v>82.469042554545851</v>
      </c>
      <c r="T37" s="249">
        <f t="shared" si="21"/>
        <v>97.673118060929767</v>
      </c>
      <c r="U37" s="249" t="e">
        <f t="shared" si="22"/>
        <v>#REF!</v>
      </c>
      <c r="V37" s="251">
        <f t="shared" si="23"/>
        <v>0</v>
      </c>
    </row>
    <row r="38" spans="1:22" x14ac:dyDescent="0.3">
      <c r="A38" s="1019"/>
      <c r="B38" s="237">
        <v>1</v>
      </c>
      <c r="C38" s="247">
        <v>700</v>
      </c>
      <c r="D38" s="51"/>
      <c r="E38" s="247">
        <f t="shared" si="26"/>
        <v>58.31</v>
      </c>
      <c r="F38" s="247">
        <f>(394/12)</f>
        <v>32.833333333333336</v>
      </c>
      <c r="G38" s="247">
        <f t="shared" si="27"/>
        <v>58.333333333333336</v>
      </c>
      <c r="H38" s="247">
        <f t="shared" si="28"/>
        <v>78.05</v>
      </c>
      <c r="I38" s="247">
        <f t="shared" si="29"/>
        <v>927.52666666666664</v>
      </c>
      <c r="J38" s="247"/>
      <c r="K38" s="359">
        <f t="shared" si="25"/>
        <v>927.52666666666664</v>
      </c>
      <c r="L38" s="351"/>
      <c r="M38" s="345">
        <f t="shared" si="5"/>
        <v>11.783103959347873</v>
      </c>
      <c r="N38" s="249">
        <f t="shared" si="15"/>
        <v>34.14743527419013</v>
      </c>
      <c r="O38" s="249">
        <f t="shared" si="16"/>
        <v>42.447500835570615</v>
      </c>
      <c r="P38" s="249">
        <f t="shared" si="17"/>
        <v>61.68406366903816</v>
      </c>
      <c r="Q38" s="249">
        <f t="shared" si="18"/>
        <v>67.175393134144144</v>
      </c>
      <c r="R38" s="249">
        <f t="shared" si="19"/>
        <v>84.268233719145968</v>
      </c>
      <c r="S38" s="249">
        <f t="shared" si="20"/>
        <v>88.571635839616278</v>
      </c>
      <c r="T38" s="249">
        <f t="shared" si="21"/>
        <v>104.90079157267549</v>
      </c>
      <c r="U38" s="249" t="e">
        <f t="shared" si="22"/>
        <v>#REF!</v>
      </c>
      <c r="V38" s="251">
        <f t="shared" si="23"/>
        <v>0</v>
      </c>
    </row>
    <row r="39" spans="1:22" x14ac:dyDescent="0.3">
      <c r="A39" s="1019"/>
      <c r="B39" s="237">
        <v>1</v>
      </c>
      <c r="C39" s="247">
        <v>900</v>
      </c>
      <c r="D39" s="51"/>
      <c r="E39" s="247">
        <f t="shared" si="26"/>
        <v>74.97</v>
      </c>
      <c r="F39" s="247">
        <f>(394/12)</f>
        <v>32.833333333333336</v>
      </c>
      <c r="G39" s="247">
        <f t="shared" si="27"/>
        <v>75</v>
      </c>
      <c r="H39" s="247">
        <f t="shared" si="28"/>
        <v>100.35000000000001</v>
      </c>
      <c r="I39" s="247">
        <f t="shared" si="29"/>
        <v>1183.1533333333332</v>
      </c>
      <c r="J39" s="247"/>
      <c r="K39" s="359">
        <f t="shared" si="25"/>
        <v>1183.1533333333332</v>
      </c>
      <c r="L39" s="351"/>
      <c r="M39" s="345">
        <f t="shared" si="5"/>
        <v>15.030531441880157</v>
      </c>
      <c r="N39" s="249">
        <f t="shared" si="15"/>
        <v>43.558480118568703</v>
      </c>
      <c r="O39" s="249">
        <f t="shared" si="16"/>
        <v>54.146046588354849</v>
      </c>
      <c r="P39" s="249">
        <f t="shared" si="17"/>
        <v>78.684212720102977</v>
      </c>
      <c r="Q39" s="249">
        <f t="shared" si="18"/>
        <v>85.688954464532642</v>
      </c>
      <c r="R39" s="249">
        <f t="shared" si="19"/>
        <v>107.49258776270935</v>
      </c>
      <c r="S39" s="249">
        <f t="shared" si="20"/>
        <v>112.9820089798979</v>
      </c>
      <c r="T39" s="249">
        <f t="shared" si="21"/>
        <v>133.81148561965824</v>
      </c>
      <c r="U39" s="249" t="e">
        <f t="shared" si="22"/>
        <v>#REF!</v>
      </c>
      <c r="V39" s="251">
        <f t="shared" si="23"/>
        <v>0</v>
      </c>
    </row>
    <row r="40" spans="1:22" x14ac:dyDescent="0.3">
      <c r="A40" s="1019"/>
      <c r="B40" s="237"/>
      <c r="C40" s="247"/>
      <c r="D40" s="51"/>
      <c r="E40" s="247">
        <f t="shared" si="26"/>
        <v>0</v>
      </c>
      <c r="F40" s="247"/>
      <c r="G40" s="247">
        <f t="shared" si="27"/>
        <v>0</v>
      </c>
      <c r="H40" s="247">
        <f t="shared" si="28"/>
        <v>0</v>
      </c>
      <c r="I40" s="247">
        <f t="shared" si="29"/>
        <v>0</v>
      </c>
      <c r="J40" s="247"/>
      <c r="K40" s="359">
        <f t="shared" si="25"/>
        <v>0</v>
      </c>
      <c r="L40" s="351"/>
      <c r="M40" s="345">
        <f t="shared" si="5"/>
        <v>0</v>
      </c>
      <c r="N40" s="249">
        <f t="shared" si="15"/>
        <v>0</v>
      </c>
      <c r="O40" s="249">
        <f t="shared" si="16"/>
        <v>0</v>
      </c>
      <c r="P40" s="249">
        <f t="shared" si="17"/>
        <v>0</v>
      </c>
      <c r="Q40" s="249">
        <f t="shared" si="18"/>
        <v>0</v>
      </c>
      <c r="R40" s="249">
        <f t="shared" si="19"/>
        <v>0</v>
      </c>
      <c r="S40" s="249">
        <f t="shared" si="20"/>
        <v>0</v>
      </c>
      <c r="T40" s="249">
        <f t="shared" si="21"/>
        <v>0</v>
      </c>
      <c r="U40" s="249" t="e">
        <f t="shared" si="22"/>
        <v>#REF!</v>
      </c>
      <c r="V40" s="251">
        <f t="shared" si="23"/>
        <v>0</v>
      </c>
    </row>
    <row r="41" spans="1:22" ht="10.8" thickBot="1" x14ac:dyDescent="0.35">
      <c r="A41" s="1020"/>
      <c r="B41" s="239"/>
      <c r="C41" s="233"/>
      <c r="D41" s="139"/>
      <c r="E41" s="233">
        <f t="shared" si="26"/>
        <v>0</v>
      </c>
      <c r="F41" s="233"/>
      <c r="G41" s="233">
        <f t="shared" si="27"/>
        <v>0</v>
      </c>
      <c r="H41" s="233">
        <f t="shared" si="28"/>
        <v>0</v>
      </c>
      <c r="I41" s="233">
        <f t="shared" si="29"/>
        <v>0</v>
      </c>
      <c r="J41" s="233"/>
      <c r="K41" s="360">
        <f t="shared" si="25"/>
        <v>0</v>
      </c>
      <c r="L41" s="351"/>
      <c r="M41" s="346">
        <f t="shared" si="5"/>
        <v>0</v>
      </c>
      <c r="N41" s="347">
        <f t="shared" si="15"/>
        <v>0</v>
      </c>
      <c r="O41" s="347">
        <f t="shared" si="16"/>
        <v>0</v>
      </c>
      <c r="P41" s="347">
        <f t="shared" si="17"/>
        <v>0</v>
      </c>
      <c r="Q41" s="347">
        <f t="shared" si="18"/>
        <v>0</v>
      </c>
      <c r="R41" s="347">
        <f t="shared" si="19"/>
        <v>0</v>
      </c>
      <c r="S41" s="347">
        <f t="shared" si="20"/>
        <v>0</v>
      </c>
      <c r="T41" s="347">
        <f t="shared" si="21"/>
        <v>0</v>
      </c>
      <c r="U41" s="347" t="e">
        <f t="shared" si="22"/>
        <v>#REF!</v>
      </c>
      <c r="V41" s="348">
        <f t="shared" si="23"/>
        <v>0</v>
      </c>
    </row>
    <row r="42" spans="1:22" x14ac:dyDescent="0.3">
      <c r="A42" s="1018" t="s">
        <v>233</v>
      </c>
      <c r="B42" s="236">
        <v>1</v>
      </c>
      <c r="C42" s="245">
        <v>820</v>
      </c>
      <c r="D42" s="255"/>
      <c r="E42" s="245">
        <f>+C42*0.0833</f>
        <v>68.305999999999997</v>
      </c>
      <c r="F42" s="245">
        <f t="shared" ref="F42:F53" si="30">(394/12)</f>
        <v>32.833333333333336</v>
      </c>
      <c r="G42" s="245">
        <f>+C42/12</f>
        <v>68.333333333333329</v>
      </c>
      <c r="H42" s="245">
        <f>+C42*0.1115</f>
        <v>91.43</v>
      </c>
      <c r="I42" s="245">
        <f>SUM(C42:H42)</f>
        <v>1080.9026666666668</v>
      </c>
      <c r="J42" s="245"/>
      <c r="K42" s="362">
        <f t="shared" si="25"/>
        <v>1080.9026666666668</v>
      </c>
      <c r="L42" s="351"/>
      <c r="M42" s="366">
        <f t="shared" si="5"/>
        <v>13.731560448867246</v>
      </c>
      <c r="N42" s="245">
        <f t="shared" si="15"/>
        <v>39.794062180817278</v>
      </c>
      <c r="O42" s="245">
        <f t="shared" si="16"/>
        <v>49.466628287241164</v>
      </c>
      <c r="P42" s="245">
        <f t="shared" si="17"/>
        <v>71.884153099677064</v>
      </c>
      <c r="Q42" s="245">
        <f t="shared" si="18"/>
        <v>78.283529932377263</v>
      </c>
      <c r="R42" s="245">
        <f t="shared" si="19"/>
        <v>98.202846145284013</v>
      </c>
      <c r="S42" s="245">
        <f t="shared" si="20"/>
        <v>103.21785972378527</v>
      </c>
      <c r="T42" s="245">
        <f t="shared" si="21"/>
        <v>122.24720800086516</v>
      </c>
      <c r="U42" s="245" t="e">
        <f t="shared" si="22"/>
        <v>#REF!</v>
      </c>
      <c r="V42" s="246">
        <f t="shared" si="23"/>
        <v>0</v>
      </c>
    </row>
    <row r="43" spans="1:22" x14ac:dyDescent="0.3">
      <c r="A43" s="1019"/>
      <c r="B43" s="237">
        <v>1</v>
      </c>
      <c r="C43" s="247">
        <v>820</v>
      </c>
      <c r="D43" s="51"/>
      <c r="E43" s="247">
        <f t="shared" ref="E43:E62" si="31">+C43*0.0833</f>
        <v>68.305999999999997</v>
      </c>
      <c r="F43" s="247">
        <f t="shared" si="30"/>
        <v>32.833333333333336</v>
      </c>
      <c r="G43" s="247">
        <f t="shared" ref="G43:G62" si="32">+C43/12</f>
        <v>68.333333333333329</v>
      </c>
      <c r="H43" s="247">
        <f t="shared" ref="H43:H62" si="33">+C43*0.1115</f>
        <v>91.43</v>
      </c>
      <c r="I43" s="247">
        <f t="shared" ref="I43:I62" si="34">SUM(C43:H43)</f>
        <v>1080.9026666666668</v>
      </c>
      <c r="J43" s="247"/>
      <c r="K43" s="359">
        <f t="shared" si="25"/>
        <v>1080.9026666666668</v>
      </c>
      <c r="L43" s="351"/>
      <c r="M43" s="345">
        <f t="shared" si="5"/>
        <v>13.731560448867246</v>
      </c>
      <c r="N43" s="249">
        <f t="shared" si="15"/>
        <v>39.794062180817278</v>
      </c>
      <c r="O43" s="249">
        <f t="shared" si="16"/>
        <v>49.466628287241164</v>
      </c>
      <c r="P43" s="249">
        <f t="shared" si="17"/>
        <v>71.884153099677064</v>
      </c>
      <c r="Q43" s="249">
        <f t="shared" si="18"/>
        <v>78.283529932377263</v>
      </c>
      <c r="R43" s="249">
        <f t="shared" si="19"/>
        <v>98.202846145284013</v>
      </c>
      <c r="S43" s="249">
        <f t="shared" si="20"/>
        <v>103.21785972378527</v>
      </c>
      <c r="T43" s="249">
        <f t="shared" si="21"/>
        <v>122.24720800086516</v>
      </c>
      <c r="U43" s="249" t="e">
        <f t="shared" si="22"/>
        <v>#REF!</v>
      </c>
      <c r="V43" s="251">
        <f t="shared" si="23"/>
        <v>0</v>
      </c>
    </row>
    <row r="44" spans="1:22" x14ac:dyDescent="0.3">
      <c r="A44" s="1019"/>
      <c r="B44" s="237">
        <v>1</v>
      </c>
      <c r="C44" s="247">
        <v>820</v>
      </c>
      <c r="D44" s="51"/>
      <c r="E44" s="247">
        <f t="shared" si="31"/>
        <v>68.305999999999997</v>
      </c>
      <c r="F44" s="247">
        <f t="shared" si="30"/>
        <v>32.833333333333336</v>
      </c>
      <c r="G44" s="247">
        <f t="shared" si="32"/>
        <v>68.333333333333329</v>
      </c>
      <c r="H44" s="247">
        <f t="shared" si="33"/>
        <v>91.43</v>
      </c>
      <c r="I44" s="247">
        <f t="shared" si="34"/>
        <v>1080.9026666666668</v>
      </c>
      <c r="J44" s="247"/>
      <c r="K44" s="359">
        <f t="shared" si="25"/>
        <v>1080.9026666666668</v>
      </c>
      <c r="L44" s="351"/>
      <c r="M44" s="345">
        <f t="shared" si="5"/>
        <v>13.731560448867246</v>
      </c>
      <c r="N44" s="249">
        <f t="shared" si="15"/>
        <v>39.794062180817278</v>
      </c>
      <c r="O44" s="249">
        <f t="shared" si="16"/>
        <v>49.466628287241164</v>
      </c>
      <c r="P44" s="249">
        <f t="shared" si="17"/>
        <v>71.884153099677064</v>
      </c>
      <c r="Q44" s="249">
        <f t="shared" si="18"/>
        <v>78.283529932377263</v>
      </c>
      <c r="R44" s="249">
        <f t="shared" si="19"/>
        <v>98.202846145284013</v>
      </c>
      <c r="S44" s="249">
        <f t="shared" si="20"/>
        <v>103.21785972378527</v>
      </c>
      <c r="T44" s="249">
        <f t="shared" si="21"/>
        <v>122.24720800086516</v>
      </c>
      <c r="U44" s="249" t="e">
        <f t="shared" si="22"/>
        <v>#REF!</v>
      </c>
      <c r="V44" s="251">
        <f t="shared" si="23"/>
        <v>0</v>
      </c>
    </row>
    <row r="45" spans="1:22" x14ac:dyDescent="0.3">
      <c r="A45" s="1019"/>
      <c r="B45" s="237">
        <v>1</v>
      </c>
      <c r="C45" s="247">
        <v>820</v>
      </c>
      <c r="D45" s="51"/>
      <c r="E45" s="247">
        <f t="shared" si="31"/>
        <v>68.305999999999997</v>
      </c>
      <c r="F45" s="247">
        <f t="shared" si="30"/>
        <v>32.833333333333336</v>
      </c>
      <c r="G45" s="247">
        <f t="shared" si="32"/>
        <v>68.333333333333329</v>
      </c>
      <c r="H45" s="247">
        <f t="shared" si="33"/>
        <v>91.43</v>
      </c>
      <c r="I45" s="247">
        <f t="shared" si="34"/>
        <v>1080.9026666666668</v>
      </c>
      <c r="J45" s="247"/>
      <c r="K45" s="359">
        <f t="shared" si="25"/>
        <v>1080.9026666666668</v>
      </c>
      <c r="L45" s="351"/>
      <c r="M45" s="345">
        <f t="shared" si="5"/>
        <v>13.731560448867246</v>
      </c>
      <c r="N45" s="249">
        <f t="shared" si="15"/>
        <v>39.794062180817278</v>
      </c>
      <c r="O45" s="249">
        <f t="shared" si="16"/>
        <v>49.466628287241164</v>
      </c>
      <c r="P45" s="249">
        <f t="shared" si="17"/>
        <v>71.884153099677064</v>
      </c>
      <c r="Q45" s="249">
        <f t="shared" si="18"/>
        <v>78.283529932377263</v>
      </c>
      <c r="R45" s="249">
        <f t="shared" si="19"/>
        <v>98.202846145284013</v>
      </c>
      <c r="S45" s="249">
        <f t="shared" si="20"/>
        <v>103.21785972378527</v>
      </c>
      <c r="T45" s="249">
        <f t="shared" si="21"/>
        <v>122.24720800086516</v>
      </c>
      <c r="U45" s="249" t="e">
        <f t="shared" si="22"/>
        <v>#REF!</v>
      </c>
      <c r="V45" s="251">
        <f t="shared" si="23"/>
        <v>0</v>
      </c>
    </row>
    <row r="46" spans="1:22" x14ac:dyDescent="0.3">
      <c r="A46" s="1019"/>
      <c r="B46" s="237">
        <v>1</v>
      </c>
      <c r="C46" s="512">
        <v>700</v>
      </c>
      <c r="D46" s="51"/>
      <c r="E46" s="247">
        <f t="shared" si="31"/>
        <v>58.31</v>
      </c>
      <c r="F46" s="247">
        <f t="shared" si="30"/>
        <v>32.833333333333336</v>
      </c>
      <c r="G46" s="247">
        <f t="shared" si="32"/>
        <v>58.333333333333336</v>
      </c>
      <c r="H46" s="247">
        <f t="shared" si="33"/>
        <v>78.05</v>
      </c>
      <c r="I46" s="247">
        <f t="shared" si="34"/>
        <v>927.52666666666664</v>
      </c>
      <c r="J46" s="247"/>
      <c r="K46" s="359">
        <f t="shared" si="25"/>
        <v>927.52666666666664</v>
      </c>
      <c r="L46" s="351"/>
      <c r="M46" s="345">
        <f t="shared" si="5"/>
        <v>11.783103959347873</v>
      </c>
      <c r="N46" s="249">
        <f t="shared" si="15"/>
        <v>34.14743527419013</v>
      </c>
      <c r="O46" s="249">
        <f t="shared" si="16"/>
        <v>42.447500835570615</v>
      </c>
      <c r="P46" s="249">
        <f t="shared" si="17"/>
        <v>61.68406366903816</v>
      </c>
      <c r="Q46" s="249">
        <f t="shared" si="18"/>
        <v>67.175393134144144</v>
      </c>
      <c r="R46" s="249">
        <f t="shared" si="19"/>
        <v>84.268233719145968</v>
      </c>
      <c r="S46" s="249">
        <f t="shared" si="20"/>
        <v>88.571635839616278</v>
      </c>
      <c r="T46" s="249">
        <f t="shared" si="21"/>
        <v>104.90079157267549</v>
      </c>
      <c r="U46" s="249" t="e">
        <f t="shared" si="22"/>
        <v>#REF!</v>
      </c>
      <c r="V46" s="251">
        <f t="shared" si="23"/>
        <v>0</v>
      </c>
    </row>
    <row r="47" spans="1:22" x14ac:dyDescent="0.3">
      <c r="A47" s="1019"/>
      <c r="B47" s="237">
        <v>1</v>
      </c>
      <c r="C47" s="247">
        <v>820</v>
      </c>
      <c r="D47" s="51"/>
      <c r="E47" s="247">
        <f t="shared" si="31"/>
        <v>68.305999999999997</v>
      </c>
      <c r="F47" s="247">
        <f t="shared" si="30"/>
        <v>32.833333333333336</v>
      </c>
      <c r="G47" s="247">
        <f t="shared" si="32"/>
        <v>68.333333333333329</v>
      </c>
      <c r="H47" s="247">
        <f t="shared" si="33"/>
        <v>91.43</v>
      </c>
      <c r="I47" s="247">
        <f t="shared" si="34"/>
        <v>1080.9026666666668</v>
      </c>
      <c r="J47" s="247"/>
      <c r="K47" s="359">
        <f t="shared" si="25"/>
        <v>1080.9026666666668</v>
      </c>
      <c r="L47" s="351"/>
      <c r="M47" s="345">
        <f t="shared" si="5"/>
        <v>13.731560448867246</v>
      </c>
      <c r="N47" s="249">
        <f t="shared" si="15"/>
        <v>39.794062180817278</v>
      </c>
      <c r="O47" s="249">
        <f t="shared" si="16"/>
        <v>49.466628287241164</v>
      </c>
      <c r="P47" s="249">
        <f t="shared" si="17"/>
        <v>71.884153099677064</v>
      </c>
      <c r="Q47" s="249">
        <f t="shared" si="18"/>
        <v>78.283529932377263</v>
      </c>
      <c r="R47" s="249">
        <f t="shared" si="19"/>
        <v>98.202846145284013</v>
      </c>
      <c r="S47" s="249">
        <f t="shared" si="20"/>
        <v>103.21785972378527</v>
      </c>
      <c r="T47" s="249">
        <f t="shared" si="21"/>
        <v>122.24720800086516</v>
      </c>
      <c r="U47" s="249" t="e">
        <f t="shared" si="22"/>
        <v>#REF!</v>
      </c>
      <c r="V47" s="251">
        <f t="shared" si="23"/>
        <v>0</v>
      </c>
    </row>
    <row r="48" spans="1:22" ht="10.8" thickBot="1" x14ac:dyDescent="0.35">
      <c r="A48" s="1019"/>
      <c r="B48" s="252"/>
      <c r="C48" s="253"/>
      <c r="D48" s="254"/>
      <c r="E48" s="253">
        <f t="shared" si="31"/>
        <v>0</v>
      </c>
      <c r="F48" s="253"/>
      <c r="G48" s="253">
        <f t="shared" si="32"/>
        <v>0</v>
      </c>
      <c r="H48" s="253">
        <f t="shared" si="33"/>
        <v>0</v>
      </c>
      <c r="I48" s="253">
        <f t="shared" si="34"/>
        <v>0</v>
      </c>
      <c r="J48" s="253"/>
      <c r="K48" s="361">
        <f t="shared" si="25"/>
        <v>0</v>
      </c>
      <c r="L48" s="351"/>
      <c r="M48" s="364">
        <f t="shared" si="5"/>
        <v>0</v>
      </c>
      <c r="N48" s="363">
        <f t="shared" si="15"/>
        <v>0</v>
      </c>
      <c r="O48" s="363">
        <f t="shared" si="16"/>
        <v>0</v>
      </c>
      <c r="P48" s="363">
        <f t="shared" si="17"/>
        <v>0</v>
      </c>
      <c r="Q48" s="363">
        <f t="shared" si="18"/>
        <v>0</v>
      </c>
      <c r="R48" s="363">
        <f t="shared" si="19"/>
        <v>0</v>
      </c>
      <c r="S48" s="363">
        <f t="shared" si="20"/>
        <v>0</v>
      </c>
      <c r="T48" s="363">
        <f t="shared" si="21"/>
        <v>0</v>
      </c>
      <c r="U48" s="363" t="e">
        <f t="shared" si="22"/>
        <v>#REF!</v>
      </c>
      <c r="V48" s="365">
        <f t="shared" si="23"/>
        <v>0</v>
      </c>
    </row>
    <row r="49" spans="1:22" x14ac:dyDescent="0.3">
      <c r="A49" s="1018" t="s">
        <v>234</v>
      </c>
      <c r="B49" s="236">
        <v>1</v>
      </c>
      <c r="C49" s="245">
        <v>650</v>
      </c>
      <c r="D49" s="255"/>
      <c r="E49" s="245">
        <f t="shared" si="31"/>
        <v>54.144999999999996</v>
      </c>
      <c r="F49" s="245">
        <f t="shared" si="30"/>
        <v>32.833333333333336</v>
      </c>
      <c r="G49" s="245">
        <f t="shared" si="32"/>
        <v>54.166666666666664</v>
      </c>
      <c r="H49" s="245">
        <f t="shared" si="33"/>
        <v>72.474999999999994</v>
      </c>
      <c r="I49" s="245">
        <f t="shared" si="34"/>
        <v>863.62</v>
      </c>
      <c r="J49" s="245"/>
      <c r="K49" s="362">
        <f t="shared" si="25"/>
        <v>863.62</v>
      </c>
      <c r="L49" s="351"/>
      <c r="M49" s="366">
        <f t="shared" si="5"/>
        <v>10.971247088714799</v>
      </c>
      <c r="N49" s="245">
        <f t="shared" si="15"/>
        <v>31.794674063095485</v>
      </c>
      <c r="O49" s="245">
        <f t="shared" si="16"/>
        <v>39.522864397374548</v>
      </c>
      <c r="P49" s="245">
        <f t="shared" si="17"/>
        <v>57.434026406271954</v>
      </c>
      <c r="Q49" s="245">
        <f t="shared" si="18"/>
        <v>62.547002801547016</v>
      </c>
      <c r="R49" s="245">
        <f t="shared" si="19"/>
        <v>78.462145208255109</v>
      </c>
      <c r="S49" s="245">
        <f t="shared" si="20"/>
        <v>82.469042554545851</v>
      </c>
      <c r="T49" s="245">
        <f t="shared" si="21"/>
        <v>97.673118060929767</v>
      </c>
      <c r="U49" s="245" t="e">
        <f t="shared" si="22"/>
        <v>#REF!</v>
      </c>
      <c r="V49" s="246">
        <f t="shared" si="23"/>
        <v>0</v>
      </c>
    </row>
    <row r="50" spans="1:22" x14ac:dyDescent="0.3">
      <c r="A50" s="1019"/>
      <c r="B50" s="237">
        <v>1</v>
      </c>
      <c r="C50" s="247">
        <v>650</v>
      </c>
      <c r="D50" s="51"/>
      <c r="E50" s="247">
        <f t="shared" si="31"/>
        <v>54.144999999999996</v>
      </c>
      <c r="F50" s="247">
        <f t="shared" si="30"/>
        <v>32.833333333333336</v>
      </c>
      <c r="G50" s="247">
        <f t="shared" si="32"/>
        <v>54.166666666666664</v>
      </c>
      <c r="H50" s="247">
        <f t="shared" si="33"/>
        <v>72.474999999999994</v>
      </c>
      <c r="I50" s="247">
        <f t="shared" si="34"/>
        <v>863.62</v>
      </c>
      <c r="J50" s="247"/>
      <c r="K50" s="359">
        <f t="shared" si="25"/>
        <v>863.62</v>
      </c>
      <c r="L50" s="351"/>
      <c r="M50" s="345">
        <f t="shared" si="5"/>
        <v>10.971247088714799</v>
      </c>
      <c r="N50" s="249">
        <f t="shared" si="15"/>
        <v>31.794674063095485</v>
      </c>
      <c r="O50" s="249">
        <f t="shared" si="16"/>
        <v>39.522864397374548</v>
      </c>
      <c r="P50" s="249">
        <f t="shared" si="17"/>
        <v>57.434026406271954</v>
      </c>
      <c r="Q50" s="249">
        <f t="shared" si="18"/>
        <v>62.547002801547016</v>
      </c>
      <c r="R50" s="249">
        <f t="shared" si="19"/>
        <v>78.462145208255109</v>
      </c>
      <c r="S50" s="249">
        <f t="shared" si="20"/>
        <v>82.469042554545851</v>
      </c>
      <c r="T50" s="249">
        <f t="shared" si="21"/>
        <v>97.673118060929767</v>
      </c>
      <c r="U50" s="249" t="e">
        <f t="shared" si="22"/>
        <v>#REF!</v>
      </c>
      <c r="V50" s="251">
        <f t="shared" si="23"/>
        <v>0</v>
      </c>
    </row>
    <row r="51" spans="1:22" x14ac:dyDescent="0.3">
      <c r="A51" s="1019"/>
      <c r="B51" s="237">
        <v>1</v>
      </c>
      <c r="C51" s="247">
        <v>700</v>
      </c>
      <c r="D51" s="51"/>
      <c r="E51" s="247">
        <f t="shared" si="31"/>
        <v>58.31</v>
      </c>
      <c r="F51" s="247">
        <f t="shared" si="30"/>
        <v>32.833333333333336</v>
      </c>
      <c r="G51" s="247">
        <f t="shared" si="32"/>
        <v>58.333333333333336</v>
      </c>
      <c r="H51" s="247">
        <f t="shared" si="33"/>
        <v>78.05</v>
      </c>
      <c r="I51" s="247">
        <f t="shared" si="34"/>
        <v>927.52666666666664</v>
      </c>
      <c r="J51" s="247"/>
      <c r="K51" s="359">
        <f t="shared" si="25"/>
        <v>927.52666666666664</v>
      </c>
      <c r="L51" s="351"/>
      <c r="M51" s="345">
        <f t="shared" si="5"/>
        <v>11.783103959347873</v>
      </c>
      <c r="N51" s="249">
        <f t="shared" si="15"/>
        <v>34.14743527419013</v>
      </c>
      <c r="O51" s="249">
        <f t="shared" si="16"/>
        <v>42.447500835570615</v>
      </c>
      <c r="P51" s="249">
        <f t="shared" si="17"/>
        <v>61.68406366903816</v>
      </c>
      <c r="Q51" s="249">
        <f t="shared" si="18"/>
        <v>67.175393134144144</v>
      </c>
      <c r="R51" s="249">
        <f t="shared" si="19"/>
        <v>84.268233719145968</v>
      </c>
      <c r="S51" s="249">
        <f t="shared" si="20"/>
        <v>88.571635839616278</v>
      </c>
      <c r="T51" s="249">
        <f t="shared" si="21"/>
        <v>104.90079157267549</v>
      </c>
      <c r="U51" s="249" t="e">
        <f t="shared" si="22"/>
        <v>#REF!</v>
      </c>
      <c r="V51" s="251">
        <f t="shared" si="23"/>
        <v>0</v>
      </c>
    </row>
    <row r="52" spans="1:22" x14ac:dyDescent="0.3">
      <c r="A52" s="1019"/>
      <c r="B52" s="237">
        <v>1</v>
      </c>
      <c r="C52" s="247">
        <v>820</v>
      </c>
      <c r="D52" s="51"/>
      <c r="E52" s="247">
        <f t="shared" si="31"/>
        <v>68.305999999999997</v>
      </c>
      <c r="F52" s="247">
        <f t="shared" si="30"/>
        <v>32.833333333333336</v>
      </c>
      <c r="G52" s="247">
        <f t="shared" si="32"/>
        <v>68.333333333333329</v>
      </c>
      <c r="H52" s="247">
        <f t="shared" si="33"/>
        <v>91.43</v>
      </c>
      <c r="I52" s="247">
        <f t="shared" si="34"/>
        <v>1080.9026666666668</v>
      </c>
      <c r="J52" s="247"/>
      <c r="K52" s="359">
        <f t="shared" si="25"/>
        <v>1080.9026666666668</v>
      </c>
      <c r="L52" s="351"/>
      <c r="M52" s="345">
        <f t="shared" si="5"/>
        <v>13.731560448867246</v>
      </c>
      <c r="N52" s="249">
        <f t="shared" si="15"/>
        <v>39.794062180817278</v>
      </c>
      <c r="O52" s="249">
        <f t="shared" si="16"/>
        <v>49.466628287241164</v>
      </c>
      <c r="P52" s="249">
        <f t="shared" si="17"/>
        <v>71.884153099677064</v>
      </c>
      <c r="Q52" s="249">
        <f t="shared" si="18"/>
        <v>78.283529932377263</v>
      </c>
      <c r="R52" s="249">
        <f t="shared" si="19"/>
        <v>98.202846145284013</v>
      </c>
      <c r="S52" s="249">
        <f t="shared" si="20"/>
        <v>103.21785972378527</v>
      </c>
      <c r="T52" s="249">
        <f t="shared" si="21"/>
        <v>122.24720800086516</v>
      </c>
      <c r="U52" s="249" t="e">
        <f t="shared" si="22"/>
        <v>#REF!</v>
      </c>
      <c r="V52" s="251">
        <f t="shared" si="23"/>
        <v>0</v>
      </c>
    </row>
    <row r="53" spans="1:22" x14ac:dyDescent="0.3">
      <c r="A53" s="1019"/>
      <c r="B53" s="237">
        <v>1</v>
      </c>
      <c r="C53" s="247">
        <v>1090</v>
      </c>
      <c r="D53" s="51"/>
      <c r="E53" s="247">
        <f t="shared" si="31"/>
        <v>90.796999999999997</v>
      </c>
      <c r="F53" s="247">
        <f t="shared" si="30"/>
        <v>32.833333333333336</v>
      </c>
      <c r="G53" s="247">
        <f t="shared" si="32"/>
        <v>90.833333333333329</v>
      </c>
      <c r="H53" s="247">
        <f t="shared" si="33"/>
        <v>121.535</v>
      </c>
      <c r="I53" s="247">
        <f t="shared" si="34"/>
        <v>1425.9986666666666</v>
      </c>
      <c r="J53" s="247"/>
      <c r="K53" s="359">
        <f t="shared" si="25"/>
        <v>1425.9986666666666</v>
      </c>
      <c r="L53" s="351"/>
      <c r="M53" s="345">
        <f t="shared" si="5"/>
        <v>18.115587550285834</v>
      </c>
      <c r="N53" s="249">
        <f t="shared" si="15"/>
        <v>52.498972720728347</v>
      </c>
      <c r="O53" s="249">
        <f t="shared" si="16"/>
        <v>65.259665053499887</v>
      </c>
      <c r="P53" s="249">
        <f t="shared" si="17"/>
        <v>94.834354318614572</v>
      </c>
      <c r="Q53" s="249">
        <f t="shared" si="18"/>
        <v>103.27683772840172</v>
      </c>
      <c r="R53" s="249">
        <f t="shared" si="19"/>
        <v>129.55572410409459</v>
      </c>
      <c r="S53" s="249">
        <f t="shared" si="20"/>
        <v>136.17186346316549</v>
      </c>
      <c r="T53" s="249">
        <f t="shared" si="21"/>
        <v>161.2766449642919</v>
      </c>
      <c r="U53" s="249" t="e">
        <f t="shared" si="22"/>
        <v>#REF!</v>
      </c>
      <c r="V53" s="251">
        <f t="shared" si="23"/>
        <v>0</v>
      </c>
    </row>
    <row r="54" spans="1:22" ht="10.8" thickBot="1" x14ac:dyDescent="0.35">
      <c r="A54" s="1020"/>
      <c r="B54" s="239"/>
      <c r="C54" s="233"/>
      <c r="D54" s="139"/>
      <c r="E54" s="233">
        <f t="shared" si="31"/>
        <v>0</v>
      </c>
      <c r="F54" s="233"/>
      <c r="G54" s="233">
        <f t="shared" si="32"/>
        <v>0</v>
      </c>
      <c r="H54" s="233">
        <f t="shared" si="33"/>
        <v>0</v>
      </c>
      <c r="I54" s="233">
        <f t="shared" si="34"/>
        <v>0</v>
      </c>
      <c r="J54" s="233"/>
      <c r="K54" s="360">
        <f t="shared" si="25"/>
        <v>0</v>
      </c>
      <c r="L54" s="351"/>
      <c r="M54" s="346">
        <f t="shared" si="5"/>
        <v>0</v>
      </c>
      <c r="N54" s="347">
        <f t="shared" si="15"/>
        <v>0</v>
      </c>
      <c r="O54" s="347">
        <f t="shared" si="16"/>
        <v>0</v>
      </c>
      <c r="P54" s="347">
        <f t="shared" si="17"/>
        <v>0</v>
      </c>
      <c r="Q54" s="347">
        <f t="shared" si="18"/>
        <v>0</v>
      </c>
      <c r="R54" s="347">
        <f t="shared" si="19"/>
        <v>0</v>
      </c>
      <c r="S54" s="347">
        <f t="shared" si="20"/>
        <v>0</v>
      </c>
      <c r="T54" s="347">
        <f t="shared" si="21"/>
        <v>0</v>
      </c>
      <c r="U54" s="347" t="e">
        <f t="shared" si="22"/>
        <v>#REF!</v>
      </c>
      <c r="V54" s="348">
        <f t="shared" si="23"/>
        <v>0</v>
      </c>
    </row>
    <row r="55" spans="1:22" ht="15" customHeight="1" x14ac:dyDescent="0.3">
      <c r="A55" s="1024" t="s">
        <v>235</v>
      </c>
      <c r="B55" s="236">
        <v>1</v>
      </c>
      <c r="C55" s="245">
        <v>750</v>
      </c>
      <c r="D55" s="255"/>
      <c r="E55" s="245">
        <f t="shared" si="31"/>
        <v>62.475000000000001</v>
      </c>
      <c r="F55" s="245">
        <f t="shared" ref="F55:F60" si="35">(394/12)</f>
        <v>32.833333333333336</v>
      </c>
      <c r="G55" s="245">
        <f t="shared" si="32"/>
        <v>62.5</v>
      </c>
      <c r="H55" s="245">
        <f t="shared" si="33"/>
        <v>83.625</v>
      </c>
      <c r="I55" s="245">
        <f t="shared" si="34"/>
        <v>991.43333333333339</v>
      </c>
      <c r="J55" s="245"/>
      <c r="K55" s="362">
        <f t="shared" si="25"/>
        <v>991.43333333333339</v>
      </c>
      <c r="L55" s="351"/>
      <c r="M55" s="366">
        <f t="shared" si="5"/>
        <v>12.594960829980945</v>
      </c>
      <c r="N55" s="245">
        <f>+(K55/$B$2)*$N$2*6</f>
        <v>36.500196485284775</v>
      </c>
      <c r="O55" s="245">
        <f>+(K55/$B$2)*$O$2*6</f>
        <v>45.372137273766675</v>
      </c>
      <c r="P55" s="245">
        <f>+(K55/$B$2)*$P$2*6</f>
        <v>65.934100931804366</v>
      </c>
      <c r="Q55" s="245">
        <f>+(K55/$B$2)*$Q$2*6</f>
        <v>71.80378346674128</v>
      </c>
      <c r="R55" s="245">
        <f>+(K55/$B$2)*$R$2*6</f>
        <v>90.074322230036813</v>
      </c>
      <c r="S55" s="245">
        <f>+(K55/$B$2)*$S$2*6</f>
        <v>94.67422912468669</v>
      </c>
      <c r="T55" s="245">
        <f>+(K55/$B$2)*$T$2*6</f>
        <v>112.12846508442118</v>
      </c>
      <c r="U55" s="245" t="e">
        <f>+(K55/$B$2)*$U$2*6</f>
        <v>#REF!</v>
      </c>
      <c r="V55" s="246">
        <f>+(K55/$B$2)*$V$2*6</f>
        <v>0</v>
      </c>
    </row>
    <row r="56" spans="1:22" x14ac:dyDescent="0.3">
      <c r="A56" s="1025"/>
      <c r="B56" s="237">
        <v>1</v>
      </c>
      <c r="C56" s="247">
        <v>820</v>
      </c>
      <c r="D56" s="51"/>
      <c r="E56" s="247">
        <f t="shared" si="31"/>
        <v>68.305999999999997</v>
      </c>
      <c r="F56" s="247">
        <f t="shared" si="35"/>
        <v>32.833333333333336</v>
      </c>
      <c r="G56" s="247">
        <f t="shared" si="32"/>
        <v>68.333333333333329</v>
      </c>
      <c r="H56" s="247">
        <f t="shared" si="33"/>
        <v>91.43</v>
      </c>
      <c r="I56" s="247">
        <f t="shared" si="34"/>
        <v>1080.9026666666668</v>
      </c>
      <c r="J56" s="247"/>
      <c r="K56" s="359">
        <f t="shared" si="25"/>
        <v>1080.9026666666668</v>
      </c>
      <c r="L56" s="351"/>
      <c r="M56" s="345">
        <f t="shared" si="5"/>
        <v>13.731560448867246</v>
      </c>
      <c r="N56" s="249">
        <f t="shared" ref="N56:N62" si="36">+(K56/$B$2)*$N$2*6</f>
        <v>39.794062180817278</v>
      </c>
      <c r="O56" s="249">
        <f t="shared" ref="O56:O62" si="37">+(K56/$B$2)*$O$2*6</f>
        <v>49.466628287241164</v>
      </c>
      <c r="P56" s="249">
        <f t="shared" ref="P56:P62" si="38">+(K56/$B$2)*$P$2*6</f>
        <v>71.884153099677064</v>
      </c>
      <c r="Q56" s="249">
        <f t="shared" ref="Q56:Q62" si="39">+(K56/$B$2)*$Q$2*6</f>
        <v>78.283529932377263</v>
      </c>
      <c r="R56" s="249">
        <f t="shared" ref="R56:R62" si="40">+(K56/$B$2)*$R$2*6</f>
        <v>98.202846145284013</v>
      </c>
      <c r="S56" s="249">
        <f t="shared" ref="S56:S62" si="41">+(K56/$B$2)*$S$2*6</f>
        <v>103.21785972378527</v>
      </c>
      <c r="T56" s="249">
        <f t="shared" ref="T56:T62" si="42">+(K56/$B$2)*$T$2*6</f>
        <v>122.24720800086516</v>
      </c>
      <c r="U56" s="249" t="e">
        <f t="shared" ref="U56:U62" si="43">+(K56/$B$2)*$U$2*6</f>
        <v>#REF!</v>
      </c>
      <c r="V56" s="251">
        <f t="shared" ref="V56:V62" si="44">+(K56/$B$2)*$V$2*6</f>
        <v>0</v>
      </c>
    </row>
    <row r="57" spans="1:22" x14ac:dyDescent="0.3">
      <c r="A57" s="1025"/>
      <c r="B57" s="237">
        <v>1</v>
      </c>
      <c r="C57" s="247">
        <v>700</v>
      </c>
      <c r="D57" s="51"/>
      <c r="E57" s="247">
        <f t="shared" si="31"/>
        <v>58.31</v>
      </c>
      <c r="F57" s="247">
        <f t="shared" si="35"/>
        <v>32.833333333333336</v>
      </c>
      <c r="G57" s="247">
        <f t="shared" si="32"/>
        <v>58.333333333333336</v>
      </c>
      <c r="H57" s="247">
        <f t="shared" si="33"/>
        <v>78.05</v>
      </c>
      <c r="I57" s="247">
        <f t="shared" si="34"/>
        <v>927.52666666666664</v>
      </c>
      <c r="J57" s="247"/>
      <c r="K57" s="359">
        <f t="shared" si="25"/>
        <v>927.52666666666664</v>
      </c>
      <c r="L57" s="351"/>
      <c r="M57" s="345">
        <f t="shared" si="5"/>
        <v>11.783103959347873</v>
      </c>
      <c r="N57" s="249">
        <f t="shared" si="36"/>
        <v>34.14743527419013</v>
      </c>
      <c r="O57" s="249">
        <f t="shared" si="37"/>
        <v>42.447500835570615</v>
      </c>
      <c r="P57" s="249">
        <f t="shared" si="38"/>
        <v>61.68406366903816</v>
      </c>
      <c r="Q57" s="249">
        <f t="shared" si="39"/>
        <v>67.175393134144144</v>
      </c>
      <c r="R57" s="249">
        <f t="shared" si="40"/>
        <v>84.268233719145968</v>
      </c>
      <c r="S57" s="249">
        <f t="shared" si="41"/>
        <v>88.571635839616278</v>
      </c>
      <c r="T57" s="249">
        <f t="shared" si="42"/>
        <v>104.90079157267549</v>
      </c>
      <c r="U57" s="249" t="e">
        <f t="shared" si="43"/>
        <v>#REF!</v>
      </c>
      <c r="V57" s="251">
        <f t="shared" si="44"/>
        <v>0</v>
      </c>
    </row>
    <row r="58" spans="1:22" x14ac:dyDescent="0.3">
      <c r="A58" s="1025"/>
      <c r="B58" s="237">
        <v>1</v>
      </c>
      <c r="C58" s="247">
        <v>902.95</v>
      </c>
      <c r="D58" s="51"/>
      <c r="E58" s="247">
        <f t="shared" si="31"/>
        <v>75.215735000000009</v>
      </c>
      <c r="F58" s="247">
        <f t="shared" si="35"/>
        <v>32.833333333333336</v>
      </c>
      <c r="G58" s="247">
        <f t="shared" si="32"/>
        <v>75.245833333333337</v>
      </c>
      <c r="H58" s="247">
        <f t="shared" si="33"/>
        <v>100.67892500000001</v>
      </c>
      <c r="I58" s="247">
        <f t="shared" si="34"/>
        <v>1186.9238266666666</v>
      </c>
      <c r="J58" s="247"/>
      <c r="K58" s="359">
        <f t="shared" si="25"/>
        <v>1186.9238266666666</v>
      </c>
      <c r="L58" s="351"/>
      <c r="M58" s="345">
        <f t="shared" si="5"/>
        <v>15.078430997247512</v>
      </c>
      <c r="N58" s="249">
        <f t="shared" si="36"/>
        <v>43.697293030023289</v>
      </c>
      <c r="O58" s="249">
        <f t="shared" si="37"/>
        <v>54.318600138208424</v>
      </c>
      <c r="P58" s="249">
        <f t="shared" si="38"/>
        <v>78.934964918606198</v>
      </c>
      <c r="Q58" s="249">
        <f t="shared" si="39"/>
        <v>85.962029494155885</v>
      </c>
      <c r="R58" s="249">
        <f t="shared" si="40"/>
        <v>107.83514698485192</v>
      </c>
      <c r="S58" s="249">
        <f t="shared" si="41"/>
        <v>113.34206198371709</v>
      </c>
      <c r="T58" s="249">
        <f t="shared" si="42"/>
        <v>134.23791835685125</v>
      </c>
      <c r="U58" s="249" t="e">
        <f t="shared" si="43"/>
        <v>#REF!</v>
      </c>
      <c r="V58" s="251">
        <f t="shared" si="44"/>
        <v>0</v>
      </c>
    </row>
    <row r="59" spans="1:22" x14ac:dyDescent="0.3">
      <c r="A59" s="1025"/>
      <c r="B59" s="237">
        <v>1</v>
      </c>
      <c r="C59" s="247">
        <v>700</v>
      </c>
      <c r="D59" s="51"/>
      <c r="E59" s="247">
        <f t="shared" si="31"/>
        <v>58.31</v>
      </c>
      <c r="F59" s="247">
        <f t="shared" si="35"/>
        <v>32.833333333333336</v>
      </c>
      <c r="G59" s="247">
        <f t="shared" si="32"/>
        <v>58.333333333333336</v>
      </c>
      <c r="H59" s="247">
        <f t="shared" si="33"/>
        <v>78.05</v>
      </c>
      <c r="I59" s="247">
        <f t="shared" si="34"/>
        <v>927.52666666666664</v>
      </c>
      <c r="J59" s="247"/>
      <c r="K59" s="359">
        <f t="shared" si="25"/>
        <v>927.52666666666664</v>
      </c>
      <c r="L59" s="351"/>
      <c r="M59" s="345">
        <f t="shared" si="5"/>
        <v>11.783103959347873</v>
      </c>
      <c r="N59" s="249">
        <f t="shared" si="36"/>
        <v>34.14743527419013</v>
      </c>
      <c r="O59" s="249">
        <f t="shared" si="37"/>
        <v>42.447500835570615</v>
      </c>
      <c r="P59" s="249">
        <f t="shared" si="38"/>
        <v>61.68406366903816</v>
      </c>
      <c r="Q59" s="249">
        <f t="shared" si="39"/>
        <v>67.175393134144144</v>
      </c>
      <c r="R59" s="249">
        <f t="shared" si="40"/>
        <v>84.268233719145968</v>
      </c>
      <c r="S59" s="249">
        <f t="shared" si="41"/>
        <v>88.571635839616278</v>
      </c>
      <c r="T59" s="249">
        <f t="shared" si="42"/>
        <v>104.90079157267549</v>
      </c>
      <c r="U59" s="249" t="e">
        <f t="shared" si="43"/>
        <v>#REF!</v>
      </c>
      <c r="V59" s="251">
        <f t="shared" si="44"/>
        <v>0</v>
      </c>
    </row>
    <row r="60" spans="1:22" x14ac:dyDescent="0.3">
      <c r="A60" s="1025"/>
      <c r="B60" s="237">
        <v>1</v>
      </c>
      <c r="C60" s="247">
        <v>650</v>
      </c>
      <c r="D60" s="51"/>
      <c r="E60" s="247">
        <f t="shared" si="31"/>
        <v>54.144999999999996</v>
      </c>
      <c r="F60" s="247">
        <f t="shared" si="35"/>
        <v>32.833333333333336</v>
      </c>
      <c r="G60" s="247">
        <f t="shared" si="32"/>
        <v>54.166666666666664</v>
      </c>
      <c r="H60" s="247">
        <f t="shared" si="33"/>
        <v>72.474999999999994</v>
      </c>
      <c r="I60" s="247">
        <f t="shared" si="34"/>
        <v>863.62</v>
      </c>
      <c r="J60" s="247"/>
      <c r="K60" s="359">
        <f t="shared" si="25"/>
        <v>863.62</v>
      </c>
      <c r="L60" s="351"/>
      <c r="M60" s="345">
        <f t="shared" si="5"/>
        <v>10.971247088714799</v>
      </c>
      <c r="N60" s="249">
        <f t="shared" si="36"/>
        <v>31.794674063095485</v>
      </c>
      <c r="O60" s="249">
        <f t="shared" si="37"/>
        <v>39.522864397374548</v>
      </c>
      <c r="P60" s="249">
        <f t="shared" si="38"/>
        <v>57.434026406271954</v>
      </c>
      <c r="Q60" s="249">
        <f t="shared" si="39"/>
        <v>62.547002801547016</v>
      </c>
      <c r="R60" s="249">
        <f t="shared" si="40"/>
        <v>78.462145208255109</v>
      </c>
      <c r="S60" s="249">
        <f t="shared" si="41"/>
        <v>82.469042554545851</v>
      </c>
      <c r="T60" s="249">
        <f t="shared" si="42"/>
        <v>97.673118060929767</v>
      </c>
      <c r="U60" s="249" t="e">
        <f t="shared" si="43"/>
        <v>#REF!</v>
      </c>
      <c r="V60" s="251">
        <f t="shared" si="44"/>
        <v>0</v>
      </c>
    </row>
    <row r="61" spans="1:22" x14ac:dyDescent="0.3">
      <c r="A61" s="1025"/>
      <c r="B61" s="237"/>
      <c r="C61" s="247"/>
      <c r="D61" s="51"/>
      <c r="E61" s="247">
        <f t="shared" si="31"/>
        <v>0</v>
      </c>
      <c r="F61" s="247"/>
      <c r="G61" s="247">
        <f t="shared" si="32"/>
        <v>0</v>
      </c>
      <c r="H61" s="247">
        <f t="shared" si="33"/>
        <v>0</v>
      </c>
      <c r="I61" s="247">
        <f t="shared" si="34"/>
        <v>0</v>
      </c>
      <c r="J61" s="247"/>
      <c r="K61" s="359">
        <f t="shared" si="25"/>
        <v>0</v>
      </c>
      <c r="L61" s="351"/>
      <c r="M61" s="345">
        <f t="shared" si="5"/>
        <v>0</v>
      </c>
      <c r="N61" s="249">
        <f t="shared" si="36"/>
        <v>0</v>
      </c>
      <c r="O61" s="249">
        <f t="shared" si="37"/>
        <v>0</v>
      </c>
      <c r="P61" s="249">
        <f t="shared" si="38"/>
        <v>0</v>
      </c>
      <c r="Q61" s="249">
        <f t="shared" si="39"/>
        <v>0</v>
      </c>
      <c r="R61" s="249">
        <f t="shared" si="40"/>
        <v>0</v>
      </c>
      <c r="S61" s="249">
        <f t="shared" si="41"/>
        <v>0</v>
      </c>
      <c r="T61" s="249">
        <f t="shared" si="42"/>
        <v>0</v>
      </c>
      <c r="U61" s="249" t="e">
        <f t="shared" si="43"/>
        <v>#REF!</v>
      </c>
      <c r="V61" s="251">
        <f t="shared" si="44"/>
        <v>0</v>
      </c>
    </row>
    <row r="62" spans="1:22" ht="10.8" thickBot="1" x14ac:dyDescent="0.35">
      <c r="A62" s="1031"/>
      <c r="B62" s="252"/>
      <c r="C62" s="253"/>
      <c r="D62" s="254"/>
      <c r="E62" s="253">
        <f t="shared" si="31"/>
        <v>0</v>
      </c>
      <c r="F62" s="253"/>
      <c r="G62" s="253">
        <f t="shared" si="32"/>
        <v>0</v>
      </c>
      <c r="H62" s="253">
        <f t="shared" si="33"/>
        <v>0</v>
      </c>
      <c r="I62" s="253">
        <f t="shared" si="34"/>
        <v>0</v>
      </c>
      <c r="J62" s="253"/>
      <c r="K62" s="361">
        <f t="shared" si="25"/>
        <v>0</v>
      </c>
      <c r="L62" s="351"/>
      <c r="M62" s="346">
        <f t="shared" si="5"/>
        <v>0</v>
      </c>
      <c r="N62" s="347">
        <f t="shared" si="36"/>
        <v>0</v>
      </c>
      <c r="O62" s="347">
        <f t="shared" si="37"/>
        <v>0</v>
      </c>
      <c r="P62" s="347">
        <f t="shared" si="38"/>
        <v>0</v>
      </c>
      <c r="Q62" s="347">
        <f t="shared" si="39"/>
        <v>0</v>
      </c>
      <c r="R62" s="347">
        <f t="shared" si="40"/>
        <v>0</v>
      </c>
      <c r="S62" s="347">
        <f t="shared" si="41"/>
        <v>0</v>
      </c>
      <c r="T62" s="347">
        <f t="shared" si="42"/>
        <v>0</v>
      </c>
      <c r="U62" s="347" t="e">
        <f t="shared" si="43"/>
        <v>#REF!</v>
      </c>
      <c r="V62" s="348">
        <f t="shared" si="44"/>
        <v>0</v>
      </c>
    </row>
    <row r="63" spans="1:22" ht="15" customHeight="1" thickBot="1" x14ac:dyDescent="0.35">
      <c r="A63" s="1018" t="s">
        <v>236</v>
      </c>
      <c r="B63" s="236">
        <v>1</v>
      </c>
      <c r="C63" s="245">
        <v>1350</v>
      </c>
      <c r="D63" s="255">
        <v>0</v>
      </c>
      <c r="E63" s="245">
        <f>+C63*0.0833</f>
        <v>112.455</v>
      </c>
      <c r="F63" s="245">
        <f>(394/12)</f>
        <v>32.833333333333336</v>
      </c>
      <c r="G63" s="245">
        <f>+C63/12</f>
        <v>112.5</v>
      </c>
      <c r="H63" s="245">
        <f>+C63*0.1115</f>
        <v>150.52500000000001</v>
      </c>
      <c r="I63" s="245">
        <f>SUM(C63:H63)</f>
        <v>1758.3133333333333</v>
      </c>
      <c r="J63" s="245"/>
      <c r="K63" s="362">
        <f t="shared" si="25"/>
        <v>1758.3133333333333</v>
      </c>
      <c r="L63" s="351"/>
      <c r="M63" s="366">
        <f t="shared" si="5"/>
        <v>22.337243277577809</v>
      </c>
      <c r="N63" s="245">
        <f t="shared" si="15"/>
        <v>64.733331018420486</v>
      </c>
      <c r="O63" s="245">
        <f t="shared" si="16"/>
        <v>80.467774532119407</v>
      </c>
      <c r="P63" s="245">
        <f t="shared" si="17"/>
        <v>116.93454808499885</v>
      </c>
      <c r="Q63" s="245">
        <f t="shared" si="18"/>
        <v>127.3444674579068</v>
      </c>
      <c r="R63" s="245">
        <f t="shared" si="19"/>
        <v>159.74738436072701</v>
      </c>
      <c r="S63" s="245">
        <f t="shared" si="20"/>
        <v>167.90534854553164</v>
      </c>
      <c r="T63" s="245">
        <f t="shared" si="21"/>
        <v>198.86054722536952</v>
      </c>
      <c r="U63" s="245" t="e">
        <f t="shared" si="22"/>
        <v>#REF!</v>
      </c>
      <c r="V63" s="246">
        <f t="shared" si="23"/>
        <v>0</v>
      </c>
    </row>
    <row r="64" spans="1:22" ht="15" customHeight="1" x14ac:dyDescent="0.3">
      <c r="A64" s="1019"/>
      <c r="B64" s="237">
        <v>1</v>
      </c>
      <c r="C64" s="247">
        <v>820</v>
      </c>
      <c r="D64" s="51"/>
      <c r="E64" s="247">
        <f>+C64*0.0833</f>
        <v>68.305999999999997</v>
      </c>
      <c r="F64" s="245">
        <f>(394/12)</f>
        <v>32.833333333333336</v>
      </c>
      <c r="G64" s="295">
        <f>+C64/12</f>
        <v>68.333333333333329</v>
      </c>
      <c r="H64" s="51">
        <f>+C64*0.1115</f>
        <v>91.43</v>
      </c>
      <c r="I64" s="245">
        <f>SUM(C64:H64)</f>
        <v>1080.9026666666668</v>
      </c>
      <c r="J64" s="247"/>
      <c r="K64" s="362">
        <f t="shared" si="25"/>
        <v>1080.9026666666668</v>
      </c>
      <c r="L64" s="351"/>
      <c r="M64" s="345">
        <f t="shared" ref="M64:M69" si="45">+(K64/$B$2)*$M$2*6</f>
        <v>13.731560448867246</v>
      </c>
      <c r="N64" s="249">
        <f t="shared" ref="N64:N69" si="46">+(K64/$B$2)*$N$2*6</f>
        <v>39.794062180817278</v>
      </c>
      <c r="O64" s="249">
        <f t="shared" ref="O64:O69" si="47">+(K64/$B$2)*$O$2*6</f>
        <v>49.466628287241164</v>
      </c>
      <c r="P64" s="249">
        <f t="shared" ref="P64:P69" si="48">+(K64/$B$2)*$P$2*6</f>
        <v>71.884153099677064</v>
      </c>
      <c r="Q64" s="249">
        <f t="shared" ref="Q64:Q69" si="49">+(K64/$B$2)*$Q$2*6</f>
        <v>78.283529932377263</v>
      </c>
      <c r="R64" s="249">
        <f t="shared" ref="R64:R69" si="50">+(K64/$B$2)*$R$2*6</f>
        <v>98.202846145284013</v>
      </c>
      <c r="S64" s="249">
        <f t="shared" ref="S64:S69" si="51">+(K64/$B$2)*$S$2*6</f>
        <v>103.21785972378527</v>
      </c>
      <c r="T64" s="249">
        <f t="shared" ref="T64:T69" si="52">+(K64/$B$2)*$T$2*6</f>
        <v>122.24720800086516</v>
      </c>
      <c r="U64" s="249" t="e">
        <f t="shared" ref="U64:U69" si="53">+(K64/$B$2)*$U$2*6</f>
        <v>#REF!</v>
      </c>
      <c r="V64" s="251">
        <f t="shared" ref="V64:V69" si="54">+(K64/$B$2)*$V$2*6</f>
        <v>0</v>
      </c>
    </row>
    <row r="65" spans="1:22" ht="15" customHeight="1" thickBot="1" x14ac:dyDescent="0.35">
      <c r="A65" s="1019"/>
      <c r="B65" s="252"/>
      <c r="C65" s="253"/>
      <c r="D65" s="254"/>
      <c r="E65" s="253"/>
      <c r="F65" s="253"/>
      <c r="G65" s="254"/>
      <c r="H65" s="254"/>
      <c r="I65" s="253"/>
      <c r="J65" s="253"/>
      <c r="K65" s="361"/>
      <c r="L65" s="351"/>
      <c r="M65" s="364">
        <f t="shared" si="45"/>
        <v>0</v>
      </c>
      <c r="N65" s="363">
        <f t="shared" si="46"/>
        <v>0</v>
      </c>
      <c r="O65" s="363">
        <f t="shared" si="47"/>
        <v>0</v>
      </c>
      <c r="P65" s="363">
        <f t="shared" si="48"/>
        <v>0</v>
      </c>
      <c r="Q65" s="363">
        <f t="shared" si="49"/>
        <v>0</v>
      </c>
      <c r="R65" s="363">
        <f t="shared" si="50"/>
        <v>0</v>
      </c>
      <c r="S65" s="363">
        <f t="shared" si="51"/>
        <v>0</v>
      </c>
      <c r="T65" s="363">
        <f t="shared" si="52"/>
        <v>0</v>
      </c>
      <c r="U65" s="363" t="e">
        <f t="shared" si="53"/>
        <v>#REF!</v>
      </c>
      <c r="V65" s="365">
        <f t="shared" si="54"/>
        <v>0</v>
      </c>
    </row>
    <row r="66" spans="1:22" ht="15" customHeight="1" x14ac:dyDescent="0.3">
      <c r="A66" s="1018" t="s">
        <v>237</v>
      </c>
      <c r="B66" s="236">
        <v>1</v>
      </c>
      <c r="C66" s="245">
        <v>820</v>
      </c>
      <c r="D66" s="255"/>
      <c r="E66" s="245">
        <f>+C66*0.0833</f>
        <v>68.305999999999997</v>
      </c>
      <c r="F66" s="245">
        <f>(394/12)</f>
        <v>32.833333333333336</v>
      </c>
      <c r="G66" s="470">
        <f>+C66/12</f>
        <v>68.333333333333329</v>
      </c>
      <c r="H66" s="470">
        <f>+C66*0.1115</f>
        <v>91.43</v>
      </c>
      <c r="I66" s="245">
        <f>SUM(C66:H66)</f>
        <v>1080.9026666666668</v>
      </c>
      <c r="J66" s="245"/>
      <c r="K66" s="362">
        <f>SUM(I66:J66)</f>
        <v>1080.9026666666668</v>
      </c>
      <c r="L66" s="351"/>
      <c r="M66" s="366">
        <f t="shared" si="45"/>
        <v>13.731560448867246</v>
      </c>
      <c r="N66" s="245">
        <f t="shared" si="46"/>
        <v>39.794062180817278</v>
      </c>
      <c r="O66" s="245">
        <f t="shared" si="47"/>
        <v>49.466628287241164</v>
      </c>
      <c r="P66" s="245">
        <f t="shared" si="48"/>
        <v>71.884153099677064</v>
      </c>
      <c r="Q66" s="245">
        <f t="shared" si="49"/>
        <v>78.283529932377263</v>
      </c>
      <c r="R66" s="245">
        <f t="shared" si="50"/>
        <v>98.202846145284013</v>
      </c>
      <c r="S66" s="245">
        <f t="shared" si="51"/>
        <v>103.21785972378527</v>
      </c>
      <c r="T66" s="245">
        <f t="shared" si="52"/>
        <v>122.24720800086516</v>
      </c>
      <c r="U66" s="245" t="e">
        <f t="shared" si="53"/>
        <v>#REF!</v>
      </c>
      <c r="V66" s="246">
        <f t="shared" si="54"/>
        <v>0</v>
      </c>
    </row>
    <row r="67" spans="1:22" ht="15" customHeight="1" x14ac:dyDescent="0.3">
      <c r="A67" s="1019"/>
      <c r="B67" s="237">
        <v>1</v>
      </c>
      <c r="C67" s="247">
        <v>900</v>
      </c>
      <c r="D67" s="51"/>
      <c r="E67" s="247">
        <f>+C67*0.0833</f>
        <v>74.97</v>
      </c>
      <c r="F67" s="247">
        <f>(394/12)</f>
        <v>32.833333333333336</v>
      </c>
      <c r="G67" s="295">
        <f>+C67/12</f>
        <v>75</v>
      </c>
      <c r="H67" s="295">
        <f>+C67*0.1115</f>
        <v>100.35000000000001</v>
      </c>
      <c r="I67" s="247">
        <f>SUM(C67:H67)</f>
        <v>1183.1533333333332</v>
      </c>
      <c r="J67" s="247"/>
      <c r="K67" s="359">
        <f>SUM(I67:J67)</f>
        <v>1183.1533333333332</v>
      </c>
      <c r="L67" s="351"/>
      <c r="M67" s="345">
        <f t="shared" si="45"/>
        <v>15.030531441880157</v>
      </c>
      <c r="N67" s="249">
        <f t="shared" si="46"/>
        <v>43.558480118568703</v>
      </c>
      <c r="O67" s="249">
        <f t="shared" si="47"/>
        <v>54.146046588354849</v>
      </c>
      <c r="P67" s="249">
        <f t="shared" si="48"/>
        <v>78.684212720102977</v>
      </c>
      <c r="Q67" s="249">
        <f t="shared" si="49"/>
        <v>85.688954464532642</v>
      </c>
      <c r="R67" s="249">
        <f t="shared" si="50"/>
        <v>107.49258776270935</v>
      </c>
      <c r="S67" s="249">
        <f t="shared" si="51"/>
        <v>112.9820089798979</v>
      </c>
      <c r="T67" s="249">
        <f t="shared" si="52"/>
        <v>133.81148561965824</v>
      </c>
      <c r="U67" s="249" t="e">
        <f t="shared" si="53"/>
        <v>#REF!</v>
      </c>
      <c r="V67" s="251">
        <f t="shared" si="54"/>
        <v>0</v>
      </c>
    </row>
    <row r="68" spans="1:22" ht="15" customHeight="1" x14ac:dyDescent="0.3">
      <c r="A68" s="1019"/>
      <c r="B68" s="237">
        <v>1</v>
      </c>
      <c r="C68" s="247">
        <v>700</v>
      </c>
      <c r="D68" s="51"/>
      <c r="E68" s="247">
        <f>+C68*0.0833</f>
        <v>58.31</v>
      </c>
      <c r="F68" s="247">
        <f>(394/12)</f>
        <v>32.833333333333336</v>
      </c>
      <c r="G68" s="295">
        <f>+C68/12</f>
        <v>58.333333333333336</v>
      </c>
      <c r="H68" s="295">
        <f>+C68*0.1115</f>
        <v>78.05</v>
      </c>
      <c r="I68" s="247">
        <f>SUM(C68:H68)</f>
        <v>927.52666666666664</v>
      </c>
      <c r="J68" s="247"/>
      <c r="K68" s="359">
        <f>SUM(I68:J68)</f>
        <v>927.52666666666664</v>
      </c>
      <c r="L68" s="351"/>
      <c r="M68" s="345">
        <f t="shared" si="45"/>
        <v>11.783103959347873</v>
      </c>
      <c r="N68" s="249">
        <f t="shared" si="46"/>
        <v>34.14743527419013</v>
      </c>
      <c r="O68" s="249">
        <f t="shared" si="47"/>
        <v>42.447500835570615</v>
      </c>
      <c r="P68" s="249">
        <f t="shared" si="48"/>
        <v>61.68406366903816</v>
      </c>
      <c r="Q68" s="249">
        <f t="shared" si="49"/>
        <v>67.175393134144144</v>
      </c>
      <c r="R68" s="249">
        <f t="shared" si="50"/>
        <v>84.268233719145968</v>
      </c>
      <c r="S68" s="249">
        <f t="shared" si="51"/>
        <v>88.571635839616278</v>
      </c>
      <c r="T68" s="249">
        <f t="shared" si="52"/>
        <v>104.90079157267549</v>
      </c>
      <c r="U68" s="249" t="e">
        <f t="shared" si="53"/>
        <v>#REF!</v>
      </c>
      <c r="V68" s="251">
        <f t="shared" si="54"/>
        <v>0</v>
      </c>
    </row>
    <row r="69" spans="1:22" ht="15" customHeight="1" x14ac:dyDescent="0.3">
      <c r="A69" s="1019"/>
      <c r="B69" s="237">
        <v>1</v>
      </c>
      <c r="C69" s="247">
        <f>387.07*2</f>
        <v>774.14</v>
      </c>
      <c r="D69" s="51"/>
      <c r="E69" s="247">
        <f>+C69*0.0833</f>
        <v>64.485861999999997</v>
      </c>
      <c r="F69" s="247">
        <f>(394/12)</f>
        <v>32.833333333333336</v>
      </c>
      <c r="G69" s="295">
        <f>+C69/12</f>
        <v>64.51166666666667</v>
      </c>
      <c r="H69" s="295">
        <f>+C69*0.1115</f>
        <v>86.316609999999997</v>
      </c>
      <c r="I69" s="247">
        <f>SUM(C69:H69)</f>
        <v>1022.287472</v>
      </c>
      <c r="J69" s="247"/>
      <c r="K69" s="359">
        <f>SUM(I69:J69)</f>
        <v>1022.287472</v>
      </c>
      <c r="L69" s="351"/>
      <c r="M69" s="345">
        <f t="shared" si="45"/>
        <v>12.986925327122592</v>
      </c>
      <c r="N69" s="249">
        <f t="shared" si="46"/>
        <v>37.636109598001269</v>
      </c>
      <c r="O69" s="249">
        <f t="shared" si="47"/>
        <v>46.784151746127733</v>
      </c>
      <c r="P69" s="249">
        <f t="shared" si="48"/>
        <v>67.986018922267903</v>
      </c>
      <c r="Q69" s="249">
        <f t="shared" si="49"/>
        <v>74.038370319319171</v>
      </c>
      <c r="R69" s="249">
        <f t="shared" si="50"/>
        <v>92.877501763094926</v>
      </c>
      <c r="S69" s="249">
        <f t="shared" si="51"/>
        <v>97.620561162718673</v>
      </c>
      <c r="T69" s="249">
        <f t="shared" si="52"/>
        <v>115.61798585589202</v>
      </c>
      <c r="U69" s="249" t="e">
        <f t="shared" si="53"/>
        <v>#REF!</v>
      </c>
      <c r="V69" s="251">
        <f t="shared" si="54"/>
        <v>0</v>
      </c>
    </row>
    <row r="70" spans="1:22" ht="10.8" thickBot="1" x14ac:dyDescent="0.35">
      <c r="A70" s="1020"/>
      <c r="B70" s="239"/>
      <c r="C70" s="233"/>
      <c r="D70" s="139"/>
      <c r="E70" s="233"/>
      <c r="F70" s="233"/>
      <c r="G70" s="139"/>
      <c r="H70" s="139"/>
      <c r="I70" s="233"/>
      <c r="J70" s="233"/>
      <c r="K70" s="360"/>
      <c r="L70" s="351"/>
      <c r="M70" s="346">
        <f t="shared" si="5"/>
        <v>0</v>
      </c>
      <c r="N70" s="347">
        <f t="shared" si="15"/>
        <v>0</v>
      </c>
      <c r="O70" s="347">
        <f t="shared" si="16"/>
        <v>0</v>
      </c>
      <c r="P70" s="347">
        <f t="shared" si="17"/>
        <v>0</v>
      </c>
      <c r="Q70" s="347">
        <f t="shared" si="18"/>
        <v>0</v>
      </c>
      <c r="R70" s="347">
        <f t="shared" si="19"/>
        <v>0</v>
      </c>
      <c r="S70" s="347">
        <f t="shared" si="20"/>
        <v>0</v>
      </c>
      <c r="T70" s="347">
        <f t="shared" si="21"/>
        <v>0</v>
      </c>
      <c r="U70" s="347" t="e">
        <f t="shared" si="22"/>
        <v>#REF!</v>
      </c>
      <c r="V70" s="348">
        <f t="shared" si="23"/>
        <v>0</v>
      </c>
    </row>
    <row r="71" spans="1:22" x14ac:dyDescent="0.3">
      <c r="A71" s="1024" t="s">
        <v>238</v>
      </c>
      <c r="B71" s="236">
        <v>1</v>
      </c>
      <c r="C71" s="245">
        <v>1500</v>
      </c>
      <c r="D71" s="255"/>
      <c r="E71" s="245">
        <f t="shared" ref="E71:E80" si="55">+C71*0.0833</f>
        <v>124.95</v>
      </c>
      <c r="F71" s="245">
        <f>(394/12)</f>
        <v>32.833333333333336</v>
      </c>
      <c r="G71" s="245">
        <f t="shared" ref="G71:G80" si="56">+C71/12</f>
        <v>125</v>
      </c>
      <c r="H71" s="245">
        <f t="shared" ref="H71:H80" si="57">+C71*0.1115</f>
        <v>167.25</v>
      </c>
      <c r="I71" s="245">
        <f t="shared" ref="I71:I80" si="58">SUM(C71:H71)</f>
        <v>1950.0333333333333</v>
      </c>
      <c r="J71" s="245"/>
      <c r="K71" s="362">
        <f t="shared" si="25"/>
        <v>1950.0333333333333</v>
      </c>
      <c r="L71" s="351"/>
      <c r="M71" s="366">
        <f t="shared" si="5"/>
        <v>24.772813889477025</v>
      </c>
      <c r="N71" s="245">
        <f t="shared" si="15"/>
        <v>71.791614651704407</v>
      </c>
      <c r="O71" s="245">
        <f t="shared" si="16"/>
        <v>89.241683846707588</v>
      </c>
      <c r="P71" s="245">
        <f t="shared" si="17"/>
        <v>129.68465987329748</v>
      </c>
      <c r="Q71" s="245">
        <f t="shared" si="18"/>
        <v>141.22963845569819</v>
      </c>
      <c r="R71" s="245">
        <f t="shared" si="19"/>
        <v>177.16564989339955</v>
      </c>
      <c r="S71" s="245">
        <f t="shared" si="20"/>
        <v>186.21312840074287</v>
      </c>
      <c r="T71" s="245">
        <f t="shared" si="21"/>
        <v>220.54356776060663</v>
      </c>
      <c r="U71" s="245" t="e">
        <f t="shared" si="22"/>
        <v>#REF!</v>
      </c>
      <c r="V71" s="246">
        <f t="shared" si="23"/>
        <v>0</v>
      </c>
    </row>
    <row r="72" spans="1:22" x14ac:dyDescent="0.3">
      <c r="A72" s="1025"/>
      <c r="B72" s="237">
        <v>1</v>
      </c>
      <c r="C72" s="247">
        <v>820</v>
      </c>
      <c r="D72" s="51"/>
      <c r="E72" s="247">
        <f t="shared" si="55"/>
        <v>68.305999999999997</v>
      </c>
      <c r="F72" s="247">
        <f>(394/12)</f>
        <v>32.833333333333336</v>
      </c>
      <c r="G72" s="247">
        <f t="shared" si="56"/>
        <v>68.333333333333329</v>
      </c>
      <c r="H72" s="247">
        <f t="shared" si="57"/>
        <v>91.43</v>
      </c>
      <c r="I72" s="247">
        <f t="shared" si="58"/>
        <v>1080.9026666666668</v>
      </c>
      <c r="J72" s="247"/>
      <c r="K72" s="359">
        <f t="shared" si="25"/>
        <v>1080.9026666666668</v>
      </c>
      <c r="L72" s="351"/>
      <c r="M72" s="345">
        <f t="shared" si="5"/>
        <v>13.731560448867246</v>
      </c>
      <c r="N72" s="249">
        <f t="shared" si="15"/>
        <v>39.794062180817278</v>
      </c>
      <c r="O72" s="249">
        <f t="shared" si="16"/>
        <v>49.466628287241164</v>
      </c>
      <c r="P72" s="249">
        <f t="shared" si="17"/>
        <v>71.884153099677064</v>
      </c>
      <c r="Q72" s="249">
        <f t="shared" si="18"/>
        <v>78.283529932377263</v>
      </c>
      <c r="R72" s="249">
        <f t="shared" si="19"/>
        <v>98.202846145284013</v>
      </c>
      <c r="S72" s="249">
        <f t="shared" si="20"/>
        <v>103.21785972378527</v>
      </c>
      <c r="T72" s="249">
        <f t="shared" si="21"/>
        <v>122.24720800086516</v>
      </c>
      <c r="U72" s="249" t="e">
        <f t="shared" si="22"/>
        <v>#REF!</v>
      </c>
      <c r="V72" s="251">
        <f t="shared" si="23"/>
        <v>0</v>
      </c>
    </row>
    <row r="73" spans="1:22" x14ac:dyDescent="0.3">
      <c r="A73" s="1025"/>
      <c r="B73" s="237">
        <v>1</v>
      </c>
      <c r="C73" s="247">
        <v>820</v>
      </c>
      <c r="D73" s="51"/>
      <c r="E73" s="247">
        <f t="shared" si="55"/>
        <v>68.305999999999997</v>
      </c>
      <c r="F73" s="247">
        <f>(394/12)</f>
        <v>32.833333333333336</v>
      </c>
      <c r="G73" s="247">
        <f t="shared" si="56"/>
        <v>68.333333333333329</v>
      </c>
      <c r="H73" s="247">
        <f t="shared" si="57"/>
        <v>91.43</v>
      </c>
      <c r="I73" s="247">
        <f t="shared" si="58"/>
        <v>1080.9026666666668</v>
      </c>
      <c r="J73" s="247"/>
      <c r="K73" s="359">
        <f t="shared" si="25"/>
        <v>1080.9026666666668</v>
      </c>
      <c r="L73" s="351"/>
      <c r="M73" s="345">
        <f t="shared" si="5"/>
        <v>13.731560448867246</v>
      </c>
      <c r="N73" s="249">
        <f t="shared" si="15"/>
        <v>39.794062180817278</v>
      </c>
      <c r="O73" s="249">
        <f t="shared" si="16"/>
        <v>49.466628287241164</v>
      </c>
      <c r="P73" s="249">
        <f t="shared" si="17"/>
        <v>71.884153099677064</v>
      </c>
      <c r="Q73" s="249">
        <f t="shared" si="18"/>
        <v>78.283529932377263</v>
      </c>
      <c r="R73" s="249">
        <f t="shared" si="19"/>
        <v>98.202846145284013</v>
      </c>
      <c r="S73" s="249">
        <f t="shared" si="20"/>
        <v>103.21785972378527</v>
      </c>
      <c r="T73" s="249">
        <f t="shared" si="21"/>
        <v>122.24720800086516</v>
      </c>
      <c r="U73" s="249" t="e">
        <f t="shared" si="22"/>
        <v>#REF!</v>
      </c>
      <c r="V73" s="251">
        <f t="shared" si="23"/>
        <v>0</v>
      </c>
    </row>
    <row r="74" spans="1:22" x14ac:dyDescent="0.3">
      <c r="A74" s="1025"/>
      <c r="B74" s="237">
        <v>1</v>
      </c>
      <c r="C74" s="247">
        <v>2200</v>
      </c>
      <c r="D74" s="51"/>
      <c r="E74" s="247">
        <f t="shared" si="55"/>
        <v>183.26</v>
      </c>
      <c r="F74" s="247">
        <f>(394/12)</f>
        <v>32.833333333333336</v>
      </c>
      <c r="G74" s="247">
        <f t="shared" si="56"/>
        <v>183.33333333333334</v>
      </c>
      <c r="H74" s="247">
        <f t="shared" si="57"/>
        <v>245.3</v>
      </c>
      <c r="I74" s="247">
        <f t="shared" si="58"/>
        <v>2844.7266666666674</v>
      </c>
      <c r="J74" s="247"/>
      <c r="K74" s="359">
        <f t="shared" si="25"/>
        <v>2844.7266666666674</v>
      </c>
      <c r="L74" s="351"/>
      <c r="M74" s="345">
        <f t="shared" ref="M74:M79" si="59">+(K74/$B$2)*$M$2*6</f>
        <v>36.138810078340043</v>
      </c>
      <c r="N74" s="249">
        <f t="shared" ref="N74:N79" si="60">+(K74/$B$2)*$N$2*6</f>
        <v>104.73027160702944</v>
      </c>
      <c r="O74" s="249">
        <f t="shared" ref="O74:O79" si="61">+(K74/$B$2)*$O$2*6</f>
        <v>130.18659398145249</v>
      </c>
      <c r="P74" s="249">
        <f t="shared" ref="P74:P79" si="62">+(K74/$B$2)*$P$2*6</f>
        <v>189.18518155202446</v>
      </c>
      <c r="Q74" s="249">
        <f t="shared" ref="Q74:Q79" si="63">+(K74/$B$2)*$Q$2*6</f>
        <v>206.027103112058</v>
      </c>
      <c r="R74" s="249">
        <f t="shared" ref="R74:R79" si="64">+(K74/$B$2)*$R$2*6</f>
        <v>258.45088904587152</v>
      </c>
      <c r="S74" s="249">
        <f t="shared" ref="S74:S79" si="65">+(K74/$B$2)*$S$2*6</f>
        <v>271.64943439172873</v>
      </c>
      <c r="T74" s="249">
        <f t="shared" ref="T74:T79" si="66">+(K74/$B$2)*$T$2*6</f>
        <v>321.7309969250465</v>
      </c>
      <c r="U74" s="249" t="e">
        <f t="shared" ref="U74:U79" si="67">+(K74/$B$2)*$U$2*6</f>
        <v>#REF!</v>
      </c>
      <c r="V74" s="251">
        <f t="shared" ref="V74:V79" si="68">+(K74/$B$2)*$V$2*6</f>
        <v>0</v>
      </c>
    </row>
    <row r="75" spans="1:22" x14ac:dyDescent="0.3">
      <c r="A75" s="1025"/>
      <c r="B75" s="237">
        <v>1</v>
      </c>
      <c r="C75" s="247">
        <v>820</v>
      </c>
      <c r="D75" s="51"/>
      <c r="E75" s="247">
        <f t="shared" si="55"/>
        <v>68.305999999999997</v>
      </c>
      <c r="F75" s="247">
        <f>(394/12)</f>
        <v>32.833333333333336</v>
      </c>
      <c r="G75" s="247">
        <f t="shared" si="56"/>
        <v>68.333333333333329</v>
      </c>
      <c r="H75" s="247">
        <f t="shared" si="57"/>
        <v>91.43</v>
      </c>
      <c r="I75" s="247">
        <f t="shared" si="58"/>
        <v>1080.9026666666668</v>
      </c>
      <c r="J75" s="247"/>
      <c r="K75" s="359">
        <f t="shared" si="25"/>
        <v>1080.9026666666668</v>
      </c>
      <c r="L75" s="351"/>
      <c r="M75" s="345">
        <f t="shared" si="59"/>
        <v>13.731560448867246</v>
      </c>
      <c r="N75" s="249">
        <f t="shared" si="60"/>
        <v>39.794062180817278</v>
      </c>
      <c r="O75" s="249">
        <f t="shared" si="61"/>
        <v>49.466628287241164</v>
      </c>
      <c r="P75" s="249">
        <f t="shared" si="62"/>
        <v>71.884153099677064</v>
      </c>
      <c r="Q75" s="249">
        <f t="shared" si="63"/>
        <v>78.283529932377263</v>
      </c>
      <c r="R75" s="249">
        <f t="shared" si="64"/>
        <v>98.202846145284013</v>
      </c>
      <c r="S75" s="249">
        <f t="shared" si="65"/>
        <v>103.21785972378527</v>
      </c>
      <c r="T75" s="249">
        <f t="shared" si="66"/>
        <v>122.24720800086516</v>
      </c>
      <c r="U75" s="249" t="e">
        <f t="shared" si="67"/>
        <v>#REF!</v>
      </c>
      <c r="V75" s="251">
        <f t="shared" si="68"/>
        <v>0</v>
      </c>
    </row>
    <row r="76" spans="1:22" x14ac:dyDescent="0.3">
      <c r="A76" s="1025"/>
      <c r="B76" s="237">
        <v>1</v>
      </c>
      <c r="C76" s="247">
        <v>900</v>
      </c>
      <c r="D76" s="51"/>
      <c r="E76" s="247">
        <f t="shared" si="55"/>
        <v>74.97</v>
      </c>
      <c r="F76" s="247"/>
      <c r="G76" s="247">
        <f t="shared" si="56"/>
        <v>75</v>
      </c>
      <c r="H76" s="247">
        <f t="shared" si="57"/>
        <v>100.35000000000001</v>
      </c>
      <c r="I76" s="247">
        <f t="shared" si="58"/>
        <v>1150.32</v>
      </c>
      <c r="J76" s="247"/>
      <c r="K76" s="359">
        <f t="shared" si="25"/>
        <v>1150.32</v>
      </c>
      <c r="L76" s="351"/>
      <c r="M76" s="345">
        <f t="shared" si="59"/>
        <v>14.613423671395299</v>
      </c>
      <c r="N76" s="249">
        <f t="shared" si="60"/>
        <v>42.349701799703574</v>
      </c>
      <c r="O76" s="249">
        <f t="shared" si="61"/>
        <v>52.643455887529107</v>
      </c>
      <c r="P76" s="249">
        <f t="shared" si="62"/>
        <v>76.500670729791736</v>
      </c>
      <c r="Q76" s="249">
        <f t="shared" si="63"/>
        <v>83.311025986748291</v>
      </c>
      <c r="R76" s="249">
        <f t="shared" si="64"/>
        <v>104.5095931960353</v>
      </c>
      <c r="S76" s="249">
        <f t="shared" si="65"/>
        <v>109.84667913126745</v>
      </c>
      <c r="T76" s="249">
        <f t="shared" si="66"/>
        <v>130.09812321142255</v>
      </c>
      <c r="U76" s="249" t="e">
        <f t="shared" si="67"/>
        <v>#REF!</v>
      </c>
      <c r="V76" s="251">
        <f t="shared" si="68"/>
        <v>0</v>
      </c>
    </row>
    <row r="77" spans="1:22" x14ac:dyDescent="0.3">
      <c r="A77" s="1025"/>
      <c r="B77" s="237"/>
      <c r="C77" s="247"/>
      <c r="D77" s="51"/>
      <c r="E77" s="247">
        <f t="shared" si="55"/>
        <v>0</v>
      </c>
      <c r="F77" s="247"/>
      <c r="G77" s="247">
        <f t="shared" si="56"/>
        <v>0</v>
      </c>
      <c r="H77" s="247">
        <f t="shared" si="57"/>
        <v>0</v>
      </c>
      <c r="I77" s="247">
        <f t="shared" si="58"/>
        <v>0</v>
      </c>
      <c r="J77" s="247"/>
      <c r="K77" s="359">
        <f t="shared" si="25"/>
        <v>0</v>
      </c>
      <c r="L77" s="351"/>
      <c r="M77" s="345">
        <f t="shared" si="59"/>
        <v>0</v>
      </c>
      <c r="N77" s="249">
        <f t="shared" si="60"/>
        <v>0</v>
      </c>
      <c r="O77" s="249">
        <f t="shared" si="61"/>
        <v>0</v>
      </c>
      <c r="P77" s="249">
        <f t="shared" si="62"/>
        <v>0</v>
      </c>
      <c r="Q77" s="249">
        <f t="shared" si="63"/>
        <v>0</v>
      </c>
      <c r="R77" s="249">
        <f t="shared" si="64"/>
        <v>0</v>
      </c>
      <c r="S77" s="249">
        <f t="shared" si="65"/>
        <v>0</v>
      </c>
      <c r="T77" s="249">
        <f t="shared" si="66"/>
        <v>0</v>
      </c>
      <c r="U77" s="249" t="e">
        <f t="shared" si="67"/>
        <v>#REF!</v>
      </c>
      <c r="V77" s="251">
        <f t="shared" si="68"/>
        <v>0</v>
      </c>
    </row>
    <row r="78" spans="1:22" x14ac:dyDescent="0.3">
      <c r="A78" s="1025"/>
      <c r="B78" s="237"/>
      <c r="C78" s="247"/>
      <c r="D78" s="51"/>
      <c r="E78" s="247">
        <f t="shared" si="55"/>
        <v>0</v>
      </c>
      <c r="F78" s="247"/>
      <c r="G78" s="247">
        <f t="shared" si="56"/>
        <v>0</v>
      </c>
      <c r="H78" s="247">
        <f t="shared" si="57"/>
        <v>0</v>
      </c>
      <c r="I78" s="247">
        <f t="shared" si="58"/>
        <v>0</v>
      </c>
      <c r="J78" s="247"/>
      <c r="K78" s="359">
        <f t="shared" si="25"/>
        <v>0</v>
      </c>
      <c r="L78" s="351"/>
      <c r="M78" s="345">
        <f t="shared" si="59"/>
        <v>0</v>
      </c>
      <c r="N78" s="249">
        <f t="shared" si="60"/>
        <v>0</v>
      </c>
      <c r="O78" s="249">
        <f t="shared" si="61"/>
        <v>0</v>
      </c>
      <c r="P78" s="249">
        <f t="shared" si="62"/>
        <v>0</v>
      </c>
      <c r="Q78" s="249">
        <f t="shared" si="63"/>
        <v>0</v>
      </c>
      <c r="R78" s="249">
        <f t="shared" si="64"/>
        <v>0</v>
      </c>
      <c r="S78" s="249">
        <f t="shared" si="65"/>
        <v>0</v>
      </c>
      <c r="T78" s="249">
        <f t="shared" si="66"/>
        <v>0</v>
      </c>
      <c r="U78" s="249" t="e">
        <f t="shared" si="67"/>
        <v>#REF!</v>
      </c>
      <c r="V78" s="251">
        <f t="shared" si="68"/>
        <v>0</v>
      </c>
    </row>
    <row r="79" spans="1:22" x14ac:dyDescent="0.3">
      <c r="A79" s="1025"/>
      <c r="B79" s="237"/>
      <c r="C79" s="247"/>
      <c r="D79" s="51"/>
      <c r="E79" s="247">
        <f t="shared" si="55"/>
        <v>0</v>
      </c>
      <c r="F79" s="247"/>
      <c r="G79" s="247">
        <f t="shared" si="56"/>
        <v>0</v>
      </c>
      <c r="H79" s="247">
        <f t="shared" si="57"/>
        <v>0</v>
      </c>
      <c r="I79" s="247">
        <f t="shared" si="58"/>
        <v>0</v>
      </c>
      <c r="J79" s="247"/>
      <c r="K79" s="359">
        <f t="shared" si="25"/>
        <v>0</v>
      </c>
      <c r="L79" s="351"/>
      <c r="M79" s="345">
        <f t="shared" si="59"/>
        <v>0</v>
      </c>
      <c r="N79" s="249">
        <f t="shared" si="60"/>
        <v>0</v>
      </c>
      <c r="O79" s="249">
        <f t="shared" si="61"/>
        <v>0</v>
      </c>
      <c r="P79" s="249">
        <f t="shared" si="62"/>
        <v>0</v>
      </c>
      <c r="Q79" s="249">
        <f t="shared" si="63"/>
        <v>0</v>
      </c>
      <c r="R79" s="249">
        <f t="shared" si="64"/>
        <v>0</v>
      </c>
      <c r="S79" s="249">
        <f t="shared" si="65"/>
        <v>0</v>
      </c>
      <c r="T79" s="249">
        <f t="shared" si="66"/>
        <v>0</v>
      </c>
      <c r="U79" s="249" t="e">
        <f t="shared" si="67"/>
        <v>#REF!</v>
      </c>
      <c r="V79" s="251">
        <f t="shared" si="68"/>
        <v>0</v>
      </c>
    </row>
    <row r="80" spans="1:22" ht="10.8" thickBot="1" x14ac:dyDescent="0.35">
      <c r="A80" s="1026"/>
      <c r="B80" s="239"/>
      <c r="C80" s="233"/>
      <c r="D80" s="139"/>
      <c r="E80" s="233">
        <f t="shared" si="55"/>
        <v>0</v>
      </c>
      <c r="F80" s="233"/>
      <c r="G80" s="233">
        <f t="shared" si="56"/>
        <v>0</v>
      </c>
      <c r="H80" s="233">
        <f t="shared" si="57"/>
        <v>0</v>
      </c>
      <c r="I80" s="233">
        <f t="shared" si="58"/>
        <v>0</v>
      </c>
      <c r="J80" s="233"/>
      <c r="K80" s="360">
        <f t="shared" si="25"/>
        <v>0</v>
      </c>
      <c r="L80" s="351"/>
      <c r="M80" s="346">
        <f t="shared" si="5"/>
        <v>0</v>
      </c>
      <c r="N80" s="347">
        <f t="shared" si="15"/>
        <v>0</v>
      </c>
      <c r="O80" s="347">
        <f t="shared" si="16"/>
        <v>0</v>
      </c>
      <c r="P80" s="347">
        <f t="shared" si="17"/>
        <v>0</v>
      </c>
      <c r="Q80" s="347">
        <f t="shared" si="18"/>
        <v>0</v>
      </c>
      <c r="R80" s="347">
        <f t="shared" si="19"/>
        <v>0</v>
      </c>
      <c r="S80" s="347">
        <f t="shared" si="20"/>
        <v>0</v>
      </c>
      <c r="T80" s="347">
        <f t="shared" si="21"/>
        <v>0</v>
      </c>
      <c r="U80" s="347" t="e">
        <f t="shared" si="22"/>
        <v>#REF!</v>
      </c>
      <c r="V80" s="348">
        <f t="shared" si="23"/>
        <v>0</v>
      </c>
    </row>
    <row r="81" spans="1:22" x14ac:dyDescent="0.3">
      <c r="A81" s="1018" t="s">
        <v>239</v>
      </c>
      <c r="B81" s="236">
        <v>1</v>
      </c>
      <c r="C81" s="245">
        <v>820</v>
      </c>
      <c r="D81" s="255">
        <v>0</v>
      </c>
      <c r="E81" s="245">
        <f>+C81*0.0833</f>
        <v>68.305999999999997</v>
      </c>
      <c r="F81" s="245">
        <f>(394/12)</f>
        <v>32.833333333333336</v>
      </c>
      <c r="G81" s="245">
        <f>+C81/12</f>
        <v>68.333333333333329</v>
      </c>
      <c r="H81" s="245">
        <f>+C81*0.1115</f>
        <v>91.43</v>
      </c>
      <c r="I81" s="245">
        <f>SUM(C81:H81)</f>
        <v>1080.9026666666668</v>
      </c>
      <c r="J81" s="245"/>
      <c r="K81" s="362">
        <f t="shared" si="25"/>
        <v>1080.9026666666668</v>
      </c>
      <c r="L81" s="351"/>
      <c r="M81" s="366">
        <f t="shared" si="5"/>
        <v>13.731560448867246</v>
      </c>
      <c r="N81" s="245">
        <f t="shared" si="15"/>
        <v>39.794062180817278</v>
      </c>
      <c r="O81" s="245">
        <f t="shared" si="16"/>
        <v>49.466628287241164</v>
      </c>
      <c r="P81" s="245">
        <f t="shared" si="17"/>
        <v>71.884153099677064</v>
      </c>
      <c r="Q81" s="245">
        <f t="shared" si="18"/>
        <v>78.283529932377263</v>
      </c>
      <c r="R81" s="245">
        <f t="shared" si="19"/>
        <v>98.202846145284013</v>
      </c>
      <c r="S81" s="245">
        <f t="shared" si="20"/>
        <v>103.21785972378527</v>
      </c>
      <c r="T81" s="245">
        <f t="shared" si="21"/>
        <v>122.24720800086516</v>
      </c>
      <c r="U81" s="245" t="e">
        <f t="shared" si="22"/>
        <v>#REF!</v>
      </c>
      <c r="V81" s="246">
        <f t="shared" si="23"/>
        <v>0</v>
      </c>
    </row>
    <row r="82" spans="1:22" x14ac:dyDescent="0.3">
      <c r="A82" s="1019"/>
      <c r="B82" s="240">
        <v>1</v>
      </c>
      <c r="C82" s="249">
        <v>820</v>
      </c>
      <c r="D82" s="202"/>
      <c r="E82" s="247">
        <f>+C82*0.0833</f>
        <v>68.305999999999997</v>
      </c>
      <c r="F82" s="247">
        <f>(394/12)</f>
        <v>32.833333333333336</v>
      </c>
      <c r="G82" s="247">
        <f>+C82/12</f>
        <v>68.333333333333329</v>
      </c>
      <c r="H82" s="247">
        <f>+C82*0.1115</f>
        <v>91.43</v>
      </c>
      <c r="I82" s="247">
        <f>SUM(C82:H82)</f>
        <v>1080.9026666666668</v>
      </c>
      <c r="J82" s="249"/>
      <c r="K82" s="368">
        <f t="shared" si="25"/>
        <v>1080.9026666666668</v>
      </c>
      <c r="L82" s="351"/>
      <c r="M82" s="345">
        <f t="shared" ref="M82:M88" si="69">+(K82/$B$2)*$M$2*6</f>
        <v>13.731560448867246</v>
      </c>
      <c r="N82" s="249">
        <f t="shared" ref="N82:N88" si="70">+(K82/$B$2)*$N$2*6</f>
        <v>39.794062180817278</v>
      </c>
      <c r="O82" s="249">
        <f t="shared" ref="O82:O88" si="71">+(K82/$B$2)*$O$2*6</f>
        <v>49.466628287241164</v>
      </c>
      <c r="P82" s="249">
        <f t="shared" ref="P82:P88" si="72">+(K82/$B$2)*$P$2*6</f>
        <v>71.884153099677064</v>
      </c>
      <c r="Q82" s="249">
        <f t="shared" ref="Q82:Q88" si="73">+(K82/$B$2)*$Q$2*6</f>
        <v>78.283529932377263</v>
      </c>
      <c r="R82" s="249">
        <f t="shared" ref="R82:R88" si="74">+(K82/$B$2)*$R$2*6</f>
        <v>98.202846145284013</v>
      </c>
      <c r="S82" s="249">
        <f t="shared" ref="S82:S88" si="75">+(K82/$B$2)*$S$2*6</f>
        <v>103.21785972378527</v>
      </c>
      <c r="T82" s="249">
        <f t="shared" ref="T82:T88" si="76">+(K82/$B$2)*$T$2*6</f>
        <v>122.24720800086516</v>
      </c>
      <c r="U82" s="249" t="e">
        <f t="shared" ref="U82:U88" si="77">+(K82/$B$2)*$U$2*6</f>
        <v>#REF!</v>
      </c>
      <c r="V82" s="251">
        <f t="shared" ref="V82:V88" si="78">+(K82/$B$2)*$V$2*6</f>
        <v>0</v>
      </c>
    </row>
    <row r="83" spans="1:22" x14ac:dyDescent="0.3">
      <c r="A83" s="1019"/>
      <c r="B83" s="240">
        <v>1</v>
      </c>
      <c r="C83" s="249">
        <v>700</v>
      </c>
      <c r="D83" s="202"/>
      <c r="E83" s="247">
        <f>+C83*0.0833</f>
        <v>58.31</v>
      </c>
      <c r="F83" s="247">
        <f>(394/12)</f>
        <v>32.833333333333336</v>
      </c>
      <c r="G83" s="247">
        <f>+C83/12</f>
        <v>58.333333333333336</v>
      </c>
      <c r="H83" s="247">
        <f>+C83*0.1115</f>
        <v>78.05</v>
      </c>
      <c r="I83" s="247">
        <f>SUM(C83:H83)</f>
        <v>927.52666666666664</v>
      </c>
      <c r="J83" s="249"/>
      <c r="K83" s="368">
        <f t="shared" si="25"/>
        <v>927.52666666666664</v>
      </c>
      <c r="L83" s="351"/>
      <c r="M83" s="345">
        <f t="shared" si="69"/>
        <v>11.783103959347873</v>
      </c>
      <c r="N83" s="249">
        <f t="shared" si="70"/>
        <v>34.14743527419013</v>
      </c>
      <c r="O83" s="249">
        <f t="shared" si="71"/>
        <v>42.447500835570615</v>
      </c>
      <c r="P83" s="249">
        <f t="shared" si="72"/>
        <v>61.68406366903816</v>
      </c>
      <c r="Q83" s="249">
        <f t="shared" si="73"/>
        <v>67.175393134144144</v>
      </c>
      <c r="R83" s="249">
        <f t="shared" si="74"/>
        <v>84.268233719145968</v>
      </c>
      <c r="S83" s="249">
        <f t="shared" si="75"/>
        <v>88.571635839616278</v>
      </c>
      <c r="T83" s="249">
        <f t="shared" si="76"/>
        <v>104.90079157267549</v>
      </c>
      <c r="U83" s="249" t="e">
        <f t="shared" si="77"/>
        <v>#REF!</v>
      </c>
      <c r="V83" s="251">
        <f t="shared" si="78"/>
        <v>0</v>
      </c>
    </row>
    <row r="84" spans="1:22" x14ac:dyDescent="0.3">
      <c r="A84" s="1019"/>
      <c r="B84" s="240">
        <v>1</v>
      </c>
      <c r="C84" s="249">
        <v>700</v>
      </c>
      <c r="D84" s="202"/>
      <c r="E84" s="247">
        <f>+C84*0.0833</f>
        <v>58.31</v>
      </c>
      <c r="F84" s="247">
        <f>(394/12)</f>
        <v>32.833333333333336</v>
      </c>
      <c r="G84" s="247">
        <f>+C84/12</f>
        <v>58.333333333333336</v>
      </c>
      <c r="H84" s="247">
        <f>+C84*0.1115</f>
        <v>78.05</v>
      </c>
      <c r="I84" s="247">
        <f>SUM(C84:H84)</f>
        <v>927.52666666666664</v>
      </c>
      <c r="J84" s="249"/>
      <c r="K84" s="368">
        <f t="shared" si="25"/>
        <v>927.52666666666664</v>
      </c>
      <c r="L84" s="351"/>
      <c r="M84" s="345">
        <f t="shared" si="69"/>
        <v>11.783103959347873</v>
      </c>
      <c r="N84" s="249">
        <f t="shared" si="70"/>
        <v>34.14743527419013</v>
      </c>
      <c r="O84" s="249">
        <f t="shared" si="71"/>
        <v>42.447500835570615</v>
      </c>
      <c r="P84" s="249">
        <f t="shared" si="72"/>
        <v>61.68406366903816</v>
      </c>
      <c r="Q84" s="249">
        <f t="shared" si="73"/>
        <v>67.175393134144144</v>
      </c>
      <c r="R84" s="249">
        <f t="shared" si="74"/>
        <v>84.268233719145968</v>
      </c>
      <c r="S84" s="249">
        <f t="shared" si="75"/>
        <v>88.571635839616278</v>
      </c>
      <c r="T84" s="249">
        <f t="shared" si="76"/>
        <v>104.90079157267549</v>
      </c>
      <c r="U84" s="249" t="e">
        <f t="shared" si="77"/>
        <v>#REF!</v>
      </c>
      <c r="V84" s="251">
        <f t="shared" si="78"/>
        <v>0</v>
      </c>
    </row>
    <row r="85" spans="1:22" ht="10.8" thickBot="1" x14ac:dyDescent="0.35">
      <c r="A85" s="1020"/>
      <c r="B85" s="467"/>
      <c r="C85" s="347"/>
      <c r="D85" s="468"/>
      <c r="E85" s="233">
        <f>+C85*0.0833</f>
        <v>0</v>
      </c>
      <c r="F85" s="233"/>
      <c r="G85" s="233">
        <f>+C85/12</f>
        <v>0</v>
      </c>
      <c r="H85" s="233">
        <f>+C85*0.1115</f>
        <v>0</v>
      </c>
      <c r="I85" s="233">
        <f>SUM(C85:H85)</f>
        <v>0</v>
      </c>
      <c r="J85" s="347"/>
      <c r="K85" s="369">
        <f t="shared" si="25"/>
        <v>0</v>
      </c>
      <c r="L85" s="351"/>
      <c r="M85" s="346">
        <f t="shared" si="69"/>
        <v>0</v>
      </c>
      <c r="N85" s="347">
        <f t="shared" si="70"/>
        <v>0</v>
      </c>
      <c r="O85" s="347">
        <f t="shared" si="71"/>
        <v>0</v>
      </c>
      <c r="P85" s="347">
        <f t="shared" si="72"/>
        <v>0</v>
      </c>
      <c r="Q85" s="347">
        <f t="shared" si="73"/>
        <v>0</v>
      </c>
      <c r="R85" s="347">
        <f t="shared" si="74"/>
        <v>0</v>
      </c>
      <c r="S85" s="347">
        <f t="shared" si="75"/>
        <v>0</v>
      </c>
      <c r="T85" s="347">
        <f t="shared" si="76"/>
        <v>0</v>
      </c>
      <c r="U85" s="347" t="e">
        <f t="shared" si="77"/>
        <v>#REF!</v>
      </c>
      <c r="V85" s="348">
        <f t="shared" si="78"/>
        <v>0</v>
      </c>
    </row>
    <row r="86" spans="1:22" x14ac:dyDescent="0.3">
      <c r="A86" s="1018" t="s">
        <v>240</v>
      </c>
      <c r="B86" s="236">
        <v>1</v>
      </c>
      <c r="C86" s="245">
        <v>820</v>
      </c>
      <c r="D86" s="255"/>
      <c r="E86" s="245">
        <f t="shared" ref="E86:E116" si="79">+C86*0.0833</f>
        <v>68.305999999999997</v>
      </c>
      <c r="F86" s="245">
        <f t="shared" ref="F86:F113" si="80">(394/12)</f>
        <v>32.833333333333336</v>
      </c>
      <c r="G86" s="245">
        <f t="shared" ref="G86:G116" si="81">+C86/12</f>
        <v>68.333333333333329</v>
      </c>
      <c r="H86" s="245">
        <f t="shared" ref="H86:H116" si="82">+C86*0.1115</f>
        <v>91.43</v>
      </c>
      <c r="I86" s="245">
        <f t="shared" ref="I86:I116" si="83">SUM(C86:H86)</f>
        <v>1080.9026666666668</v>
      </c>
      <c r="J86" s="245"/>
      <c r="K86" s="362">
        <f t="shared" ref="K86:K116" si="84">SUM(I86:J86)</f>
        <v>1080.9026666666668</v>
      </c>
      <c r="L86" s="351"/>
      <c r="M86" s="366">
        <f t="shared" si="69"/>
        <v>13.731560448867246</v>
      </c>
      <c r="N86" s="245">
        <f t="shared" si="70"/>
        <v>39.794062180817278</v>
      </c>
      <c r="O86" s="245">
        <f t="shared" si="71"/>
        <v>49.466628287241164</v>
      </c>
      <c r="P86" s="245">
        <f t="shared" si="72"/>
        <v>71.884153099677064</v>
      </c>
      <c r="Q86" s="245">
        <f t="shared" si="73"/>
        <v>78.283529932377263</v>
      </c>
      <c r="R86" s="245">
        <f t="shared" si="74"/>
        <v>98.202846145284013</v>
      </c>
      <c r="S86" s="245">
        <f t="shared" si="75"/>
        <v>103.21785972378527</v>
      </c>
      <c r="T86" s="245">
        <f t="shared" si="76"/>
        <v>122.24720800086516</v>
      </c>
      <c r="U86" s="245" t="e">
        <f t="shared" si="77"/>
        <v>#REF!</v>
      </c>
      <c r="V86" s="246">
        <f t="shared" si="78"/>
        <v>0</v>
      </c>
    </row>
    <row r="87" spans="1:22" x14ac:dyDescent="0.3">
      <c r="A87" s="1019"/>
      <c r="B87" s="240">
        <v>1</v>
      </c>
      <c r="C87" s="249">
        <v>2000</v>
      </c>
      <c r="D87" s="202"/>
      <c r="E87" s="247">
        <f t="shared" si="79"/>
        <v>166.6</v>
      </c>
      <c r="F87" s="247">
        <f t="shared" si="80"/>
        <v>32.833333333333336</v>
      </c>
      <c r="G87" s="247">
        <f t="shared" si="81"/>
        <v>166.66666666666666</v>
      </c>
      <c r="H87" s="247">
        <f t="shared" si="82"/>
        <v>223</v>
      </c>
      <c r="I87" s="247">
        <f t="shared" si="83"/>
        <v>2589.1</v>
      </c>
      <c r="J87" s="249"/>
      <c r="K87" s="368">
        <f t="shared" si="84"/>
        <v>2589.1</v>
      </c>
      <c r="L87" s="351"/>
      <c r="M87" s="345">
        <f t="shared" si="69"/>
        <v>32.891382595807748</v>
      </c>
      <c r="N87" s="249">
        <f t="shared" si="70"/>
        <v>95.319226762650857</v>
      </c>
      <c r="O87" s="249">
        <f t="shared" si="71"/>
        <v>118.48804822866822</v>
      </c>
      <c r="P87" s="249">
        <f t="shared" si="72"/>
        <v>172.18503250095955</v>
      </c>
      <c r="Q87" s="249">
        <f t="shared" si="73"/>
        <v>187.51354178166946</v>
      </c>
      <c r="R87" s="249">
        <f t="shared" si="74"/>
        <v>235.22653500230808</v>
      </c>
      <c r="S87" s="249">
        <f t="shared" si="75"/>
        <v>247.23906125144703</v>
      </c>
      <c r="T87" s="249">
        <f t="shared" si="76"/>
        <v>292.82030287806356</v>
      </c>
      <c r="U87" s="249" t="e">
        <f t="shared" si="77"/>
        <v>#REF!</v>
      </c>
      <c r="V87" s="251">
        <f t="shared" si="78"/>
        <v>0</v>
      </c>
    </row>
    <row r="88" spans="1:22" x14ac:dyDescent="0.3">
      <c r="A88" s="1019"/>
      <c r="B88" s="240">
        <v>1</v>
      </c>
      <c r="C88" s="249">
        <v>820</v>
      </c>
      <c r="D88" s="202"/>
      <c r="E88" s="247">
        <f t="shared" si="79"/>
        <v>68.305999999999997</v>
      </c>
      <c r="F88" s="247">
        <f t="shared" si="80"/>
        <v>32.833333333333336</v>
      </c>
      <c r="G88" s="247">
        <f t="shared" si="81"/>
        <v>68.333333333333329</v>
      </c>
      <c r="H88" s="247">
        <f t="shared" si="82"/>
        <v>91.43</v>
      </c>
      <c r="I88" s="247">
        <f t="shared" si="83"/>
        <v>1080.9026666666668</v>
      </c>
      <c r="J88" s="249"/>
      <c r="K88" s="368">
        <f t="shared" si="84"/>
        <v>1080.9026666666668</v>
      </c>
      <c r="L88" s="351"/>
      <c r="M88" s="345">
        <f t="shared" si="69"/>
        <v>13.731560448867246</v>
      </c>
      <c r="N88" s="249">
        <f t="shared" si="70"/>
        <v>39.794062180817278</v>
      </c>
      <c r="O88" s="249">
        <f t="shared" si="71"/>
        <v>49.466628287241164</v>
      </c>
      <c r="P88" s="249">
        <f t="shared" si="72"/>
        <v>71.884153099677064</v>
      </c>
      <c r="Q88" s="249">
        <f t="shared" si="73"/>
        <v>78.283529932377263</v>
      </c>
      <c r="R88" s="249">
        <f t="shared" si="74"/>
        <v>98.202846145284013</v>
      </c>
      <c r="S88" s="249">
        <f t="shared" si="75"/>
        <v>103.21785972378527</v>
      </c>
      <c r="T88" s="249">
        <f t="shared" si="76"/>
        <v>122.24720800086516</v>
      </c>
      <c r="U88" s="249" t="e">
        <f t="shared" si="77"/>
        <v>#REF!</v>
      </c>
      <c r="V88" s="251">
        <f t="shared" si="78"/>
        <v>0</v>
      </c>
    </row>
    <row r="89" spans="1:22" x14ac:dyDescent="0.3">
      <c r="A89" s="1019"/>
      <c r="B89" s="240">
        <v>1</v>
      </c>
      <c r="C89" s="249">
        <v>820</v>
      </c>
      <c r="D89" s="202"/>
      <c r="E89" s="247">
        <f t="shared" si="79"/>
        <v>68.305999999999997</v>
      </c>
      <c r="F89" s="247">
        <f t="shared" si="80"/>
        <v>32.833333333333336</v>
      </c>
      <c r="G89" s="247">
        <f t="shared" si="81"/>
        <v>68.333333333333329</v>
      </c>
      <c r="H89" s="247">
        <f t="shared" si="82"/>
        <v>91.43</v>
      </c>
      <c r="I89" s="247">
        <f t="shared" si="83"/>
        <v>1080.9026666666668</v>
      </c>
      <c r="J89" s="249"/>
      <c r="K89" s="368">
        <f t="shared" si="84"/>
        <v>1080.9026666666668</v>
      </c>
      <c r="L89" s="351"/>
      <c r="M89" s="345">
        <f t="shared" ref="M89:M116" si="85">+(K89/$B$2)*$M$2*6</f>
        <v>13.731560448867246</v>
      </c>
      <c r="N89" s="249">
        <f t="shared" ref="N89:N116" si="86">+(K89/$B$2)*$N$2*6</f>
        <v>39.794062180817278</v>
      </c>
      <c r="O89" s="249">
        <f t="shared" ref="O89:O116" si="87">+(K89/$B$2)*$O$2*6</f>
        <v>49.466628287241164</v>
      </c>
      <c r="P89" s="249">
        <f t="shared" ref="P89:P116" si="88">+(K89/$B$2)*$P$2*6</f>
        <v>71.884153099677064</v>
      </c>
      <c r="Q89" s="249">
        <f t="shared" ref="Q89:Q116" si="89">+(K89/$B$2)*$Q$2*6</f>
        <v>78.283529932377263</v>
      </c>
      <c r="R89" s="249">
        <f t="shared" ref="R89:R116" si="90">+(K89/$B$2)*$R$2*6</f>
        <v>98.202846145284013</v>
      </c>
      <c r="S89" s="249">
        <f t="shared" ref="S89:S116" si="91">+(K89/$B$2)*$S$2*6</f>
        <v>103.21785972378527</v>
      </c>
      <c r="T89" s="249">
        <f t="shared" ref="T89:T116" si="92">+(K89/$B$2)*$T$2*6</f>
        <v>122.24720800086516</v>
      </c>
      <c r="U89" s="249" t="e">
        <f t="shared" ref="U89:U116" si="93">+(K89/$B$2)*$U$2*6</f>
        <v>#REF!</v>
      </c>
      <c r="V89" s="251">
        <f t="shared" ref="V89:V116" si="94">+(K89/$B$2)*$V$2*6</f>
        <v>0</v>
      </c>
    </row>
    <row r="90" spans="1:22" x14ac:dyDescent="0.3">
      <c r="A90" s="1019"/>
      <c r="B90" s="240">
        <v>1</v>
      </c>
      <c r="C90" s="249">
        <v>900</v>
      </c>
      <c r="D90" s="202"/>
      <c r="E90" s="247">
        <f t="shared" si="79"/>
        <v>74.97</v>
      </c>
      <c r="F90" s="247">
        <f t="shared" si="80"/>
        <v>32.833333333333336</v>
      </c>
      <c r="G90" s="247">
        <f t="shared" si="81"/>
        <v>75</v>
      </c>
      <c r="H90" s="247">
        <f t="shared" si="82"/>
        <v>100.35000000000001</v>
      </c>
      <c r="I90" s="247">
        <f t="shared" si="83"/>
        <v>1183.1533333333332</v>
      </c>
      <c r="J90" s="249"/>
      <c r="K90" s="368">
        <f t="shared" si="84"/>
        <v>1183.1533333333332</v>
      </c>
      <c r="L90" s="351"/>
      <c r="M90" s="345">
        <f t="shared" si="85"/>
        <v>15.030531441880157</v>
      </c>
      <c r="N90" s="249">
        <f t="shared" si="86"/>
        <v>43.558480118568703</v>
      </c>
      <c r="O90" s="249">
        <f t="shared" si="87"/>
        <v>54.146046588354849</v>
      </c>
      <c r="P90" s="249">
        <f t="shared" si="88"/>
        <v>78.684212720102977</v>
      </c>
      <c r="Q90" s="249">
        <f t="shared" si="89"/>
        <v>85.688954464532642</v>
      </c>
      <c r="R90" s="249">
        <f t="shared" si="90"/>
        <v>107.49258776270935</v>
      </c>
      <c r="S90" s="249">
        <f t="shared" si="91"/>
        <v>112.9820089798979</v>
      </c>
      <c r="T90" s="249">
        <f t="shared" si="92"/>
        <v>133.81148561965824</v>
      </c>
      <c r="U90" s="249" t="e">
        <f t="shared" si="93"/>
        <v>#REF!</v>
      </c>
      <c r="V90" s="251">
        <f t="shared" si="94"/>
        <v>0</v>
      </c>
    </row>
    <row r="91" spans="1:22" x14ac:dyDescent="0.3">
      <c r="A91" s="1019"/>
      <c r="B91" s="240">
        <v>1</v>
      </c>
      <c r="C91" s="249">
        <v>2151.66</v>
      </c>
      <c r="D91" s="202"/>
      <c r="E91" s="247">
        <f t="shared" si="79"/>
        <v>179.23327799999998</v>
      </c>
      <c r="F91" s="247">
        <f t="shared" si="80"/>
        <v>32.833333333333336</v>
      </c>
      <c r="G91" s="247">
        <f t="shared" si="81"/>
        <v>179.30499999999998</v>
      </c>
      <c r="H91" s="247">
        <f t="shared" si="82"/>
        <v>239.91009</v>
      </c>
      <c r="I91" s="247">
        <f t="shared" si="83"/>
        <v>2782.9417013333332</v>
      </c>
      <c r="J91" s="249"/>
      <c r="K91" s="368">
        <f t="shared" si="84"/>
        <v>2782.9417013333332</v>
      </c>
      <c r="L91" s="351"/>
      <c r="M91" s="345">
        <f t="shared" si="85"/>
        <v>35.353906855811985</v>
      </c>
      <c r="N91" s="249">
        <f t="shared" si="86"/>
        <v>102.45562206814313</v>
      </c>
      <c r="O91" s="249">
        <f t="shared" si="87"/>
        <v>127.3590554730045</v>
      </c>
      <c r="P91" s="249">
        <f t="shared" si="88"/>
        <v>185.07624552638202</v>
      </c>
      <c r="Q91" s="249">
        <f t="shared" si="89"/>
        <v>201.55237533850305</v>
      </c>
      <c r="R91" s="249">
        <f t="shared" si="90"/>
        <v>252.83756267354221</v>
      </c>
      <c r="S91" s="249">
        <f t="shared" si="91"/>
        <v>265.74944720372264</v>
      </c>
      <c r="T91" s="249">
        <f t="shared" si="92"/>
        <v>314.74328217389063</v>
      </c>
      <c r="U91" s="249" t="e">
        <f t="shared" si="93"/>
        <v>#REF!</v>
      </c>
      <c r="V91" s="251">
        <f t="shared" si="94"/>
        <v>0</v>
      </c>
    </row>
    <row r="92" spans="1:22" x14ac:dyDescent="0.3">
      <c r="A92" s="1019"/>
      <c r="B92" s="240"/>
      <c r="C92" s="249"/>
      <c r="D92" s="202"/>
      <c r="E92" s="247">
        <f t="shared" si="79"/>
        <v>0</v>
      </c>
      <c r="F92" s="247"/>
      <c r="G92" s="247">
        <f t="shared" si="81"/>
        <v>0</v>
      </c>
      <c r="H92" s="247">
        <f t="shared" si="82"/>
        <v>0</v>
      </c>
      <c r="I92" s="247">
        <f t="shared" si="83"/>
        <v>0</v>
      </c>
      <c r="J92" s="249"/>
      <c r="K92" s="368">
        <f t="shared" si="84"/>
        <v>0</v>
      </c>
      <c r="L92" s="351"/>
      <c r="M92" s="345">
        <f t="shared" si="85"/>
        <v>0</v>
      </c>
      <c r="N92" s="249">
        <f t="shared" si="86"/>
        <v>0</v>
      </c>
      <c r="O92" s="249">
        <f t="shared" si="87"/>
        <v>0</v>
      </c>
      <c r="P92" s="249">
        <f t="shared" si="88"/>
        <v>0</v>
      </c>
      <c r="Q92" s="249">
        <f t="shared" si="89"/>
        <v>0</v>
      </c>
      <c r="R92" s="249">
        <f t="shared" si="90"/>
        <v>0</v>
      </c>
      <c r="S92" s="249">
        <f t="shared" si="91"/>
        <v>0</v>
      </c>
      <c r="T92" s="249">
        <f t="shared" si="92"/>
        <v>0</v>
      </c>
      <c r="U92" s="249" t="e">
        <f t="shared" si="93"/>
        <v>#REF!</v>
      </c>
      <c r="V92" s="251">
        <f t="shared" si="94"/>
        <v>0</v>
      </c>
    </row>
    <row r="93" spans="1:22" x14ac:dyDescent="0.3">
      <c r="A93" s="1019"/>
      <c r="B93" s="240"/>
      <c r="C93" s="249"/>
      <c r="D93" s="202"/>
      <c r="E93" s="247">
        <f t="shared" si="79"/>
        <v>0</v>
      </c>
      <c r="F93" s="247"/>
      <c r="G93" s="247">
        <f t="shared" si="81"/>
        <v>0</v>
      </c>
      <c r="H93" s="247">
        <f t="shared" si="82"/>
        <v>0</v>
      </c>
      <c r="I93" s="247">
        <f t="shared" si="83"/>
        <v>0</v>
      </c>
      <c r="J93" s="249"/>
      <c r="K93" s="368">
        <f t="shared" si="84"/>
        <v>0</v>
      </c>
      <c r="L93" s="351"/>
      <c r="M93" s="345">
        <f t="shared" si="85"/>
        <v>0</v>
      </c>
      <c r="N93" s="249">
        <f t="shared" si="86"/>
        <v>0</v>
      </c>
      <c r="O93" s="249">
        <f t="shared" si="87"/>
        <v>0</v>
      </c>
      <c r="P93" s="249">
        <f t="shared" si="88"/>
        <v>0</v>
      </c>
      <c r="Q93" s="249">
        <f t="shared" si="89"/>
        <v>0</v>
      </c>
      <c r="R93" s="249">
        <f t="shared" si="90"/>
        <v>0</v>
      </c>
      <c r="S93" s="249">
        <f t="shared" si="91"/>
        <v>0</v>
      </c>
      <c r="T93" s="249">
        <f t="shared" si="92"/>
        <v>0</v>
      </c>
      <c r="U93" s="249" t="e">
        <f t="shared" si="93"/>
        <v>#REF!</v>
      </c>
      <c r="V93" s="251">
        <f t="shared" si="94"/>
        <v>0</v>
      </c>
    </row>
    <row r="94" spans="1:22" x14ac:dyDescent="0.3">
      <c r="A94" s="1019"/>
      <c r="B94" s="240"/>
      <c r="C94" s="249"/>
      <c r="D94" s="202"/>
      <c r="E94" s="247">
        <f t="shared" si="79"/>
        <v>0</v>
      </c>
      <c r="F94" s="247"/>
      <c r="G94" s="247">
        <f t="shared" si="81"/>
        <v>0</v>
      </c>
      <c r="H94" s="247">
        <f t="shared" si="82"/>
        <v>0</v>
      </c>
      <c r="I94" s="247">
        <f t="shared" si="83"/>
        <v>0</v>
      </c>
      <c r="J94" s="249"/>
      <c r="K94" s="368">
        <f t="shared" si="84"/>
        <v>0</v>
      </c>
      <c r="L94" s="351"/>
      <c r="M94" s="345">
        <f t="shared" si="85"/>
        <v>0</v>
      </c>
      <c r="N94" s="249">
        <f t="shared" si="86"/>
        <v>0</v>
      </c>
      <c r="O94" s="249">
        <f t="shared" si="87"/>
        <v>0</v>
      </c>
      <c r="P94" s="249">
        <f t="shared" si="88"/>
        <v>0</v>
      </c>
      <c r="Q94" s="249">
        <f t="shared" si="89"/>
        <v>0</v>
      </c>
      <c r="R94" s="249">
        <f t="shared" si="90"/>
        <v>0</v>
      </c>
      <c r="S94" s="249">
        <f t="shared" si="91"/>
        <v>0</v>
      </c>
      <c r="T94" s="249">
        <f t="shared" si="92"/>
        <v>0</v>
      </c>
      <c r="U94" s="249" t="e">
        <f t="shared" si="93"/>
        <v>#REF!</v>
      </c>
      <c r="V94" s="251">
        <f t="shared" si="94"/>
        <v>0</v>
      </c>
    </row>
    <row r="95" spans="1:22" ht="10.8" thickBot="1" x14ac:dyDescent="0.35">
      <c r="A95" s="1020"/>
      <c r="B95" s="467"/>
      <c r="C95" s="347"/>
      <c r="D95" s="468"/>
      <c r="E95" s="233">
        <f t="shared" si="79"/>
        <v>0</v>
      </c>
      <c r="F95" s="233"/>
      <c r="G95" s="233">
        <f t="shared" si="81"/>
        <v>0</v>
      </c>
      <c r="H95" s="233">
        <f t="shared" si="82"/>
        <v>0</v>
      </c>
      <c r="I95" s="233">
        <f t="shared" si="83"/>
        <v>0</v>
      </c>
      <c r="J95" s="347"/>
      <c r="K95" s="369">
        <f t="shared" si="84"/>
        <v>0</v>
      </c>
      <c r="L95" s="351"/>
      <c r="M95" s="346">
        <f t="shared" si="85"/>
        <v>0</v>
      </c>
      <c r="N95" s="347">
        <f t="shared" si="86"/>
        <v>0</v>
      </c>
      <c r="O95" s="347">
        <f t="shared" si="87"/>
        <v>0</v>
      </c>
      <c r="P95" s="347">
        <f t="shared" si="88"/>
        <v>0</v>
      </c>
      <c r="Q95" s="347">
        <f t="shared" si="89"/>
        <v>0</v>
      </c>
      <c r="R95" s="347">
        <f t="shared" si="90"/>
        <v>0</v>
      </c>
      <c r="S95" s="347">
        <f t="shared" si="91"/>
        <v>0</v>
      </c>
      <c r="T95" s="347">
        <f t="shared" si="92"/>
        <v>0</v>
      </c>
      <c r="U95" s="347" t="e">
        <f t="shared" si="93"/>
        <v>#REF!</v>
      </c>
      <c r="V95" s="348">
        <f t="shared" si="94"/>
        <v>0</v>
      </c>
    </row>
    <row r="96" spans="1:22" x14ac:dyDescent="0.3">
      <c r="A96" s="1018" t="s">
        <v>241</v>
      </c>
      <c r="B96" s="236">
        <v>1</v>
      </c>
      <c r="C96" s="245">
        <v>700</v>
      </c>
      <c r="D96" s="255"/>
      <c r="E96" s="245">
        <f t="shared" si="79"/>
        <v>58.31</v>
      </c>
      <c r="F96" s="245">
        <f t="shared" si="80"/>
        <v>32.833333333333336</v>
      </c>
      <c r="G96" s="245">
        <f t="shared" si="81"/>
        <v>58.333333333333336</v>
      </c>
      <c r="H96" s="245">
        <f t="shared" si="82"/>
        <v>78.05</v>
      </c>
      <c r="I96" s="245">
        <f t="shared" si="83"/>
        <v>927.52666666666664</v>
      </c>
      <c r="J96" s="245"/>
      <c r="K96" s="362">
        <f t="shared" si="84"/>
        <v>927.52666666666664</v>
      </c>
      <c r="L96" s="351"/>
      <c r="M96" s="366">
        <f t="shared" si="85"/>
        <v>11.783103959347873</v>
      </c>
      <c r="N96" s="245">
        <f t="shared" si="86"/>
        <v>34.14743527419013</v>
      </c>
      <c r="O96" s="245">
        <f t="shared" si="87"/>
        <v>42.447500835570615</v>
      </c>
      <c r="P96" s="245">
        <f t="shared" si="88"/>
        <v>61.68406366903816</v>
      </c>
      <c r="Q96" s="245">
        <f t="shared" si="89"/>
        <v>67.175393134144144</v>
      </c>
      <c r="R96" s="245">
        <f t="shared" si="90"/>
        <v>84.268233719145968</v>
      </c>
      <c r="S96" s="245">
        <f t="shared" si="91"/>
        <v>88.571635839616278</v>
      </c>
      <c r="T96" s="245">
        <f t="shared" si="92"/>
        <v>104.90079157267549</v>
      </c>
      <c r="U96" s="245" t="e">
        <f t="shared" si="93"/>
        <v>#REF!</v>
      </c>
      <c r="V96" s="246">
        <f t="shared" si="94"/>
        <v>0</v>
      </c>
    </row>
    <row r="97" spans="1:22" x14ac:dyDescent="0.3">
      <c r="A97" s="1019"/>
      <c r="B97" s="240">
        <v>1</v>
      </c>
      <c r="C97" s="517">
        <v>700</v>
      </c>
      <c r="D97" s="202"/>
      <c r="E97" s="247">
        <f t="shared" si="79"/>
        <v>58.31</v>
      </c>
      <c r="F97" s="247">
        <f t="shared" si="80"/>
        <v>32.833333333333336</v>
      </c>
      <c r="G97" s="247">
        <f t="shared" si="81"/>
        <v>58.333333333333336</v>
      </c>
      <c r="H97" s="247">
        <f t="shared" si="82"/>
        <v>78.05</v>
      </c>
      <c r="I97" s="247">
        <f t="shared" si="83"/>
        <v>927.52666666666664</v>
      </c>
      <c r="J97" s="249"/>
      <c r="K97" s="368">
        <f t="shared" si="84"/>
        <v>927.52666666666664</v>
      </c>
      <c r="L97" s="351"/>
      <c r="M97" s="345">
        <f t="shared" si="85"/>
        <v>11.783103959347873</v>
      </c>
      <c r="N97" s="249">
        <f t="shared" si="86"/>
        <v>34.14743527419013</v>
      </c>
      <c r="O97" s="249">
        <f t="shared" si="87"/>
        <v>42.447500835570615</v>
      </c>
      <c r="P97" s="249">
        <f t="shared" si="88"/>
        <v>61.68406366903816</v>
      </c>
      <c r="Q97" s="249">
        <f t="shared" si="89"/>
        <v>67.175393134144144</v>
      </c>
      <c r="R97" s="249">
        <f t="shared" si="90"/>
        <v>84.268233719145968</v>
      </c>
      <c r="S97" s="249">
        <f t="shared" si="91"/>
        <v>88.571635839616278</v>
      </c>
      <c r="T97" s="249">
        <f t="shared" si="92"/>
        <v>104.90079157267549</v>
      </c>
      <c r="U97" s="249" t="e">
        <f t="shared" si="93"/>
        <v>#REF!</v>
      </c>
      <c r="V97" s="251">
        <f t="shared" si="94"/>
        <v>0</v>
      </c>
    </row>
    <row r="98" spans="1:22" x14ac:dyDescent="0.3">
      <c r="A98" s="1019"/>
      <c r="B98" s="240">
        <v>1</v>
      </c>
      <c r="C98" s="249">
        <v>700</v>
      </c>
      <c r="D98" s="202"/>
      <c r="E98" s="247">
        <f t="shared" si="79"/>
        <v>58.31</v>
      </c>
      <c r="F98" s="247">
        <f t="shared" si="80"/>
        <v>32.833333333333336</v>
      </c>
      <c r="G98" s="247">
        <f t="shared" si="81"/>
        <v>58.333333333333336</v>
      </c>
      <c r="H98" s="247">
        <f t="shared" si="82"/>
        <v>78.05</v>
      </c>
      <c r="I98" s="247">
        <f t="shared" si="83"/>
        <v>927.52666666666664</v>
      </c>
      <c r="J98" s="249"/>
      <c r="K98" s="368">
        <f t="shared" si="84"/>
        <v>927.52666666666664</v>
      </c>
      <c r="L98" s="351"/>
      <c r="M98" s="345">
        <f t="shared" si="85"/>
        <v>11.783103959347873</v>
      </c>
      <c r="N98" s="249">
        <f t="shared" si="86"/>
        <v>34.14743527419013</v>
      </c>
      <c r="O98" s="249">
        <f t="shared" si="87"/>
        <v>42.447500835570615</v>
      </c>
      <c r="P98" s="249">
        <f t="shared" si="88"/>
        <v>61.68406366903816</v>
      </c>
      <c r="Q98" s="249">
        <f t="shared" si="89"/>
        <v>67.175393134144144</v>
      </c>
      <c r="R98" s="249">
        <f t="shared" si="90"/>
        <v>84.268233719145968</v>
      </c>
      <c r="S98" s="249">
        <f t="shared" si="91"/>
        <v>88.571635839616278</v>
      </c>
      <c r="T98" s="249">
        <f t="shared" si="92"/>
        <v>104.90079157267549</v>
      </c>
      <c r="U98" s="249" t="e">
        <f t="shared" si="93"/>
        <v>#REF!</v>
      </c>
      <c r="V98" s="251">
        <f t="shared" si="94"/>
        <v>0</v>
      </c>
    </row>
    <row r="99" spans="1:22" x14ac:dyDescent="0.3">
      <c r="A99" s="1019"/>
      <c r="B99" s="240">
        <v>1</v>
      </c>
      <c r="C99" s="249">
        <v>700</v>
      </c>
      <c r="D99" s="202"/>
      <c r="E99" s="247">
        <f t="shared" si="79"/>
        <v>58.31</v>
      </c>
      <c r="F99" s="247">
        <f t="shared" si="80"/>
        <v>32.833333333333336</v>
      </c>
      <c r="G99" s="247">
        <f t="shared" si="81"/>
        <v>58.333333333333336</v>
      </c>
      <c r="H99" s="247">
        <f t="shared" si="82"/>
        <v>78.05</v>
      </c>
      <c r="I99" s="247">
        <f t="shared" si="83"/>
        <v>927.52666666666664</v>
      </c>
      <c r="J99" s="249"/>
      <c r="K99" s="368">
        <f t="shared" si="84"/>
        <v>927.52666666666664</v>
      </c>
      <c r="L99" s="351"/>
      <c r="M99" s="345">
        <f t="shared" si="85"/>
        <v>11.783103959347873</v>
      </c>
      <c r="N99" s="249">
        <f t="shared" si="86"/>
        <v>34.14743527419013</v>
      </c>
      <c r="O99" s="249">
        <f t="shared" si="87"/>
        <v>42.447500835570615</v>
      </c>
      <c r="P99" s="249">
        <f t="shared" si="88"/>
        <v>61.68406366903816</v>
      </c>
      <c r="Q99" s="249">
        <f t="shared" si="89"/>
        <v>67.175393134144144</v>
      </c>
      <c r="R99" s="249">
        <f t="shared" si="90"/>
        <v>84.268233719145968</v>
      </c>
      <c r="S99" s="249">
        <f t="shared" si="91"/>
        <v>88.571635839616278</v>
      </c>
      <c r="T99" s="249">
        <f t="shared" si="92"/>
        <v>104.90079157267549</v>
      </c>
      <c r="U99" s="249" t="e">
        <f t="shared" si="93"/>
        <v>#REF!</v>
      </c>
      <c r="V99" s="251">
        <f t="shared" si="94"/>
        <v>0</v>
      </c>
    </row>
    <row r="100" spans="1:22" x14ac:dyDescent="0.3">
      <c r="A100" s="1019"/>
      <c r="B100" s="240">
        <v>1</v>
      </c>
      <c r="C100" s="517">
        <v>700</v>
      </c>
      <c r="D100" s="202"/>
      <c r="E100" s="247">
        <f t="shared" si="79"/>
        <v>58.31</v>
      </c>
      <c r="F100" s="247">
        <f t="shared" si="80"/>
        <v>32.833333333333336</v>
      </c>
      <c r="G100" s="247">
        <f t="shared" si="81"/>
        <v>58.333333333333336</v>
      </c>
      <c r="H100" s="247">
        <f t="shared" si="82"/>
        <v>78.05</v>
      </c>
      <c r="I100" s="247">
        <f t="shared" si="83"/>
        <v>927.52666666666664</v>
      </c>
      <c r="J100" s="249"/>
      <c r="K100" s="368">
        <f t="shared" si="84"/>
        <v>927.52666666666664</v>
      </c>
      <c r="L100" s="351"/>
      <c r="M100" s="345">
        <f t="shared" si="85"/>
        <v>11.783103959347873</v>
      </c>
      <c r="N100" s="249">
        <f t="shared" si="86"/>
        <v>34.14743527419013</v>
      </c>
      <c r="O100" s="249">
        <f t="shared" si="87"/>
        <v>42.447500835570615</v>
      </c>
      <c r="P100" s="249">
        <f t="shared" si="88"/>
        <v>61.68406366903816</v>
      </c>
      <c r="Q100" s="249">
        <f t="shared" si="89"/>
        <v>67.175393134144144</v>
      </c>
      <c r="R100" s="249">
        <f t="shared" si="90"/>
        <v>84.268233719145968</v>
      </c>
      <c r="S100" s="249">
        <f t="shared" si="91"/>
        <v>88.571635839616278</v>
      </c>
      <c r="T100" s="249">
        <f t="shared" si="92"/>
        <v>104.90079157267549</v>
      </c>
      <c r="U100" s="249" t="e">
        <f t="shared" si="93"/>
        <v>#REF!</v>
      </c>
      <c r="V100" s="251">
        <f t="shared" si="94"/>
        <v>0</v>
      </c>
    </row>
    <row r="101" spans="1:22" x14ac:dyDescent="0.3">
      <c r="A101" s="1019"/>
      <c r="B101" s="240">
        <v>1</v>
      </c>
      <c r="C101" s="249">
        <v>820</v>
      </c>
      <c r="D101" s="202"/>
      <c r="E101" s="247">
        <f t="shared" si="79"/>
        <v>68.305999999999997</v>
      </c>
      <c r="F101" s="247">
        <f t="shared" si="80"/>
        <v>32.833333333333336</v>
      </c>
      <c r="G101" s="247">
        <f t="shared" si="81"/>
        <v>68.333333333333329</v>
      </c>
      <c r="H101" s="247">
        <f t="shared" si="82"/>
        <v>91.43</v>
      </c>
      <c r="I101" s="247">
        <f t="shared" si="83"/>
        <v>1080.9026666666668</v>
      </c>
      <c r="J101" s="249"/>
      <c r="K101" s="368">
        <f t="shared" si="84"/>
        <v>1080.9026666666668</v>
      </c>
      <c r="L101" s="351"/>
      <c r="M101" s="345">
        <f t="shared" si="85"/>
        <v>13.731560448867246</v>
      </c>
      <c r="N101" s="249">
        <f t="shared" si="86"/>
        <v>39.794062180817278</v>
      </c>
      <c r="O101" s="249">
        <f t="shared" si="87"/>
        <v>49.466628287241164</v>
      </c>
      <c r="P101" s="249">
        <f t="shared" si="88"/>
        <v>71.884153099677064</v>
      </c>
      <c r="Q101" s="249">
        <f t="shared" si="89"/>
        <v>78.283529932377263</v>
      </c>
      <c r="R101" s="249">
        <f t="shared" si="90"/>
        <v>98.202846145284013</v>
      </c>
      <c r="S101" s="249">
        <f t="shared" si="91"/>
        <v>103.21785972378527</v>
      </c>
      <c r="T101" s="249">
        <f t="shared" si="92"/>
        <v>122.24720800086516</v>
      </c>
      <c r="U101" s="249" t="e">
        <f t="shared" si="93"/>
        <v>#REF!</v>
      </c>
      <c r="V101" s="251">
        <f t="shared" si="94"/>
        <v>0</v>
      </c>
    </row>
    <row r="102" spans="1:22" x14ac:dyDescent="0.3">
      <c r="A102" s="1019"/>
      <c r="B102" s="240">
        <v>1</v>
      </c>
      <c r="C102" s="249">
        <v>700</v>
      </c>
      <c r="D102" s="202"/>
      <c r="E102" s="247">
        <f t="shared" si="79"/>
        <v>58.31</v>
      </c>
      <c r="F102" s="247">
        <f t="shared" si="80"/>
        <v>32.833333333333336</v>
      </c>
      <c r="G102" s="247">
        <f t="shared" si="81"/>
        <v>58.333333333333336</v>
      </c>
      <c r="H102" s="247">
        <f t="shared" si="82"/>
        <v>78.05</v>
      </c>
      <c r="I102" s="247">
        <f t="shared" si="83"/>
        <v>927.52666666666664</v>
      </c>
      <c r="J102" s="249"/>
      <c r="K102" s="368">
        <f t="shared" si="84"/>
        <v>927.52666666666664</v>
      </c>
      <c r="L102" s="351"/>
      <c r="M102" s="345">
        <f t="shared" si="85"/>
        <v>11.783103959347873</v>
      </c>
      <c r="N102" s="249">
        <f t="shared" si="86"/>
        <v>34.14743527419013</v>
      </c>
      <c r="O102" s="249">
        <f t="shared" si="87"/>
        <v>42.447500835570615</v>
      </c>
      <c r="P102" s="249">
        <f t="shared" si="88"/>
        <v>61.68406366903816</v>
      </c>
      <c r="Q102" s="249">
        <f t="shared" si="89"/>
        <v>67.175393134144144</v>
      </c>
      <c r="R102" s="249">
        <f t="shared" si="90"/>
        <v>84.268233719145968</v>
      </c>
      <c r="S102" s="249">
        <f t="shared" si="91"/>
        <v>88.571635839616278</v>
      </c>
      <c r="T102" s="249">
        <f t="shared" si="92"/>
        <v>104.90079157267549</v>
      </c>
      <c r="U102" s="249" t="e">
        <f t="shared" si="93"/>
        <v>#REF!</v>
      </c>
      <c r="V102" s="251">
        <f t="shared" si="94"/>
        <v>0</v>
      </c>
    </row>
    <row r="103" spans="1:22" x14ac:dyDescent="0.3">
      <c r="A103" s="1019"/>
      <c r="B103" s="240">
        <v>1</v>
      </c>
      <c r="C103" s="249">
        <v>700</v>
      </c>
      <c r="D103" s="202"/>
      <c r="E103" s="247">
        <f t="shared" si="79"/>
        <v>58.31</v>
      </c>
      <c r="F103" s="247">
        <f t="shared" si="80"/>
        <v>32.833333333333336</v>
      </c>
      <c r="G103" s="247">
        <f t="shared" si="81"/>
        <v>58.333333333333336</v>
      </c>
      <c r="H103" s="247">
        <f t="shared" si="82"/>
        <v>78.05</v>
      </c>
      <c r="I103" s="247">
        <f t="shared" si="83"/>
        <v>927.52666666666664</v>
      </c>
      <c r="J103" s="249"/>
      <c r="K103" s="368">
        <f t="shared" si="84"/>
        <v>927.52666666666664</v>
      </c>
      <c r="L103" s="351"/>
      <c r="M103" s="345">
        <f t="shared" si="85"/>
        <v>11.783103959347873</v>
      </c>
      <c r="N103" s="249">
        <f t="shared" si="86"/>
        <v>34.14743527419013</v>
      </c>
      <c r="O103" s="249">
        <f t="shared" si="87"/>
        <v>42.447500835570615</v>
      </c>
      <c r="P103" s="249">
        <f t="shared" si="88"/>
        <v>61.68406366903816</v>
      </c>
      <c r="Q103" s="249">
        <f t="shared" si="89"/>
        <v>67.175393134144144</v>
      </c>
      <c r="R103" s="249">
        <f t="shared" si="90"/>
        <v>84.268233719145968</v>
      </c>
      <c r="S103" s="249">
        <f t="shared" si="91"/>
        <v>88.571635839616278</v>
      </c>
      <c r="T103" s="249">
        <f t="shared" si="92"/>
        <v>104.90079157267549</v>
      </c>
      <c r="U103" s="249" t="e">
        <f t="shared" si="93"/>
        <v>#REF!</v>
      </c>
      <c r="V103" s="251">
        <f t="shared" si="94"/>
        <v>0</v>
      </c>
    </row>
    <row r="104" spans="1:22" x14ac:dyDescent="0.3">
      <c r="A104" s="1019"/>
      <c r="B104" s="240">
        <v>1</v>
      </c>
      <c r="C104" s="249">
        <v>820</v>
      </c>
      <c r="D104" s="202"/>
      <c r="E104" s="247">
        <f t="shared" si="79"/>
        <v>68.305999999999997</v>
      </c>
      <c r="F104" s="247">
        <f t="shared" si="80"/>
        <v>32.833333333333336</v>
      </c>
      <c r="G104" s="247">
        <f t="shared" si="81"/>
        <v>68.333333333333329</v>
      </c>
      <c r="H104" s="247">
        <f t="shared" si="82"/>
        <v>91.43</v>
      </c>
      <c r="I104" s="247">
        <f t="shared" si="83"/>
        <v>1080.9026666666668</v>
      </c>
      <c r="J104" s="249"/>
      <c r="K104" s="368">
        <f t="shared" si="84"/>
        <v>1080.9026666666668</v>
      </c>
      <c r="L104" s="351"/>
      <c r="M104" s="345">
        <f t="shared" si="85"/>
        <v>13.731560448867246</v>
      </c>
      <c r="N104" s="249">
        <f t="shared" si="86"/>
        <v>39.794062180817278</v>
      </c>
      <c r="O104" s="249">
        <f t="shared" si="87"/>
        <v>49.466628287241164</v>
      </c>
      <c r="P104" s="249">
        <f t="shared" si="88"/>
        <v>71.884153099677064</v>
      </c>
      <c r="Q104" s="249">
        <f t="shared" si="89"/>
        <v>78.283529932377263</v>
      </c>
      <c r="R104" s="249">
        <f t="shared" si="90"/>
        <v>98.202846145284013</v>
      </c>
      <c r="S104" s="249">
        <f t="shared" si="91"/>
        <v>103.21785972378527</v>
      </c>
      <c r="T104" s="249">
        <f t="shared" si="92"/>
        <v>122.24720800086516</v>
      </c>
      <c r="U104" s="249" t="e">
        <f t="shared" si="93"/>
        <v>#REF!</v>
      </c>
      <c r="V104" s="251">
        <f t="shared" si="94"/>
        <v>0</v>
      </c>
    </row>
    <row r="105" spans="1:22" x14ac:dyDescent="0.3">
      <c r="A105" s="1019"/>
      <c r="B105" s="240"/>
      <c r="C105" s="249"/>
      <c r="D105" s="202"/>
      <c r="E105" s="247">
        <f t="shared" si="79"/>
        <v>0</v>
      </c>
      <c r="F105" s="247">
        <f t="shared" si="80"/>
        <v>32.833333333333336</v>
      </c>
      <c r="G105" s="247">
        <f t="shared" si="81"/>
        <v>0</v>
      </c>
      <c r="H105" s="247">
        <f t="shared" si="82"/>
        <v>0</v>
      </c>
      <c r="I105" s="247">
        <f t="shared" si="83"/>
        <v>32.833333333333336</v>
      </c>
      <c r="J105" s="249"/>
      <c r="K105" s="368">
        <f t="shared" si="84"/>
        <v>32.833333333333336</v>
      </c>
      <c r="L105" s="351"/>
      <c r="M105" s="345">
        <f t="shared" si="85"/>
        <v>0.41710777048486136</v>
      </c>
      <c r="N105" s="249">
        <f t="shared" si="86"/>
        <v>1.2087783188651282</v>
      </c>
      <c r="O105" s="249">
        <f t="shared" si="87"/>
        <v>1.5025907008257464</v>
      </c>
      <c r="P105" s="249">
        <f t="shared" si="88"/>
        <v>2.1835419903112432</v>
      </c>
      <c r="Q105" s="249">
        <f t="shared" si="89"/>
        <v>2.3779284777843577</v>
      </c>
      <c r="R105" s="249">
        <f t="shared" si="90"/>
        <v>2.9829945666740496</v>
      </c>
      <c r="S105" s="249">
        <f t="shared" si="91"/>
        <v>3.135329848630481</v>
      </c>
      <c r="T105" s="249">
        <f t="shared" si="92"/>
        <v>3.7133624082357146</v>
      </c>
      <c r="U105" s="249" t="e">
        <f t="shared" si="93"/>
        <v>#REF!</v>
      </c>
      <c r="V105" s="251">
        <f t="shared" si="94"/>
        <v>0</v>
      </c>
    </row>
    <row r="106" spans="1:22" ht="10.8" thickBot="1" x14ac:dyDescent="0.35">
      <c r="A106" s="1020"/>
      <c r="B106" s="467"/>
      <c r="C106" s="347"/>
      <c r="D106" s="468"/>
      <c r="E106" s="233">
        <f t="shared" si="79"/>
        <v>0</v>
      </c>
      <c r="F106" s="233"/>
      <c r="G106" s="233">
        <f t="shared" si="81"/>
        <v>0</v>
      </c>
      <c r="H106" s="233">
        <f t="shared" si="82"/>
        <v>0</v>
      </c>
      <c r="I106" s="233">
        <f t="shared" si="83"/>
        <v>0</v>
      </c>
      <c r="J106" s="347"/>
      <c r="K106" s="369">
        <f t="shared" si="84"/>
        <v>0</v>
      </c>
      <c r="L106" s="351"/>
      <c r="M106" s="346">
        <f t="shared" si="85"/>
        <v>0</v>
      </c>
      <c r="N106" s="347">
        <f t="shared" si="86"/>
        <v>0</v>
      </c>
      <c r="O106" s="347">
        <f t="shared" si="87"/>
        <v>0</v>
      </c>
      <c r="P106" s="347">
        <f t="shared" si="88"/>
        <v>0</v>
      </c>
      <c r="Q106" s="347">
        <f t="shared" si="89"/>
        <v>0</v>
      </c>
      <c r="R106" s="347">
        <f t="shared" si="90"/>
        <v>0</v>
      </c>
      <c r="S106" s="347">
        <f t="shared" si="91"/>
        <v>0</v>
      </c>
      <c r="T106" s="347">
        <f t="shared" si="92"/>
        <v>0</v>
      </c>
      <c r="U106" s="347" t="e">
        <f t="shared" si="93"/>
        <v>#REF!</v>
      </c>
      <c r="V106" s="348">
        <f t="shared" si="94"/>
        <v>0</v>
      </c>
    </row>
    <row r="107" spans="1:22" x14ac:dyDescent="0.3">
      <c r="A107" s="1018" t="s">
        <v>242</v>
      </c>
      <c r="B107" s="236">
        <v>1</v>
      </c>
      <c r="C107" s="245">
        <v>800</v>
      </c>
      <c r="D107" s="255"/>
      <c r="E107" s="245">
        <f t="shared" si="79"/>
        <v>66.64</v>
      </c>
      <c r="F107" s="245">
        <f t="shared" si="80"/>
        <v>32.833333333333336</v>
      </c>
      <c r="G107" s="245">
        <f t="shared" si="81"/>
        <v>66.666666666666671</v>
      </c>
      <c r="H107" s="245">
        <f t="shared" si="82"/>
        <v>89.2</v>
      </c>
      <c r="I107" s="245">
        <f t="shared" si="83"/>
        <v>1055.3399999999999</v>
      </c>
      <c r="J107" s="245"/>
      <c r="K107" s="362">
        <f t="shared" si="84"/>
        <v>1055.3399999999999</v>
      </c>
      <c r="L107" s="351"/>
      <c r="M107" s="366">
        <f t="shared" si="85"/>
        <v>13.406817700614017</v>
      </c>
      <c r="N107" s="245">
        <f t="shared" si="86"/>
        <v>38.85295769637942</v>
      </c>
      <c r="O107" s="245">
        <f t="shared" si="87"/>
        <v>48.296773711962729</v>
      </c>
      <c r="P107" s="245">
        <f t="shared" si="88"/>
        <v>70.184138194570565</v>
      </c>
      <c r="Q107" s="245">
        <f t="shared" si="89"/>
        <v>76.432173799338386</v>
      </c>
      <c r="R107" s="245">
        <f t="shared" si="90"/>
        <v>95.880410740927658</v>
      </c>
      <c r="S107" s="245">
        <f t="shared" si="91"/>
        <v>100.77682240975707</v>
      </c>
      <c r="T107" s="245">
        <f t="shared" si="92"/>
        <v>119.35613859616686</v>
      </c>
      <c r="U107" s="245" t="e">
        <f t="shared" si="93"/>
        <v>#REF!</v>
      </c>
      <c r="V107" s="246">
        <f t="shared" si="94"/>
        <v>0</v>
      </c>
    </row>
    <row r="108" spans="1:22" x14ac:dyDescent="0.3">
      <c r="A108" s="1019"/>
      <c r="B108" s="240">
        <v>1</v>
      </c>
      <c r="C108" s="249">
        <v>800</v>
      </c>
      <c r="D108" s="202"/>
      <c r="E108" s="247">
        <f t="shared" si="79"/>
        <v>66.64</v>
      </c>
      <c r="F108" s="247">
        <f t="shared" si="80"/>
        <v>32.833333333333336</v>
      </c>
      <c r="G108" s="247">
        <f t="shared" si="81"/>
        <v>66.666666666666671</v>
      </c>
      <c r="H108" s="247">
        <f t="shared" si="82"/>
        <v>89.2</v>
      </c>
      <c r="I108" s="247">
        <f t="shared" si="83"/>
        <v>1055.3399999999999</v>
      </c>
      <c r="J108" s="249"/>
      <c r="K108" s="368">
        <f t="shared" si="84"/>
        <v>1055.3399999999999</v>
      </c>
      <c r="L108" s="351"/>
      <c r="M108" s="345">
        <f t="shared" si="85"/>
        <v>13.406817700614017</v>
      </c>
      <c r="N108" s="249">
        <f t="shared" si="86"/>
        <v>38.85295769637942</v>
      </c>
      <c r="O108" s="249">
        <f t="shared" si="87"/>
        <v>48.296773711962729</v>
      </c>
      <c r="P108" s="249">
        <f t="shared" si="88"/>
        <v>70.184138194570565</v>
      </c>
      <c r="Q108" s="249">
        <f t="shared" si="89"/>
        <v>76.432173799338386</v>
      </c>
      <c r="R108" s="249">
        <f t="shared" si="90"/>
        <v>95.880410740927658</v>
      </c>
      <c r="S108" s="249">
        <f t="shared" si="91"/>
        <v>100.77682240975707</v>
      </c>
      <c r="T108" s="249">
        <f t="shared" si="92"/>
        <v>119.35613859616686</v>
      </c>
      <c r="U108" s="249" t="e">
        <f t="shared" si="93"/>
        <v>#REF!</v>
      </c>
      <c r="V108" s="251">
        <f t="shared" si="94"/>
        <v>0</v>
      </c>
    </row>
    <row r="109" spans="1:22" x14ac:dyDescent="0.3">
      <c r="A109" s="1019"/>
      <c r="B109" s="240"/>
      <c r="C109" s="249"/>
      <c r="D109" s="202"/>
      <c r="E109" s="247">
        <f t="shared" si="79"/>
        <v>0</v>
      </c>
      <c r="F109" s="247"/>
      <c r="G109" s="247">
        <f t="shared" si="81"/>
        <v>0</v>
      </c>
      <c r="H109" s="247">
        <f t="shared" si="82"/>
        <v>0</v>
      </c>
      <c r="I109" s="247">
        <f t="shared" si="83"/>
        <v>0</v>
      </c>
      <c r="J109" s="249"/>
      <c r="K109" s="368">
        <f t="shared" si="84"/>
        <v>0</v>
      </c>
      <c r="L109" s="351"/>
      <c r="M109" s="345">
        <f t="shared" si="85"/>
        <v>0</v>
      </c>
      <c r="N109" s="249">
        <f t="shared" si="86"/>
        <v>0</v>
      </c>
      <c r="O109" s="249">
        <f t="shared" si="87"/>
        <v>0</v>
      </c>
      <c r="P109" s="249">
        <f t="shared" si="88"/>
        <v>0</v>
      </c>
      <c r="Q109" s="249">
        <f t="shared" si="89"/>
        <v>0</v>
      </c>
      <c r="R109" s="249">
        <f t="shared" si="90"/>
        <v>0</v>
      </c>
      <c r="S109" s="249">
        <f t="shared" si="91"/>
        <v>0</v>
      </c>
      <c r="T109" s="249">
        <f t="shared" si="92"/>
        <v>0</v>
      </c>
      <c r="U109" s="249" t="e">
        <f t="shared" si="93"/>
        <v>#REF!</v>
      </c>
      <c r="V109" s="251">
        <f t="shared" si="94"/>
        <v>0</v>
      </c>
    </row>
    <row r="110" spans="1:22" x14ac:dyDescent="0.3">
      <c r="A110" s="1019"/>
      <c r="B110" s="240"/>
      <c r="C110" s="249"/>
      <c r="D110" s="202"/>
      <c r="E110" s="247">
        <f t="shared" si="79"/>
        <v>0</v>
      </c>
      <c r="F110" s="247"/>
      <c r="G110" s="247">
        <f t="shared" si="81"/>
        <v>0</v>
      </c>
      <c r="H110" s="247">
        <f t="shared" si="82"/>
        <v>0</v>
      </c>
      <c r="I110" s="247">
        <f t="shared" si="83"/>
        <v>0</v>
      </c>
      <c r="J110" s="249"/>
      <c r="K110" s="368">
        <f t="shared" si="84"/>
        <v>0</v>
      </c>
      <c r="L110" s="351"/>
      <c r="M110" s="345">
        <f t="shared" si="85"/>
        <v>0</v>
      </c>
      <c r="N110" s="249">
        <f t="shared" si="86"/>
        <v>0</v>
      </c>
      <c r="O110" s="249">
        <f t="shared" si="87"/>
        <v>0</v>
      </c>
      <c r="P110" s="249">
        <f t="shared" si="88"/>
        <v>0</v>
      </c>
      <c r="Q110" s="249">
        <f t="shared" si="89"/>
        <v>0</v>
      </c>
      <c r="R110" s="249">
        <f t="shared" si="90"/>
        <v>0</v>
      </c>
      <c r="S110" s="249">
        <f t="shared" si="91"/>
        <v>0</v>
      </c>
      <c r="T110" s="249">
        <f t="shared" si="92"/>
        <v>0</v>
      </c>
      <c r="U110" s="249" t="e">
        <f t="shared" si="93"/>
        <v>#REF!</v>
      </c>
      <c r="V110" s="251">
        <f t="shared" si="94"/>
        <v>0</v>
      </c>
    </row>
    <row r="111" spans="1:22" ht="10.8" thickBot="1" x14ac:dyDescent="0.35">
      <c r="A111" s="1020"/>
      <c r="B111" s="467"/>
      <c r="C111" s="347"/>
      <c r="D111" s="468"/>
      <c r="E111" s="233">
        <f t="shared" si="79"/>
        <v>0</v>
      </c>
      <c r="F111" s="233"/>
      <c r="G111" s="233">
        <f t="shared" si="81"/>
        <v>0</v>
      </c>
      <c r="H111" s="233">
        <f t="shared" si="82"/>
        <v>0</v>
      </c>
      <c r="I111" s="233">
        <f t="shared" si="83"/>
        <v>0</v>
      </c>
      <c r="J111" s="347"/>
      <c r="K111" s="369">
        <f t="shared" si="84"/>
        <v>0</v>
      </c>
      <c r="L111" s="351"/>
      <c r="M111" s="346">
        <f t="shared" si="85"/>
        <v>0</v>
      </c>
      <c r="N111" s="347">
        <f t="shared" si="86"/>
        <v>0</v>
      </c>
      <c r="O111" s="347">
        <f t="shared" si="87"/>
        <v>0</v>
      </c>
      <c r="P111" s="347">
        <f t="shared" si="88"/>
        <v>0</v>
      </c>
      <c r="Q111" s="347">
        <f t="shared" si="89"/>
        <v>0</v>
      </c>
      <c r="R111" s="347">
        <f t="shared" si="90"/>
        <v>0</v>
      </c>
      <c r="S111" s="347">
        <f t="shared" si="91"/>
        <v>0</v>
      </c>
      <c r="T111" s="347">
        <f t="shared" si="92"/>
        <v>0</v>
      </c>
      <c r="U111" s="347" t="e">
        <f t="shared" si="93"/>
        <v>#REF!</v>
      </c>
      <c r="V111" s="348">
        <f t="shared" si="94"/>
        <v>0</v>
      </c>
    </row>
    <row r="112" spans="1:22" x14ac:dyDescent="0.3">
      <c r="A112" s="1018" t="s">
        <v>243</v>
      </c>
      <c r="B112" s="236">
        <v>1</v>
      </c>
      <c r="C112" s="511">
        <v>800</v>
      </c>
      <c r="D112" s="255"/>
      <c r="E112" s="245">
        <f t="shared" si="79"/>
        <v>66.64</v>
      </c>
      <c r="F112" s="245">
        <f t="shared" si="80"/>
        <v>32.833333333333336</v>
      </c>
      <c r="G112" s="245">
        <f t="shared" si="81"/>
        <v>66.666666666666671</v>
      </c>
      <c r="H112" s="245">
        <f t="shared" si="82"/>
        <v>89.2</v>
      </c>
      <c r="I112" s="245">
        <f t="shared" si="83"/>
        <v>1055.3399999999999</v>
      </c>
      <c r="J112" s="245"/>
      <c r="K112" s="362">
        <f t="shared" si="84"/>
        <v>1055.3399999999999</v>
      </c>
      <c r="L112" s="351"/>
      <c r="M112" s="366">
        <f t="shared" si="85"/>
        <v>13.406817700614017</v>
      </c>
      <c r="N112" s="245">
        <f t="shared" si="86"/>
        <v>38.85295769637942</v>
      </c>
      <c r="O112" s="245">
        <f t="shared" si="87"/>
        <v>48.296773711962729</v>
      </c>
      <c r="P112" s="245">
        <f t="shared" si="88"/>
        <v>70.184138194570565</v>
      </c>
      <c r="Q112" s="245">
        <f t="shared" si="89"/>
        <v>76.432173799338386</v>
      </c>
      <c r="R112" s="245">
        <f t="shared" si="90"/>
        <v>95.880410740927658</v>
      </c>
      <c r="S112" s="245">
        <f t="shared" si="91"/>
        <v>100.77682240975707</v>
      </c>
      <c r="T112" s="245">
        <f t="shared" si="92"/>
        <v>119.35613859616686</v>
      </c>
      <c r="U112" s="245" t="e">
        <f t="shared" si="93"/>
        <v>#REF!</v>
      </c>
      <c r="V112" s="246">
        <f t="shared" si="94"/>
        <v>0</v>
      </c>
    </row>
    <row r="113" spans="1:22" x14ac:dyDescent="0.3">
      <c r="A113" s="1019"/>
      <c r="B113" s="240">
        <v>1</v>
      </c>
      <c r="C113" s="249">
        <v>800</v>
      </c>
      <c r="D113" s="202"/>
      <c r="E113" s="247">
        <f t="shared" si="79"/>
        <v>66.64</v>
      </c>
      <c r="F113" s="247">
        <f t="shared" si="80"/>
        <v>32.833333333333336</v>
      </c>
      <c r="G113" s="247">
        <f t="shared" si="81"/>
        <v>66.666666666666671</v>
      </c>
      <c r="H113" s="247">
        <f t="shared" si="82"/>
        <v>89.2</v>
      </c>
      <c r="I113" s="247">
        <f t="shared" si="83"/>
        <v>1055.3399999999999</v>
      </c>
      <c r="J113" s="249"/>
      <c r="K113" s="368">
        <f t="shared" si="84"/>
        <v>1055.3399999999999</v>
      </c>
      <c r="L113" s="351"/>
      <c r="M113" s="345">
        <f t="shared" si="85"/>
        <v>13.406817700614017</v>
      </c>
      <c r="N113" s="249">
        <f t="shared" si="86"/>
        <v>38.85295769637942</v>
      </c>
      <c r="O113" s="249">
        <f t="shared" si="87"/>
        <v>48.296773711962729</v>
      </c>
      <c r="P113" s="249">
        <f t="shared" si="88"/>
        <v>70.184138194570565</v>
      </c>
      <c r="Q113" s="249">
        <f t="shared" si="89"/>
        <v>76.432173799338386</v>
      </c>
      <c r="R113" s="249">
        <f t="shared" si="90"/>
        <v>95.880410740927658</v>
      </c>
      <c r="S113" s="249">
        <f t="shared" si="91"/>
        <v>100.77682240975707</v>
      </c>
      <c r="T113" s="249">
        <f t="shared" si="92"/>
        <v>119.35613859616686</v>
      </c>
      <c r="U113" s="249" t="e">
        <f t="shared" si="93"/>
        <v>#REF!</v>
      </c>
      <c r="V113" s="251">
        <f t="shared" si="94"/>
        <v>0</v>
      </c>
    </row>
    <row r="114" spans="1:22" x14ac:dyDescent="0.3">
      <c r="A114" s="1019"/>
      <c r="B114" s="240"/>
      <c r="C114" s="249"/>
      <c r="D114" s="202"/>
      <c r="E114" s="247">
        <f t="shared" si="79"/>
        <v>0</v>
      </c>
      <c r="F114" s="247"/>
      <c r="G114" s="247">
        <f t="shared" si="81"/>
        <v>0</v>
      </c>
      <c r="H114" s="247">
        <f t="shared" si="82"/>
        <v>0</v>
      </c>
      <c r="I114" s="247">
        <f t="shared" si="83"/>
        <v>0</v>
      </c>
      <c r="J114" s="249"/>
      <c r="K114" s="368">
        <f t="shared" si="84"/>
        <v>0</v>
      </c>
      <c r="L114" s="351"/>
      <c r="M114" s="345">
        <f t="shared" si="85"/>
        <v>0</v>
      </c>
      <c r="N114" s="249">
        <f t="shared" si="86"/>
        <v>0</v>
      </c>
      <c r="O114" s="249">
        <f t="shared" si="87"/>
        <v>0</v>
      </c>
      <c r="P114" s="249">
        <f t="shared" si="88"/>
        <v>0</v>
      </c>
      <c r="Q114" s="249">
        <f t="shared" si="89"/>
        <v>0</v>
      </c>
      <c r="R114" s="249">
        <f t="shared" si="90"/>
        <v>0</v>
      </c>
      <c r="S114" s="249">
        <f t="shared" si="91"/>
        <v>0</v>
      </c>
      <c r="T114" s="249">
        <f t="shared" si="92"/>
        <v>0</v>
      </c>
      <c r="U114" s="249" t="e">
        <f t="shared" si="93"/>
        <v>#REF!</v>
      </c>
      <c r="V114" s="251">
        <f t="shared" si="94"/>
        <v>0</v>
      </c>
    </row>
    <row r="115" spans="1:22" x14ac:dyDescent="0.3">
      <c r="A115" s="1019"/>
      <c r="B115" s="240"/>
      <c r="C115" s="249"/>
      <c r="D115" s="202"/>
      <c r="E115" s="247">
        <f t="shared" si="79"/>
        <v>0</v>
      </c>
      <c r="F115" s="247"/>
      <c r="G115" s="247">
        <f t="shared" si="81"/>
        <v>0</v>
      </c>
      <c r="H115" s="247">
        <f t="shared" si="82"/>
        <v>0</v>
      </c>
      <c r="I115" s="247">
        <f t="shared" si="83"/>
        <v>0</v>
      </c>
      <c r="J115" s="249"/>
      <c r="K115" s="368">
        <f t="shared" si="84"/>
        <v>0</v>
      </c>
      <c r="L115" s="351"/>
      <c r="M115" s="345">
        <f t="shared" si="85"/>
        <v>0</v>
      </c>
      <c r="N115" s="249">
        <f t="shared" si="86"/>
        <v>0</v>
      </c>
      <c r="O115" s="249">
        <f t="shared" si="87"/>
        <v>0</v>
      </c>
      <c r="P115" s="249">
        <f t="shared" si="88"/>
        <v>0</v>
      </c>
      <c r="Q115" s="249">
        <f t="shared" si="89"/>
        <v>0</v>
      </c>
      <c r="R115" s="249">
        <f t="shared" si="90"/>
        <v>0</v>
      </c>
      <c r="S115" s="249">
        <f t="shared" si="91"/>
        <v>0</v>
      </c>
      <c r="T115" s="249">
        <f t="shared" si="92"/>
        <v>0</v>
      </c>
      <c r="U115" s="249" t="e">
        <f t="shared" si="93"/>
        <v>#REF!</v>
      </c>
      <c r="V115" s="251">
        <f t="shared" si="94"/>
        <v>0</v>
      </c>
    </row>
    <row r="116" spans="1:22" ht="10.8" thickBot="1" x14ac:dyDescent="0.35">
      <c r="A116" s="1020"/>
      <c r="B116" s="467"/>
      <c r="C116" s="347"/>
      <c r="D116" s="468"/>
      <c r="E116" s="233">
        <f t="shared" si="79"/>
        <v>0</v>
      </c>
      <c r="F116" s="233"/>
      <c r="G116" s="233">
        <f t="shared" si="81"/>
        <v>0</v>
      </c>
      <c r="H116" s="233">
        <f t="shared" si="82"/>
        <v>0</v>
      </c>
      <c r="I116" s="233">
        <f t="shared" si="83"/>
        <v>0</v>
      </c>
      <c r="J116" s="347"/>
      <c r="K116" s="369">
        <f t="shared" si="84"/>
        <v>0</v>
      </c>
      <c r="L116" s="351"/>
      <c r="M116" s="346">
        <f t="shared" si="85"/>
        <v>0</v>
      </c>
      <c r="N116" s="347">
        <f t="shared" si="86"/>
        <v>0</v>
      </c>
      <c r="O116" s="347">
        <f t="shared" si="87"/>
        <v>0</v>
      </c>
      <c r="P116" s="347">
        <f t="shared" si="88"/>
        <v>0</v>
      </c>
      <c r="Q116" s="347">
        <f t="shared" si="89"/>
        <v>0</v>
      </c>
      <c r="R116" s="347">
        <f t="shared" si="90"/>
        <v>0</v>
      </c>
      <c r="S116" s="347">
        <f t="shared" si="91"/>
        <v>0</v>
      </c>
      <c r="T116" s="347">
        <f t="shared" si="92"/>
        <v>0</v>
      </c>
      <c r="U116" s="347" t="e">
        <f t="shared" si="93"/>
        <v>#REF!</v>
      </c>
      <c r="V116" s="348">
        <f t="shared" si="94"/>
        <v>0</v>
      </c>
    </row>
    <row r="117" spans="1:22" x14ac:dyDescent="0.3">
      <c r="A117" s="1024" t="s">
        <v>244</v>
      </c>
      <c r="B117" s="236">
        <v>1</v>
      </c>
      <c r="C117" s="245">
        <v>850</v>
      </c>
      <c r="D117" s="255"/>
      <c r="E117" s="245">
        <f t="shared" ref="E117:E126" si="95">+C117*0.0833</f>
        <v>70.804999999999993</v>
      </c>
      <c r="F117" s="245">
        <f t="shared" ref="F117:F122" si="96">(394/12)</f>
        <v>32.833333333333336</v>
      </c>
      <c r="G117" s="245">
        <f t="shared" ref="G117:G126" si="97">+C117/12</f>
        <v>70.833333333333329</v>
      </c>
      <c r="H117" s="245">
        <f t="shared" ref="H117:H126" si="98">+C117*0.1115</f>
        <v>94.775000000000006</v>
      </c>
      <c r="I117" s="245">
        <f t="shared" ref="I117:I126" si="99">SUM(C117:H117)</f>
        <v>1119.2466666666667</v>
      </c>
      <c r="J117" s="245"/>
      <c r="K117" s="362">
        <f t="shared" si="25"/>
        <v>1119.2466666666667</v>
      </c>
      <c r="L117" s="351"/>
      <c r="M117" s="366">
        <f t="shared" si="5"/>
        <v>14.218674571247089</v>
      </c>
      <c r="N117" s="245">
        <f t="shared" si="15"/>
        <v>41.205718907474065</v>
      </c>
      <c r="O117" s="245">
        <f t="shared" si="16"/>
        <v>51.221410150158803</v>
      </c>
      <c r="P117" s="245">
        <f t="shared" si="17"/>
        <v>74.434175457336778</v>
      </c>
      <c r="Q117" s="245">
        <f t="shared" si="18"/>
        <v>81.060564131935521</v>
      </c>
      <c r="R117" s="245">
        <f t="shared" si="19"/>
        <v>101.6864992518185</v>
      </c>
      <c r="S117" s="245">
        <f t="shared" si="20"/>
        <v>106.87941569482751</v>
      </c>
      <c r="T117" s="245">
        <f t="shared" si="21"/>
        <v>126.58381210791256</v>
      </c>
      <c r="U117" s="245" t="e">
        <f t="shared" si="22"/>
        <v>#REF!</v>
      </c>
      <c r="V117" s="246">
        <f t="shared" si="23"/>
        <v>0</v>
      </c>
    </row>
    <row r="118" spans="1:22" x14ac:dyDescent="0.3">
      <c r="A118" s="1025"/>
      <c r="B118" s="237">
        <v>1</v>
      </c>
      <c r="C118" s="247">
        <v>3600</v>
      </c>
      <c r="D118" s="51"/>
      <c r="E118" s="247">
        <f t="shared" si="95"/>
        <v>299.88</v>
      </c>
      <c r="F118" s="247">
        <f t="shared" si="96"/>
        <v>32.833333333333336</v>
      </c>
      <c r="G118" s="247">
        <f t="shared" si="97"/>
        <v>300</v>
      </c>
      <c r="H118" s="247">
        <f t="shared" si="98"/>
        <v>401.40000000000003</v>
      </c>
      <c r="I118" s="247">
        <f t="shared" si="99"/>
        <v>4634.1133333333328</v>
      </c>
      <c r="J118" s="247"/>
      <c r="K118" s="359">
        <f t="shared" si="25"/>
        <v>4634.1133333333328</v>
      </c>
      <c r="L118" s="351"/>
      <c r="M118" s="345">
        <f t="shared" si="5"/>
        <v>58.870802456066059</v>
      </c>
      <c r="N118" s="249">
        <f t="shared" si="15"/>
        <v>170.60758551767941</v>
      </c>
      <c r="O118" s="249">
        <f t="shared" si="16"/>
        <v>212.07641425094218</v>
      </c>
      <c r="P118" s="249">
        <f t="shared" si="17"/>
        <v>308.18622490947826</v>
      </c>
      <c r="Q118" s="249">
        <f t="shared" si="18"/>
        <v>335.6220324247775</v>
      </c>
      <c r="R118" s="249">
        <f t="shared" si="19"/>
        <v>421.02136735081524</v>
      </c>
      <c r="S118" s="249">
        <f t="shared" si="20"/>
        <v>442.52204637370016</v>
      </c>
      <c r="T118" s="249">
        <f t="shared" si="21"/>
        <v>524.10585525392594</v>
      </c>
      <c r="U118" s="249" t="e">
        <f t="shared" si="22"/>
        <v>#REF!</v>
      </c>
      <c r="V118" s="251">
        <f t="shared" si="23"/>
        <v>0</v>
      </c>
    </row>
    <row r="119" spans="1:22" x14ac:dyDescent="0.3">
      <c r="A119" s="1025"/>
      <c r="B119" s="237">
        <v>1</v>
      </c>
      <c r="C119" s="247">
        <v>1000</v>
      </c>
      <c r="D119" s="51"/>
      <c r="E119" s="247">
        <f t="shared" si="95"/>
        <v>83.3</v>
      </c>
      <c r="F119" s="247">
        <f t="shared" si="96"/>
        <v>32.833333333333336</v>
      </c>
      <c r="G119" s="247">
        <f t="shared" si="97"/>
        <v>83.333333333333329</v>
      </c>
      <c r="H119" s="247">
        <f t="shared" si="98"/>
        <v>111.5</v>
      </c>
      <c r="I119" s="247">
        <f t="shared" si="99"/>
        <v>1310.9666666666665</v>
      </c>
      <c r="J119" s="247"/>
      <c r="K119" s="359">
        <f t="shared" si="25"/>
        <v>1310.9666666666665</v>
      </c>
      <c r="L119" s="351"/>
      <c r="M119" s="345">
        <f>+(K119/$B$2)*$M$2*6</f>
        <v>16.654245183146301</v>
      </c>
      <c r="N119" s="249">
        <f t="shared" si="15"/>
        <v>48.264002540757986</v>
      </c>
      <c r="O119" s="249">
        <f t="shared" si="16"/>
        <v>59.99531946474697</v>
      </c>
      <c r="P119" s="249">
        <f t="shared" si="17"/>
        <v>87.184287245635389</v>
      </c>
      <c r="Q119" s="249">
        <f t="shared" si="18"/>
        <v>94.945735129726884</v>
      </c>
      <c r="R119" s="249">
        <f t="shared" si="19"/>
        <v>119.10476478449104</v>
      </c>
      <c r="S119" s="249">
        <f t="shared" si="20"/>
        <v>125.18719555003872</v>
      </c>
      <c r="T119" s="249">
        <f t="shared" si="21"/>
        <v>148.26683264314963</v>
      </c>
      <c r="U119" s="249" t="e">
        <f t="shared" si="22"/>
        <v>#REF!</v>
      </c>
      <c r="V119" s="251">
        <f t="shared" si="23"/>
        <v>0</v>
      </c>
    </row>
    <row r="120" spans="1:22" x14ac:dyDescent="0.3">
      <c r="A120" s="1025"/>
      <c r="B120" s="237">
        <v>1</v>
      </c>
      <c r="C120" s="247">
        <v>1000</v>
      </c>
      <c r="D120" s="51"/>
      <c r="E120" s="247">
        <f t="shared" si="95"/>
        <v>83.3</v>
      </c>
      <c r="F120" s="247">
        <f t="shared" si="96"/>
        <v>32.833333333333336</v>
      </c>
      <c r="G120" s="247">
        <f t="shared" si="97"/>
        <v>83.333333333333329</v>
      </c>
      <c r="H120" s="247">
        <f t="shared" si="98"/>
        <v>111.5</v>
      </c>
      <c r="I120" s="247">
        <f t="shared" si="99"/>
        <v>1310.9666666666665</v>
      </c>
      <c r="J120" s="247"/>
      <c r="K120" s="359">
        <f t="shared" si="25"/>
        <v>1310.9666666666665</v>
      </c>
      <c r="L120" s="351"/>
      <c r="M120" s="345">
        <f>+(K120/$B$2)*$M$2*6</f>
        <v>16.654245183146301</v>
      </c>
      <c r="N120" s="249">
        <f t="shared" si="15"/>
        <v>48.264002540757986</v>
      </c>
      <c r="O120" s="249">
        <f t="shared" si="16"/>
        <v>59.99531946474697</v>
      </c>
      <c r="P120" s="249">
        <f t="shared" si="17"/>
        <v>87.184287245635389</v>
      </c>
      <c r="Q120" s="249">
        <f t="shared" si="18"/>
        <v>94.945735129726884</v>
      </c>
      <c r="R120" s="249">
        <f t="shared" si="19"/>
        <v>119.10476478449104</v>
      </c>
      <c r="S120" s="249">
        <f t="shared" si="20"/>
        <v>125.18719555003872</v>
      </c>
      <c r="T120" s="249">
        <f t="shared" si="21"/>
        <v>148.26683264314963</v>
      </c>
      <c r="U120" s="249" t="e">
        <f t="shared" si="22"/>
        <v>#REF!</v>
      </c>
      <c r="V120" s="251">
        <f t="shared" si="23"/>
        <v>0</v>
      </c>
    </row>
    <row r="121" spans="1:22" x14ac:dyDescent="0.3">
      <c r="A121" s="1025"/>
      <c r="B121" s="237">
        <v>1</v>
      </c>
      <c r="C121" s="247">
        <v>1000</v>
      </c>
      <c r="D121" s="51"/>
      <c r="E121" s="247">
        <f t="shared" si="95"/>
        <v>83.3</v>
      </c>
      <c r="F121" s="247">
        <f t="shared" si="96"/>
        <v>32.833333333333336</v>
      </c>
      <c r="G121" s="247">
        <f t="shared" si="97"/>
        <v>83.333333333333329</v>
      </c>
      <c r="H121" s="247">
        <f t="shared" si="98"/>
        <v>111.5</v>
      </c>
      <c r="I121" s="247">
        <f t="shared" si="99"/>
        <v>1310.9666666666665</v>
      </c>
      <c r="J121" s="247"/>
      <c r="K121" s="359">
        <f t="shared" si="25"/>
        <v>1310.9666666666665</v>
      </c>
      <c r="L121" s="351"/>
      <c r="M121" s="345">
        <f t="shared" ref="M121:M134" si="100">+(K121/$B$2)*$M$2*6</f>
        <v>16.654245183146301</v>
      </c>
      <c r="N121" s="249">
        <f t="shared" ref="N121:N134" si="101">+(K121/$B$2)*$N$2*6</f>
        <v>48.264002540757986</v>
      </c>
      <c r="O121" s="249">
        <f t="shared" ref="O121:O134" si="102">+(K121/$B$2)*$O$2*6</f>
        <v>59.99531946474697</v>
      </c>
      <c r="P121" s="249">
        <f t="shared" ref="P121:P134" si="103">+(K121/$B$2)*$P$2*6</f>
        <v>87.184287245635389</v>
      </c>
      <c r="Q121" s="249">
        <f t="shared" ref="Q121:Q134" si="104">+(K121/$B$2)*$Q$2*6</f>
        <v>94.945735129726884</v>
      </c>
      <c r="R121" s="249">
        <f t="shared" ref="R121:R134" si="105">+(K121/$B$2)*$R$2*6</f>
        <v>119.10476478449104</v>
      </c>
      <c r="S121" s="249">
        <f t="shared" ref="S121:S134" si="106">+(K121/$B$2)*$S$2*6</f>
        <v>125.18719555003872</v>
      </c>
      <c r="T121" s="249">
        <f t="shared" ref="T121:T134" si="107">+(K121/$B$2)*$T$2*6</f>
        <v>148.26683264314963</v>
      </c>
      <c r="U121" s="249" t="e">
        <f t="shared" ref="U121:U134" si="108">+(K121/$B$2)*$U$2*6</f>
        <v>#REF!</v>
      </c>
      <c r="V121" s="251">
        <f t="shared" ref="V121:V134" si="109">+(K121/$B$2)*$V$2*6</f>
        <v>0</v>
      </c>
    </row>
    <row r="122" spans="1:22" x14ac:dyDescent="0.3">
      <c r="A122" s="1025"/>
      <c r="B122" s="237">
        <v>1</v>
      </c>
      <c r="C122" s="247">
        <v>1000</v>
      </c>
      <c r="D122" s="51"/>
      <c r="E122" s="247">
        <f t="shared" si="95"/>
        <v>83.3</v>
      </c>
      <c r="F122" s="247">
        <f t="shared" si="96"/>
        <v>32.833333333333336</v>
      </c>
      <c r="G122" s="247">
        <f t="shared" si="97"/>
        <v>83.333333333333329</v>
      </c>
      <c r="H122" s="247">
        <f t="shared" si="98"/>
        <v>111.5</v>
      </c>
      <c r="I122" s="247">
        <f t="shared" si="99"/>
        <v>1310.9666666666665</v>
      </c>
      <c r="J122" s="247"/>
      <c r="K122" s="359">
        <f t="shared" si="25"/>
        <v>1310.9666666666665</v>
      </c>
      <c r="L122" s="351"/>
      <c r="M122" s="345">
        <f t="shared" si="100"/>
        <v>16.654245183146301</v>
      </c>
      <c r="N122" s="249">
        <f t="shared" si="101"/>
        <v>48.264002540757986</v>
      </c>
      <c r="O122" s="249">
        <f t="shared" si="102"/>
        <v>59.99531946474697</v>
      </c>
      <c r="P122" s="249">
        <f t="shared" si="103"/>
        <v>87.184287245635389</v>
      </c>
      <c r="Q122" s="249">
        <f t="shared" si="104"/>
        <v>94.945735129726884</v>
      </c>
      <c r="R122" s="249">
        <f t="shared" si="105"/>
        <v>119.10476478449104</v>
      </c>
      <c r="S122" s="249">
        <f t="shared" si="106"/>
        <v>125.18719555003872</v>
      </c>
      <c r="T122" s="249">
        <f t="shared" si="107"/>
        <v>148.26683264314963</v>
      </c>
      <c r="U122" s="249" t="e">
        <f t="shared" si="108"/>
        <v>#REF!</v>
      </c>
      <c r="V122" s="251">
        <f t="shared" si="109"/>
        <v>0</v>
      </c>
    </row>
    <row r="123" spans="1:22" x14ac:dyDescent="0.3">
      <c r="A123" s="1025"/>
      <c r="B123" s="237"/>
      <c r="C123" s="247"/>
      <c r="D123" s="51"/>
      <c r="E123" s="247">
        <f t="shared" si="95"/>
        <v>0</v>
      </c>
      <c r="F123" s="247"/>
      <c r="G123" s="247">
        <f t="shared" si="97"/>
        <v>0</v>
      </c>
      <c r="H123" s="247">
        <f t="shared" si="98"/>
        <v>0</v>
      </c>
      <c r="I123" s="247">
        <f t="shared" si="99"/>
        <v>0</v>
      </c>
      <c r="J123" s="247"/>
      <c r="K123" s="359">
        <f t="shared" si="25"/>
        <v>0</v>
      </c>
      <c r="L123" s="351"/>
      <c r="M123" s="345">
        <f t="shared" si="100"/>
        <v>0</v>
      </c>
      <c r="N123" s="249">
        <f t="shared" si="101"/>
        <v>0</v>
      </c>
      <c r="O123" s="249">
        <f t="shared" si="102"/>
        <v>0</v>
      </c>
      <c r="P123" s="249">
        <f t="shared" si="103"/>
        <v>0</v>
      </c>
      <c r="Q123" s="249">
        <f t="shared" si="104"/>
        <v>0</v>
      </c>
      <c r="R123" s="249">
        <f t="shared" si="105"/>
        <v>0</v>
      </c>
      <c r="S123" s="249">
        <f t="shared" si="106"/>
        <v>0</v>
      </c>
      <c r="T123" s="249">
        <f t="shared" si="107"/>
        <v>0</v>
      </c>
      <c r="U123" s="249" t="e">
        <f t="shared" si="108"/>
        <v>#REF!</v>
      </c>
      <c r="V123" s="251">
        <f t="shared" si="109"/>
        <v>0</v>
      </c>
    </row>
    <row r="124" spans="1:22" x14ac:dyDescent="0.3">
      <c r="A124" s="1025"/>
      <c r="B124" s="237"/>
      <c r="C124" s="247"/>
      <c r="D124" s="51"/>
      <c r="E124" s="247">
        <f t="shared" si="95"/>
        <v>0</v>
      </c>
      <c r="F124" s="247"/>
      <c r="G124" s="247">
        <f t="shared" si="97"/>
        <v>0</v>
      </c>
      <c r="H124" s="247">
        <f t="shared" si="98"/>
        <v>0</v>
      </c>
      <c r="I124" s="247">
        <f t="shared" si="99"/>
        <v>0</v>
      </c>
      <c r="J124" s="247"/>
      <c r="K124" s="359">
        <f t="shared" si="25"/>
        <v>0</v>
      </c>
      <c r="L124" s="351"/>
      <c r="M124" s="345">
        <f t="shared" si="100"/>
        <v>0</v>
      </c>
      <c r="N124" s="249">
        <f t="shared" si="101"/>
        <v>0</v>
      </c>
      <c r="O124" s="249">
        <f t="shared" si="102"/>
        <v>0</v>
      </c>
      <c r="P124" s="249">
        <f t="shared" si="103"/>
        <v>0</v>
      </c>
      <c r="Q124" s="249">
        <f t="shared" si="104"/>
        <v>0</v>
      </c>
      <c r="R124" s="249">
        <f t="shared" si="105"/>
        <v>0</v>
      </c>
      <c r="S124" s="249">
        <f t="shared" si="106"/>
        <v>0</v>
      </c>
      <c r="T124" s="249">
        <f t="shared" si="107"/>
        <v>0</v>
      </c>
      <c r="U124" s="249" t="e">
        <f t="shared" si="108"/>
        <v>#REF!</v>
      </c>
      <c r="V124" s="251">
        <f t="shared" si="109"/>
        <v>0</v>
      </c>
    </row>
    <row r="125" spans="1:22" x14ac:dyDescent="0.3">
      <c r="A125" s="1025"/>
      <c r="B125" s="237"/>
      <c r="C125" s="247"/>
      <c r="D125" s="51"/>
      <c r="E125" s="247">
        <f t="shared" si="95"/>
        <v>0</v>
      </c>
      <c r="F125" s="247"/>
      <c r="G125" s="247">
        <f t="shared" si="97"/>
        <v>0</v>
      </c>
      <c r="H125" s="247">
        <f t="shared" si="98"/>
        <v>0</v>
      </c>
      <c r="I125" s="247">
        <f t="shared" si="99"/>
        <v>0</v>
      </c>
      <c r="J125" s="247"/>
      <c r="K125" s="359">
        <f t="shared" si="25"/>
        <v>0</v>
      </c>
      <c r="L125" s="351"/>
      <c r="M125" s="345">
        <f t="shared" si="100"/>
        <v>0</v>
      </c>
      <c r="N125" s="249">
        <f t="shared" si="101"/>
        <v>0</v>
      </c>
      <c r="O125" s="249">
        <f t="shared" si="102"/>
        <v>0</v>
      </c>
      <c r="P125" s="249">
        <f t="shared" si="103"/>
        <v>0</v>
      </c>
      <c r="Q125" s="249">
        <f t="shared" si="104"/>
        <v>0</v>
      </c>
      <c r="R125" s="249">
        <f t="shared" si="105"/>
        <v>0</v>
      </c>
      <c r="S125" s="249">
        <f t="shared" si="106"/>
        <v>0</v>
      </c>
      <c r="T125" s="249">
        <f t="shared" si="107"/>
        <v>0</v>
      </c>
      <c r="U125" s="249" t="e">
        <f t="shared" si="108"/>
        <v>#REF!</v>
      </c>
      <c r="V125" s="251">
        <f t="shared" si="109"/>
        <v>0</v>
      </c>
    </row>
    <row r="126" spans="1:22" ht="10.8" thickBot="1" x14ac:dyDescent="0.35">
      <c r="A126" s="1031"/>
      <c r="B126" s="252"/>
      <c r="C126" s="253"/>
      <c r="D126" s="254"/>
      <c r="E126" s="253">
        <f t="shared" si="95"/>
        <v>0</v>
      </c>
      <c r="F126" s="253"/>
      <c r="G126" s="253">
        <f t="shared" si="97"/>
        <v>0</v>
      </c>
      <c r="H126" s="253">
        <f t="shared" si="98"/>
        <v>0</v>
      </c>
      <c r="I126" s="253">
        <f t="shared" si="99"/>
        <v>0</v>
      </c>
      <c r="J126" s="253"/>
      <c r="K126" s="361">
        <f t="shared" si="25"/>
        <v>0</v>
      </c>
      <c r="L126" s="351"/>
      <c r="M126" s="346">
        <f t="shared" si="100"/>
        <v>0</v>
      </c>
      <c r="N126" s="347">
        <f t="shared" si="101"/>
        <v>0</v>
      </c>
      <c r="O126" s="347">
        <f t="shared" si="102"/>
        <v>0</v>
      </c>
      <c r="P126" s="347">
        <f t="shared" si="103"/>
        <v>0</v>
      </c>
      <c r="Q126" s="347">
        <f t="shared" si="104"/>
        <v>0</v>
      </c>
      <c r="R126" s="347">
        <f t="shared" si="105"/>
        <v>0</v>
      </c>
      <c r="S126" s="347">
        <f t="shared" si="106"/>
        <v>0</v>
      </c>
      <c r="T126" s="347">
        <f t="shared" si="107"/>
        <v>0</v>
      </c>
      <c r="U126" s="347" t="e">
        <f t="shared" si="108"/>
        <v>#REF!</v>
      </c>
      <c r="V126" s="348">
        <f t="shared" si="109"/>
        <v>0</v>
      </c>
    </row>
    <row r="127" spans="1:22" x14ac:dyDescent="0.3">
      <c r="A127" s="1024" t="s">
        <v>245</v>
      </c>
      <c r="B127" s="236">
        <v>1</v>
      </c>
      <c r="C127" s="245">
        <v>820</v>
      </c>
      <c r="D127" s="255"/>
      <c r="E127" s="245">
        <f t="shared" ref="E127:E133" si="110">+C127*0.0833</f>
        <v>68.305999999999997</v>
      </c>
      <c r="F127" s="245">
        <f t="shared" ref="F127:F135" si="111">(394/12)</f>
        <v>32.833333333333336</v>
      </c>
      <c r="G127" s="245">
        <f t="shared" ref="G127:G133" si="112">+C127/12</f>
        <v>68.333333333333329</v>
      </c>
      <c r="H127" s="245">
        <f t="shared" ref="H127:H133" si="113">+C127*0.1115</f>
        <v>91.43</v>
      </c>
      <c r="I127" s="245">
        <f t="shared" ref="I127:I133" si="114">SUM(C127:H127)</f>
        <v>1080.9026666666668</v>
      </c>
      <c r="J127" s="245"/>
      <c r="K127" s="362">
        <f t="shared" si="25"/>
        <v>1080.9026666666668</v>
      </c>
      <c r="L127" s="351"/>
      <c r="M127" s="366">
        <f t="shared" si="100"/>
        <v>13.731560448867246</v>
      </c>
      <c r="N127" s="245">
        <f t="shared" si="101"/>
        <v>39.794062180817278</v>
      </c>
      <c r="O127" s="245">
        <f t="shared" si="102"/>
        <v>49.466628287241164</v>
      </c>
      <c r="P127" s="245">
        <f t="shared" si="103"/>
        <v>71.884153099677064</v>
      </c>
      <c r="Q127" s="245">
        <f t="shared" si="104"/>
        <v>78.283529932377263</v>
      </c>
      <c r="R127" s="245">
        <f t="shared" si="105"/>
        <v>98.202846145284013</v>
      </c>
      <c r="S127" s="245">
        <f t="shared" si="106"/>
        <v>103.21785972378527</v>
      </c>
      <c r="T127" s="245">
        <f t="shared" si="107"/>
        <v>122.24720800086516</v>
      </c>
      <c r="U127" s="245" t="e">
        <f t="shared" si="108"/>
        <v>#REF!</v>
      </c>
      <c r="V127" s="246">
        <f t="shared" si="109"/>
        <v>0</v>
      </c>
    </row>
    <row r="128" spans="1:22" x14ac:dyDescent="0.3">
      <c r="A128" s="1025"/>
      <c r="B128" s="237">
        <v>1</v>
      </c>
      <c r="C128" s="247">
        <v>800</v>
      </c>
      <c r="D128" s="51"/>
      <c r="E128" s="247">
        <f t="shared" si="110"/>
        <v>66.64</v>
      </c>
      <c r="F128" s="247">
        <f t="shared" si="111"/>
        <v>32.833333333333336</v>
      </c>
      <c r="G128" s="247">
        <f t="shared" si="112"/>
        <v>66.666666666666671</v>
      </c>
      <c r="H128" s="247">
        <f t="shared" si="113"/>
        <v>89.2</v>
      </c>
      <c r="I128" s="247">
        <f t="shared" si="114"/>
        <v>1055.3399999999999</v>
      </c>
      <c r="J128" s="247"/>
      <c r="K128" s="359">
        <f t="shared" si="25"/>
        <v>1055.3399999999999</v>
      </c>
      <c r="L128" s="351"/>
      <c r="M128" s="345">
        <f t="shared" si="100"/>
        <v>13.406817700614017</v>
      </c>
      <c r="N128" s="249">
        <f t="shared" si="101"/>
        <v>38.85295769637942</v>
      </c>
      <c r="O128" s="249">
        <f t="shared" si="102"/>
        <v>48.296773711962729</v>
      </c>
      <c r="P128" s="249">
        <f t="shared" si="103"/>
        <v>70.184138194570565</v>
      </c>
      <c r="Q128" s="249">
        <f t="shared" si="104"/>
        <v>76.432173799338386</v>
      </c>
      <c r="R128" s="249">
        <f t="shared" si="105"/>
        <v>95.880410740927658</v>
      </c>
      <c r="S128" s="249">
        <f t="shared" si="106"/>
        <v>100.77682240975707</v>
      </c>
      <c r="T128" s="249">
        <f t="shared" si="107"/>
        <v>119.35613859616686</v>
      </c>
      <c r="U128" s="249" t="e">
        <f t="shared" si="108"/>
        <v>#REF!</v>
      </c>
      <c r="V128" s="251">
        <f t="shared" si="109"/>
        <v>0</v>
      </c>
    </row>
    <row r="129" spans="1:22" x14ac:dyDescent="0.3">
      <c r="A129" s="1025"/>
      <c r="B129" s="237"/>
      <c r="C129" s="247"/>
      <c r="D129" s="51"/>
      <c r="E129" s="247">
        <f t="shared" si="110"/>
        <v>0</v>
      </c>
      <c r="F129" s="247"/>
      <c r="G129" s="247">
        <f t="shared" si="112"/>
        <v>0</v>
      </c>
      <c r="H129" s="247">
        <f t="shared" si="113"/>
        <v>0</v>
      </c>
      <c r="I129" s="247">
        <f t="shared" si="114"/>
        <v>0</v>
      </c>
      <c r="J129" s="247"/>
      <c r="K129" s="359">
        <f t="shared" si="25"/>
        <v>0</v>
      </c>
      <c r="L129" s="351"/>
      <c r="M129" s="345">
        <f t="shared" si="100"/>
        <v>0</v>
      </c>
      <c r="N129" s="249">
        <f t="shared" si="101"/>
        <v>0</v>
      </c>
      <c r="O129" s="249">
        <f t="shared" si="102"/>
        <v>0</v>
      </c>
      <c r="P129" s="249">
        <f t="shared" si="103"/>
        <v>0</v>
      </c>
      <c r="Q129" s="249">
        <f t="shared" si="104"/>
        <v>0</v>
      </c>
      <c r="R129" s="249">
        <f t="shared" si="105"/>
        <v>0</v>
      </c>
      <c r="S129" s="249">
        <f t="shared" si="106"/>
        <v>0</v>
      </c>
      <c r="T129" s="249">
        <f t="shared" si="107"/>
        <v>0</v>
      </c>
      <c r="U129" s="249" t="e">
        <f t="shared" si="108"/>
        <v>#REF!</v>
      </c>
      <c r="V129" s="251">
        <f t="shared" si="109"/>
        <v>0</v>
      </c>
    </row>
    <row r="130" spans="1:22" x14ac:dyDescent="0.3">
      <c r="A130" s="1025"/>
      <c r="B130" s="237"/>
      <c r="C130" s="247"/>
      <c r="D130" s="51"/>
      <c r="E130" s="247">
        <f t="shared" si="110"/>
        <v>0</v>
      </c>
      <c r="F130" s="247"/>
      <c r="G130" s="247">
        <f t="shared" si="112"/>
        <v>0</v>
      </c>
      <c r="H130" s="247">
        <f t="shared" si="113"/>
        <v>0</v>
      </c>
      <c r="I130" s="247">
        <f t="shared" si="114"/>
        <v>0</v>
      </c>
      <c r="J130" s="247"/>
      <c r="K130" s="359">
        <f t="shared" si="25"/>
        <v>0</v>
      </c>
      <c r="L130" s="351"/>
      <c r="M130" s="345">
        <f t="shared" si="100"/>
        <v>0</v>
      </c>
      <c r="N130" s="249">
        <f t="shared" si="101"/>
        <v>0</v>
      </c>
      <c r="O130" s="249">
        <f t="shared" si="102"/>
        <v>0</v>
      </c>
      <c r="P130" s="249">
        <f t="shared" si="103"/>
        <v>0</v>
      </c>
      <c r="Q130" s="249">
        <f t="shared" si="104"/>
        <v>0</v>
      </c>
      <c r="R130" s="249">
        <f t="shared" si="105"/>
        <v>0</v>
      </c>
      <c r="S130" s="249">
        <f t="shared" si="106"/>
        <v>0</v>
      </c>
      <c r="T130" s="249">
        <f t="shared" si="107"/>
        <v>0</v>
      </c>
      <c r="U130" s="249" t="e">
        <f t="shared" si="108"/>
        <v>#REF!</v>
      </c>
      <c r="V130" s="251">
        <f t="shared" si="109"/>
        <v>0</v>
      </c>
    </row>
    <row r="131" spans="1:22" x14ac:dyDescent="0.3">
      <c r="A131" s="1025"/>
      <c r="B131" s="237"/>
      <c r="C131" s="247"/>
      <c r="D131" s="51"/>
      <c r="E131" s="247">
        <f t="shared" si="110"/>
        <v>0</v>
      </c>
      <c r="F131" s="247"/>
      <c r="G131" s="247">
        <f t="shared" si="112"/>
        <v>0</v>
      </c>
      <c r="H131" s="247">
        <f t="shared" si="113"/>
        <v>0</v>
      </c>
      <c r="I131" s="247">
        <f t="shared" si="114"/>
        <v>0</v>
      </c>
      <c r="J131" s="247"/>
      <c r="K131" s="359">
        <f t="shared" si="25"/>
        <v>0</v>
      </c>
      <c r="L131" s="351"/>
      <c r="M131" s="345">
        <f t="shared" si="100"/>
        <v>0</v>
      </c>
      <c r="N131" s="249">
        <f t="shared" si="101"/>
        <v>0</v>
      </c>
      <c r="O131" s="249">
        <f t="shared" si="102"/>
        <v>0</v>
      </c>
      <c r="P131" s="249">
        <f t="shared" si="103"/>
        <v>0</v>
      </c>
      <c r="Q131" s="249">
        <f t="shared" si="104"/>
        <v>0</v>
      </c>
      <c r="R131" s="249">
        <f t="shared" si="105"/>
        <v>0</v>
      </c>
      <c r="S131" s="249">
        <f t="shared" si="106"/>
        <v>0</v>
      </c>
      <c r="T131" s="249">
        <f t="shared" si="107"/>
        <v>0</v>
      </c>
      <c r="U131" s="249" t="e">
        <f t="shared" si="108"/>
        <v>#REF!</v>
      </c>
      <c r="V131" s="251">
        <f t="shared" si="109"/>
        <v>0</v>
      </c>
    </row>
    <row r="132" spans="1:22" x14ac:dyDescent="0.3">
      <c r="A132" s="1025"/>
      <c r="B132" s="237"/>
      <c r="C132" s="247"/>
      <c r="D132" s="51"/>
      <c r="E132" s="247">
        <f t="shared" si="110"/>
        <v>0</v>
      </c>
      <c r="F132" s="247"/>
      <c r="G132" s="247">
        <f t="shared" si="112"/>
        <v>0</v>
      </c>
      <c r="H132" s="247">
        <f t="shared" si="113"/>
        <v>0</v>
      </c>
      <c r="I132" s="247">
        <f t="shared" si="114"/>
        <v>0</v>
      </c>
      <c r="J132" s="247"/>
      <c r="K132" s="359">
        <f t="shared" si="25"/>
        <v>0</v>
      </c>
      <c r="L132" s="351"/>
      <c r="M132" s="345">
        <f t="shared" si="100"/>
        <v>0</v>
      </c>
      <c r="N132" s="249">
        <f t="shared" si="101"/>
        <v>0</v>
      </c>
      <c r="O132" s="249">
        <f t="shared" si="102"/>
        <v>0</v>
      </c>
      <c r="P132" s="249">
        <f t="shared" si="103"/>
        <v>0</v>
      </c>
      <c r="Q132" s="249">
        <f t="shared" si="104"/>
        <v>0</v>
      </c>
      <c r="R132" s="249">
        <f t="shared" si="105"/>
        <v>0</v>
      </c>
      <c r="S132" s="249">
        <f t="shared" si="106"/>
        <v>0</v>
      </c>
      <c r="T132" s="249">
        <f t="shared" si="107"/>
        <v>0</v>
      </c>
      <c r="U132" s="249" t="e">
        <f t="shared" si="108"/>
        <v>#REF!</v>
      </c>
      <c r="V132" s="251">
        <f t="shared" si="109"/>
        <v>0</v>
      </c>
    </row>
    <row r="133" spans="1:22" ht="10.8" thickBot="1" x14ac:dyDescent="0.35">
      <c r="A133" s="1026"/>
      <c r="B133" s="239"/>
      <c r="C133" s="233"/>
      <c r="D133" s="139"/>
      <c r="E133" s="233">
        <f t="shared" si="110"/>
        <v>0</v>
      </c>
      <c r="F133" s="233"/>
      <c r="G133" s="233">
        <f t="shared" si="112"/>
        <v>0</v>
      </c>
      <c r="H133" s="233">
        <f t="shared" si="113"/>
        <v>0</v>
      </c>
      <c r="I133" s="233">
        <f t="shared" si="114"/>
        <v>0</v>
      </c>
      <c r="J133" s="233"/>
      <c r="K133" s="360">
        <f t="shared" si="25"/>
        <v>0</v>
      </c>
      <c r="L133" s="351"/>
      <c r="M133" s="346">
        <f t="shared" si="100"/>
        <v>0</v>
      </c>
      <c r="N133" s="347">
        <f t="shared" si="101"/>
        <v>0</v>
      </c>
      <c r="O133" s="347">
        <f t="shared" si="102"/>
        <v>0</v>
      </c>
      <c r="P133" s="347">
        <f t="shared" si="103"/>
        <v>0</v>
      </c>
      <c r="Q133" s="347">
        <f t="shared" si="104"/>
        <v>0</v>
      </c>
      <c r="R133" s="347">
        <f t="shared" si="105"/>
        <v>0</v>
      </c>
      <c r="S133" s="347">
        <f t="shared" si="106"/>
        <v>0</v>
      </c>
      <c r="T133" s="347">
        <f t="shared" si="107"/>
        <v>0</v>
      </c>
      <c r="U133" s="347" t="e">
        <f t="shared" si="108"/>
        <v>#REF!</v>
      </c>
      <c r="V133" s="348">
        <f t="shared" si="109"/>
        <v>0</v>
      </c>
    </row>
    <row r="134" spans="1:22" x14ac:dyDescent="0.3">
      <c r="A134" s="1024" t="s">
        <v>246</v>
      </c>
      <c r="B134" s="236">
        <v>1</v>
      </c>
      <c r="C134" s="245">
        <v>820</v>
      </c>
      <c r="D134" s="255"/>
      <c r="E134" s="245">
        <f t="shared" ref="E134:E139" si="115">+C134*0.0833</f>
        <v>68.305999999999997</v>
      </c>
      <c r="F134" s="245">
        <f t="shared" si="111"/>
        <v>32.833333333333336</v>
      </c>
      <c r="G134" s="245">
        <f t="shared" ref="G134:G139" si="116">+C134/12</f>
        <v>68.333333333333329</v>
      </c>
      <c r="H134" s="245">
        <f t="shared" ref="H134:H139" si="117">+C134*0.1115</f>
        <v>91.43</v>
      </c>
      <c r="I134" s="245">
        <f t="shared" ref="I134:I139" si="118">SUM(C134:H134)</f>
        <v>1080.9026666666668</v>
      </c>
      <c r="J134" s="245"/>
      <c r="K134" s="362">
        <f>SUM(I134:J134)</f>
        <v>1080.9026666666668</v>
      </c>
      <c r="L134" s="351"/>
      <c r="M134" s="366">
        <f t="shared" si="100"/>
        <v>13.731560448867246</v>
      </c>
      <c r="N134" s="245">
        <f t="shared" si="101"/>
        <v>39.794062180817278</v>
      </c>
      <c r="O134" s="245">
        <f t="shared" si="102"/>
        <v>49.466628287241164</v>
      </c>
      <c r="P134" s="245">
        <f t="shared" si="103"/>
        <v>71.884153099677064</v>
      </c>
      <c r="Q134" s="245">
        <f t="shared" si="104"/>
        <v>78.283529932377263</v>
      </c>
      <c r="R134" s="245">
        <f t="shared" si="105"/>
        <v>98.202846145284013</v>
      </c>
      <c r="S134" s="245">
        <f t="shared" si="106"/>
        <v>103.21785972378527</v>
      </c>
      <c r="T134" s="245">
        <f t="shared" si="107"/>
        <v>122.24720800086516</v>
      </c>
      <c r="U134" s="245" t="e">
        <f t="shared" si="108"/>
        <v>#REF!</v>
      </c>
      <c r="V134" s="246">
        <f t="shared" si="109"/>
        <v>0</v>
      </c>
    </row>
    <row r="135" spans="1:22" x14ac:dyDescent="0.3">
      <c r="A135" s="1025"/>
      <c r="B135" s="237">
        <v>1</v>
      </c>
      <c r="C135" s="247">
        <v>1000</v>
      </c>
      <c r="D135" s="51"/>
      <c r="E135" s="247">
        <f t="shared" si="115"/>
        <v>83.3</v>
      </c>
      <c r="F135" s="247">
        <f t="shared" si="111"/>
        <v>32.833333333333336</v>
      </c>
      <c r="G135" s="247">
        <f t="shared" si="116"/>
        <v>83.333333333333329</v>
      </c>
      <c r="H135" s="247">
        <f t="shared" si="117"/>
        <v>111.5</v>
      </c>
      <c r="I135" s="247">
        <f t="shared" si="118"/>
        <v>1310.9666666666665</v>
      </c>
      <c r="K135" s="359">
        <f t="shared" si="25"/>
        <v>1310.9666666666665</v>
      </c>
      <c r="L135" s="351"/>
      <c r="M135" s="345">
        <f>+(K135/$B$2)*$M$2*6</f>
        <v>16.654245183146301</v>
      </c>
      <c r="N135" s="249">
        <f>+(K135/$B$2)*$N$2*6</f>
        <v>48.264002540757986</v>
      </c>
      <c r="O135" s="249">
        <f>+(K135/$B$2)*$O$2*6</f>
        <v>59.99531946474697</v>
      </c>
      <c r="P135" s="249">
        <f>+(K135/$B$2)*$P$2*6</f>
        <v>87.184287245635389</v>
      </c>
      <c r="Q135" s="249">
        <f>+(K135/$B$2)*$Q$2*6</f>
        <v>94.945735129726884</v>
      </c>
      <c r="R135" s="249">
        <f>+(K135/$B$2)*$R$2*6</f>
        <v>119.10476478449104</v>
      </c>
      <c r="S135" s="249">
        <f>+(K135/$B$2)*$S$2*6</f>
        <v>125.18719555003872</v>
      </c>
      <c r="T135" s="249">
        <f>+(K135/$B$2)*$T$2*6</f>
        <v>148.26683264314963</v>
      </c>
      <c r="U135" s="249" t="e">
        <f>+(K135/$B$2)*$U$2*6</f>
        <v>#REF!</v>
      </c>
      <c r="V135" s="251">
        <f>+(K135/$B$2)*$V$2*6</f>
        <v>0</v>
      </c>
    </row>
    <row r="136" spans="1:22" x14ac:dyDescent="0.3">
      <c r="A136" s="1025"/>
      <c r="B136" s="237"/>
      <c r="C136" s="247"/>
      <c r="D136" s="51"/>
      <c r="E136" s="247">
        <f t="shared" si="115"/>
        <v>0</v>
      </c>
      <c r="F136" s="247"/>
      <c r="G136" s="247">
        <f t="shared" si="116"/>
        <v>0</v>
      </c>
      <c r="H136" s="247">
        <f t="shared" si="117"/>
        <v>0</v>
      </c>
      <c r="I136" s="247">
        <f t="shared" si="118"/>
        <v>0</v>
      </c>
      <c r="J136" s="247"/>
      <c r="K136" s="359">
        <f t="shared" si="25"/>
        <v>0</v>
      </c>
      <c r="L136" s="351"/>
      <c r="M136" s="345">
        <f>+(K136/$B$2)*$M$2*6</f>
        <v>0</v>
      </c>
      <c r="N136" s="249">
        <f>+(K136/$B$2)*$N$2*6</f>
        <v>0</v>
      </c>
      <c r="O136" s="249">
        <f>+(K136/$B$2)*$O$2*6</f>
        <v>0</v>
      </c>
      <c r="P136" s="249">
        <f>+(K136/$B$2)*$P$2*6</f>
        <v>0</v>
      </c>
      <c r="Q136" s="249">
        <f>+(K136/$B$2)*$Q$2*6</f>
        <v>0</v>
      </c>
      <c r="R136" s="249">
        <f>+(K136/$B$2)*$R$2*6</f>
        <v>0</v>
      </c>
      <c r="S136" s="249">
        <f>+(K136/$B$2)*$S$2*6</f>
        <v>0</v>
      </c>
      <c r="T136" s="249">
        <f>+(K136/$B$2)*$T$2*6</f>
        <v>0</v>
      </c>
      <c r="U136" s="249" t="e">
        <f>+(K136/$B$2)*$U$2*6</f>
        <v>#REF!</v>
      </c>
      <c r="V136" s="251">
        <f>+(K136/$B$2)*$V$2*6</f>
        <v>0</v>
      </c>
    </row>
    <row r="137" spans="1:22" x14ac:dyDescent="0.3">
      <c r="A137" s="1025"/>
      <c r="B137" s="237"/>
      <c r="C137" s="247"/>
      <c r="D137" s="51"/>
      <c r="E137" s="247">
        <f t="shared" si="115"/>
        <v>0</v>
      </c>
      <c r="F137" s="247"/>
      <c r="G137" s="247">
        <f t="shared" si="116"/>
        <v>0</v>
      </c>
      <c r="H137" s="247">
        <f t="shared" si="117"/>
        <v>0</v>
      </c>
      <c r="I137" s="247">
        <f t="shared" si="118"/>
        <v>0</v>
      </c>
      <c r="J137" s="247"/>
      <c r="K137" s="359">
        <f t="shared" si="25"/>
        <v>0</v>
      </c>
      <c r="L137" s="351"/>
      <c r="M137" s="345">
        <f>+(K137/$B$2)*$M$2*6</f>
        <v>0</v>
      </c>
      <c r="N137" s="249">
        <f>+(K137/$B$2)*$N$2*6</f>
        <v>0</v>
      </c>
      <c r="O137" s="249">
        <f>+(K137/$B$2)*$O$2*6</f>
        <v>0</v>
      </c>
      <c r="P137" s="249">
        <f>+(K137/$B$2)*$P$2*6</f>
        <v>0</v>
      </c>
      <c r="Q137" s="249">
        <f>+(K137/$B$2)*$Q$2*6</f>
        <v>0</v>
      </c>
      <c r="R137" s="249">
        <f>+(K137/$B$2)*$R$2*6</f>
        <v>0</v>
      </c>
      <c r="S137" s="249">
        <f>+(K137/$B$2)*$S$2*6</f>
        <v>0</v>
      </c>
      <c r="T137" s="249">
        <f>+(K137/$B$2)*$T$2*6</f>
        <v>0</v>
      </c>
      <c r="U137" s="249" t="e">
        <f>+(K137/$B$2)*$U$2*6</f>
        <v>#REF!</v>
      </c>
      <c r="V137" s="251">
        <f>+(K137/$B$2)*$V$2*6</f>
        <v>0</v>
      </c>
    </row>
    <row r="138" spans="1:22" ht="10.8" thickBot="1" x14ac:dyDescent="0.35">
      <c r="A138" s="1031"/>
      <c r="B138" s="252"/>
      <c r="C138" s="253"/>
      <c r="D138" s="254"/>
      <c r="E138" s="253">
        <f t="shared" si="115"/>
        <v>0</v>
      </c>
      <c r="F138" s="253"/>
      <c r="G138" s="253">
        <f t="shared" si="116"/>
        <v>0</v>
      </c>
      <c r="H138" s="253">
        <f t="shared" si="117"/>
        <v>0</v>
      </c>
      <c r="I138" s="253">
        <f t="shared" si="118"/>
        <v>0</v>
      </c>
      <c r="J138" s="253"/>
      <c r="K138" s="361">
        <f t="shared" si="25"/>
        <v>0</v>
      </c>
      <c r="L138" s="351"/>
      <c r="M138" s="346">
        <f>+(K138/$B$2)*$M$2*6</f>
        <v>0</v>
      </c>
      <c r="N138" s="347">
        <f>+(K138/$B$2)*$N$2*6</f>
        <v>0</v>
      </c>
      <c r="O138" s="347">
        <f>+(K138/$B$2)*$O$2*6</f>
        <v>0</v>
      </c>
      <c r="P138" s="347">
        <f>+(K138/$B$2)*$P$2*6</f>
        <v>0</v>
      </c>
      <c r="Q138" s="347">
        <f>+(K138/$B$2)*$Q$2*6</f>
        <v>0</v>
      </c>
      <c r="R138" s="347">
        <f>+(K138/$B$2)*$R$2*6</f>
        <v>0</v>
      </c>
      <c r="S138" s="347">
        <f>+(K138/$B$2)*$S$2*6</f>
        <v>0</v>
      </c>
      <c r="T138" s="347">
        <f>+(K138/$B$2)*$T$2*6</f>
        <v>0</v>
      </c>
      <c r="U138" s="347" t="e">
        <f>+(K138/$B$2)*$U$2*6</f>
        <v>#REF!</v>
      </c>
      <c r="V138" s="348">
        <f>+(K138/$B$2)*$V$2*6</f>
        <v>0</v>
      </c>
    </row>
    <row r="139" spans="1:22" x14ac:dyDescent="0.3">
      <c r="A139" s="1024" t="s">
        <v>140</v>
      </c>
      <c r="B139" s="236">
        <v>1</v>
      </c>
      <c r="C139" s="245">
        <v>2180</v>
      </c>
      <c r="D139" s="255"/>
      <c r="E139" s="245">
        <f t="shared" si="115"/>
        <v>181.59399999999999</v>
      </c>
      <c r="F139" s="245">
        <f t="shared" ref="F139:F148" si="119">(394/12)</f>
        <v>32.833333333333336</v>
      </c>
      <c r="G139" s="245">
        <f t="shared" si="116"/>
        <v>181.66666666666666</v>
      </c>
      <c r="H139" s="245">
        <f t="shared" si="117"/>
        <v>243.07</v>
      </c>
      <c r="I139" s="245">
        <f t="shared" si="118"/>
        <v>2819.1640000000002</v>
      </c>
      <c r="J139" s="245"/>
      <c r="K139" s="362">
        <f>SUM(I139:J139)</f>
        <v>2819.1640000000002</v>
      </c>
      <c r="L139" s="351"/>
      <c r="M139" s="366">
        <f>+(K139/$B$2)*$M$2*6</f>
        <v>35.814067330086814</v>
      </c>
      <c r="N139" s="245">
        <f>+(K139/$B$2)*$N$2*6</f>
        <v>103.78916712259158</v>
      </c>
      <c r="O139" s="245">
        <f>+(K139/$B$2)*$O$2*6</f>
        <v>129.01673940617405</v>
      </c>
      <c r="P139" s="245">
        <f>+(K139/$B$2)*$P$2*6</f>
        <v>187.48516664691795</v>
      </c>
      <c r="Q139" s="245">
        <f>+(K139/$B$2)*$Q$2*6</f>
        <v>204.17574697901915</v>
      </c>
      <c r="R139" s="245">
        <f>+(K139/$B$2)*$R$2*6</f>
        <v>256.12845364151519</v>
      </c>
      <c r="S139" s="245">
        <f>+(K139/$B$2)*$S$2*6</f>
        <v>269.20839707770057</v>
      </c>
      <c r="T139" s="245">
        <f>+(K139/$B$2)*$T$2*6</f>
        <v>318.83992752034817</v>
      </c>
      <c r="U139" s="245" t="e">
        <f>+(K139/$B$2)*$U$2*6</f>
        <v>#REF!</v>
      </c>
      <c r="V139" s="246">
        <f>+(K139/$B$2)*$V$2*6</f>
        <v>0</v>
      </c>
    </row>
    <row r="140" spans="1:22" x14ac:dyDescent="0.3">
      <c r="A140" s="1025"/>
      <c r="B140" s="237">
        <v>1</v>
      </c>
      <c r="C140" s="247">
        <v>820</v>
      </c>
      <c r="D140" s="51"/>
      <c r="E140" s="247">
        <f t="shared" ref="E140:E145" si="120">+C140*0.0833</f>
        <v>68.305999999999997</v>
      </c>
      <c r="F140" s="247">
        <f t="shared" si="119"/>
        <v>32.833333333333336</v>
      </c>
      <c r="G140" s="247">
        <f t="shared" ref="G140:G145" si="121">+C140/12</f>
        <v>68.333333333333329</v>
      </c>
      <c r="H140" s="247">
        <f t="shared" ref="H140:H145" si="122">+C140*0.1115</f>
        <v>91.43</v>
      </c>
      <c r="I140" s="247">
        <f t="shared" ref="I140:I145" si="123">SUM(C140:H140)</f>
        <v>1080.9026666666668</v>
      </c>
      <c r="J140" s="247"/>
      <c r="K140" s="359">
        <f t="shared" ref="K140:K145" si="124">SUM(I140:J140)</f>
        <v>1080.9026666666668</v>
      </c>
      <c r="L140" s="351"/>
      <c r="M140" s="345">
        <f t="shared" ref="M140:M156" si="125">+(K140/$B$2)*$M$2*6</f>
        <v>13.731560448867246</v>
      </c>
      <c r="N140" s="249">
        <f t="shared" ref="N140:N156" si="126">+(K140/$B$2)*$N$2*6</f>
        <v>39.794062180817278</v>
      </c>
      <c r="O140" s="249">
        <f t="shared" ref="O140:O156" si="127">+(K140/$B$2)*$O$2*6</f>
        <v>49.466628287241164</v>
      </c>
      <c r="P140" s="249">
        <f t="shared" ref="P140:P156" si="128">+(K140/$B$2)*$P$2*6</f>
        <v>71.884153099677064</v>
      </c>
      <c r="Q140" s="249">
        <f t="shared" ref="Q140:Q156" si="129">+(K140/$B$2)*$Q$2*6</f>
        <v>78.283529932377263</v>
      </c>
      <c r="R140" s="249">
        <f t="shared" ref="R140:R156" si="130">+(K140/$B$2)*$R$2*6</f>
        <v>98.202846145284013</v>
      </c>
      <c r="S140" s="249">
        <f t="shared" ref="S140:S156" si="131">+(K140/$B$2)*$S$2*6</f>
        <v>103.21785972378527</v>
      </c>
      <c r="T140" s="249">
        <f t="shared" ref="T140:T156" si="132">+(K140/$B$2)*$T$2*6</f>
        <v>122.24720800086516</v>
      </c>
      <c r="U140" s="249" t="e">
        <f t="shared" ref="U140:U156" si="133">+(K140/$B$2)*$U$2*6</f>
        <v>#REF!</v>
      </c>
      <c r="V140" s="251">
        <f t="shared" ref="V140:V156" si="134">+(K140/$B$2)*$V$2*6</f>
        <v>0</v>
      </c>
    </row>
    <row r="141" spans="1:22" x14ac:dyDescent="0.3">
      <c r="A141" s="1025"/>
      <c r="B141" s="237">
        <v>1</v>
      </c>
      <c r="C141" s="247">
        <v>2180</v>
      </c>
      <c r="D141" s="51"/>
      <c r="E141" s="247">
        <f t="shared" si="120"/>
        <v>181.59399999999999</v>
      </c>
      <c r="F141" s="247">
        <f t="shared" si="119"/>
        <v>32.833333333333336</v>
      </c>
      <c r="G141" s="247">
        <f t="shared" si="121"/>
        <v>181.66666666666666</v>
      </c>
      <c r="H141" s="247">
        <f t="shared" si="122"/>
        <v>243.07</v>
      </c>
      <c r="I141" s="247">
        <f t="shared" si="123"/>
        <v>2819.1640000000002</v>
      </c>
      <c r="J141" s="247"/>
      <c r="K141" s="359">
        <f t="shared" si="124"/>
        <v>2819.1640000000002</v>
      </c>
      <c r="L141" s="351"/>
      <c r="M141" s="345">
        <f t="shared" si="125"/>
        <v>35.814067330086814</v>
      </c>
      <c r="N141" s="249">
        <f t="shared" si="126"/>
        <v>103.78916712259158</v>
      </c>
      <c r="O141" s="249">
        <f t="shared" si="127"/>
        <v>129.01673940617405</v>
      </c>
      <c r="P141" s="249">
        <f t="shared" si="128"/>
        <v>187.48516664691795</v>
      </c>
      <c r="Q141" s="249">
        <f t="shared" si="129"/>
        <v>204.17574697901915</v>
      </c>
      <c r="R141" s="249">
        <f t="shared" si="130"/>
        <v>256.12845364151519</v>
      </c>
      <c r="S141" s="249">
        <f t="shared" si="131"/>
        <v>269.20839707770057</v>
      </c>
      <c r="T141" s="249">
        <f t="shared" si="132"/>
        <v>318.83992752034817</v>
      </c>
      <c r="U141" s="249" t="e">
        <f t="shared" si="133"/>
        <v>#REF!</v>
      </c>
      <c r="V141" s="251">
        <f t="shared" si="134"/>
        <v>0</v>
      </c>
    </row>
    <row r="142" spans="1:22" x14ac:dyDescent="0.3">
      <c r="A142" s="1025"/>
      <c r="B142" s="237"/>
      <c r="C142" s="247"/>
      <c r="D142" s="51"/>
      <c r="E142" s="247">
        <f t="shared" si="120"/>
        <v>0</v>
      </c>
      <c r="F142" s="247"/>
      <c r="G142" s="247">
        <f t="shared" si="121"/>
        <v>0</v>
      </c>
      <c r="H142" s="247">
        <f t="shared" si="122"/>
        <v>0</v>
      </c>
      <c r="I142" s="247">
        <f t="shared" si="123"/>
        <v>0</v>
      </c>
      <c r="J142" s="247"/>
      <c r="K142" s="359">
        <f t="shared" si="124"/>
        <v>0</v>
      </c>
      <c r="L142" s="351"/>
      <c r="M142" s="345">
        <f t="shared" si="125"/>
        <v>0</v>
      </c>
      <c r="N142" s="249">
        <f t="shared" si="126"/>
        <v>0</v>
      </c>
      <c r="O142" s="249">
        <f t="shared" si="127"/>
        <v>0</v>
      </c>
      <c r="P142" s="249">
        <f t="shared" si="128"/>
        <v>0</v>
      </c>
      <c r="Q142" s="249">
        <f t="shared" si="129"/>
        <v>0</v>
      </c>
      <c r="R142" s="249">
        <f t="shared" si="130"/>
        <v>0</v>
      </c>
      <c r="S142" s="249">
        <f t="shared" si="131"/>
        <v>0</v>
      </c>
      <c r="T142" s="249">
        <f t="shared" si="132"/>
        <v>0</v>
      </c>
      <c r="U142" s="249" t="e">
        <f t="shared" si="133"/>
        <v>#REF!</v>
      </c>
      <c r="V142" s="251">
        <f t="shared" si="134"/>
        <v>0</v>
      </c>
    </row>
    <row r="143" spans="1:22" x14ac:dyDescent="0.3">
      <c r="A143" s="1025"/>
      <c r="B143" s="237"/>
      <c r="C143" s="247"/>
      <c r="D143" s="51"/>
      <c r="E143" s="247">
        <f t="shared" si="120"/>
        <v>0</v>
      </c>
      <c r="F143" s="247"/>
      <c r="G143" s="247">
        <f t="shared" si="121"/>
        <v>0</v>
      </c>
      <c r="H143" s="247">
        <f t="shared" si="122"/>
        <v>0</v>
      </c>
      <c r="I143" s="247">
        <f t="shared" si="123"/>
        <v>0</v>
      </c>
      <c r="J143" s="247"/>
      <c r="K143" s="359">
        <f t="shared" si="124"/>
        <v>0</v>
      </c>
      <c r="L143" s="351"/>
      <c r="M143" s="345">
        <f t="shared" si="125"/>
        <v>0</v>
      </c>
      <c r="N143" s="249">
        <f t="shared" si="126"/>
        <v>0</v>
      </c>
      <c r="O143" s="249">
        <f t="shared" si="127"/>
        <v>0</v>
      </c>
      <c r="P143" s="249">
        <f t="shared" si="128"/>
        <v>0</v>
      </c>
      <c r="Q143" s="249">
        <f t="shared" si="129"/>
        <v>0</v>
      </c>
      <c r="R143" s="249">
        <f t="shared" si="130"/>
        <v>0</v>
      </c>
      <c r="S143" s="249">
        <f t="shared" si="131"/>
        <v>0</v>
      </c>
      <c r="T143" s="249">
        <f t="shared" si="132"/>
        <v>0</v>
      </c>
      <c r="U143" s="249" t="e">
        <f t="shared" si="133"/>
        <v>#REF!</v>
      </c>
      <c r="V143" s="251">
        <f t="shared" si="134"/>
        <v>0</v>
      </c>
    </row>
    <row r="144" spans="1:22" x14ac:dyDescent="0.3">
      <c r="A144" s="1025"/>
      <c r="B144" s="237"/>
      <c r="C144" s="247"/>
      <c r="D144" s="51"/>
      <c r="E144" s="247">
        <f t="shared" si="120"/>
        <v>0</v>
      </c>
      <c r="F144" s="247"/>
      <c r="G144" s="247">
        <f t="shared" si="121"/>
        <v>0</v>
      </c>
      <c r="H144" s="247">
        <f t="shared" si="122"/>
        <v>0</v>
      </c>
      <c r="I144" s="247">
        <f t="shared" si="123"/>
        <v>0</v>
      </c>
      <c r="J144" s="51"/>
      <c r="K144" s="359">
        <f t="shared" si="124"/>
        <v>0</v>
      </c>
      <c r="L144" s="351"/>
      <c r="M144" s="345">
        <f t="shared" si="125"/>
        <v>0</v>
      </c>
      <c r="N144" s="249">
        <f t="shared" si="126"/>
        <v>0</v>
      </c>
      <c r="O144" s="249">
        <f t="shared" si="127"/>
        <v>0</v>
      </c>
      <c r="P144" s="249">
        <f t="shared" si="128"/>
        <v>0</v>
      </c>
      <c r="Q144" s="249">
        <f t="shared" si="129"/>
        <v>0</v>
      </c>
      <c r="R144" s="249">
        <f t="shared" si="130"/>
        <v>0</v>
      </c>
      <c r="S144" s="249">
        <f t="shared" si="131"/>
        <v>0</v>
      </c>
      <c r="T144" s="249">
        <f t="shared" si="132"/>
        <v>0</v>
      </c>
      <c r="U144" s="249" t="e">
        <f t="shared" si="133"/>
        <v>#REF!</v>
      </c>
      <c r="V144" s="251">
        <f t="shared" si="134"/>
        <v>0</v>
      </c>
    </row>
    <row r="145" spans="1:22" ht="10.8" thickBot="1" x14ac:dyDescent="0.35">
      <c r="A145" s="1031"/>
      <c r="B145" s="252"/>
      <c r="C145" s="253"/>
      <c r="D145" s="254"/>
      <c r="E145" s="253">
        <f t="shared" si="120"/>
        <v>0</v>
      </c>
      <c r="F145" s="253"/>
      <c r="G145" s="253">
        <f t="shared" si="121"/>
        <v>0</v>
      </c>
      <c r="H145" s="253">
        <f t="shared" si="122"/>
        <v>0</v>
      </c>
      <c r="I145" s="253">
        <f t="shared" si="123"/>
        <v>0</v>
      </c>
      <c r="J145" s="253"/>
      <c r="K145" s="361">
        <f t="shared" si="124"/>
        <v>0</v>
      </c>
      <c r="L145" s="351"/>
      <c r="M145" s="346">
        <f t="shared" si="125"/>
        <v>0</v>
      </c>
      <c r="N145" s="347">
        <f t="shared" si="126"/>
        <v>0</v>
      </c>
      <c r="O145" s="347">
        <f t="shared" si="127"/>
        <v>0</v>
      </c>
      <c r="P145" s="347">
        <f t="shared" si="128"/>
        <v>0</v>
      </c>
      <c r="Q145" s="347">
        <f t="shared" si="129"/>
        <v>0</v>
      </c>
      <c r="R145" s="347">
        <f t="shared" si="130"/>
        <v>0</v>
      </c>
      <c r="S145" s="347">
        <f t="shared" si="131"/>
        <v>0</v>
      </c>
      <c r="T145" s="347">
        <f t="shared" si="132"/>
        <v>0</v>
      </c>
      <c r="U145" s="347" t="e">
        <f t="shared" si="133"/>
        <v>#REF!</v>
      </c>
      <c r="V145" s="348">
        <f t="shared" si="134"/>
        <v>0</v>
      </c>
    </row>
    <row r="146" spans="1:22" x14ac:dyDescent="0.3">
      <c r="A146" s="1024" t="s">
        <v>247</v>
      </c>
      <c r="B146" s="236">
        <v>1</v>
      </c>
      <c r="C146" s="245">
        <v>3600</v>
      </c>
      <c r="D146" s="255"/>
      <c r="E146" s="245">
        <f t="shared" ref="E146:E159" si="135">+C146*0.0833</f>
        <v>299.88</v>
      </c>
      <c r="F146" s="245">
        <f t="shared" si="119"/>
        <v>32.833333333333336</v>
      </c>
      <c r="G146" s="245">
        <f t="shared" ref="G146:G159" si="136">+C146/12</f>
        <v>300</v>
      </c>
      <c r="H146" s="245">
        <f t="shared" ref="H146:H159" si="137">+C146*0.1115</f>
        <v>401.40000000000003</v>
      </c>
      <c r="I146" s="245">
        <f t="shared" ref="I146:I159" si="138">SUM(C146:H146)</f>
        <v>4634.1133333333328</v>
      </c>
      <c r="J146" s="245"/>
      <c r="K146" s="362">
        <f>SUM(I146:J146)</f>
        <v>4634.1133333333328</v>
      </c>
      <c r="L146" s="351"/>
      <c r="M146" s="366">
        <f t="shared" si="125"/>
        <v>58.870802456066059</v>
      </c>
      <c r="N146" s="245">
        <f t="shared" si="126"/>
        <v>170.60758551767941</v>
      </c>
      <c r="O146" s="245">
        <f t="shared" si="127"/>
        <v>212.07641425094218</v>
      </c>
      <c r="P146" s="245">
        <f t="shared" si="128"/>
        <v>308.18622490947826</v>
      </c>
      <c r="Q146" s="245">
        <f t="shared" si="129"/>
        <v>335.6220324247775</v>
      </c>
      <c r="R146" s="245">
        <f t="shared" si="130"/>
        <v>421.02136735081524</v>
      </c>
      <c r="S146" s="245">
        <f t="shared" si="131"/>
        <v>442.52204637370016</v>
      </c>
      <c r="T146" s="245">
        <f t="shared" si="132"/>
        <v>524.10585525392594</v>
      </c>
      <c r="U146" s="245" t="e">
        <f t="shared" si="133"/>
        <v>#REF!</v>
      </c>
      <c r="V146" s="246">
        <f t="shared" si="134"/>
        <v>0</v>
      </c>
    </row>
    <row r="147" spans="1:22" x14ac:dyDescent="0.3">
      <c r="A147" s="1025"/>
      <c r="B147" s="237">
        <v>1</v>
      </c>
      <c r="C147" s="247">
        <v>820</v>
      </c>
      <c r="D147" s="51"/>
      <c r="E147" s="247">
        <f t="shared" si="135"/>
        <v>68.305999999999997</v>
      </c>
      <c r="F147" s="247">
        <f t="shared" si="119"/>
        <v>32.833333333333336</v>
      </c>
      <c r="G147" s="247">
        <f t="shared" si="136"/>
        <v>68.333333333333329</v>
      </c>
      <c r="H147" s="247">
        <f t="shared" si="137"/>
        <v>91.43</v>
      </c>
      <c r="I147" s="247">
        <f t="shared" si="138"/>
        <v>1080.9026666666668</v>
      </c>
      <c r="J147" s="51"/>
      <c r="K147" s="359">
        <f t="shared" ref="K147:K196" si="139">SUM(I147:J147)</f>
        <v>1080.9026666666668</v>
      </c>
      <c r="L147" s="351"/>
      <c r="M147" s="345">
        <f t="shared" si="125"/>
        <v>13.731560448867246</v>
      </c>
      <c r="N147" s="249">
        <f t="shared" si="126"/>
        <v>39.794062180817278</v>
      </c>
      <c r="O147" s="249">
        <f t="shared" si="127"/>
        <v>49.466628287241164</v>
      </c>
      <c r="P147" s="249">
        <f t="shared" si="128"/>
        <v>71.884153099677064</v>
      </c>
      <c r="Q147" s="249">
        <f t="shared" si="129"/>
        <v>78.283529932377263</v>
      </c>
      <c r="R147" s="249">
        <f t="shared" si="130"/>
        <v>98.202846145284013</v>
      </c>
      <c r="S147" s="249">
        <f t="shared" si="131"/>
        <v>103.21785972378527</v>
      </c>
      <c r="T147" s="249">
        <f t="shared" si="132"/>
        <v>122.24720800086516</v>
      </c>
      <c r="U147" s="249" t="e">
        <f t="shared" si="133"/>
        <v>#REF!</v>
      </c>
      <c r="V147" s="251">
        <f t="shared" si="134"/>
        <v>0</v>
      </c>
    </row>
    <row r="148" spans="1:22" x14ac:dyDescent="0.3">
      <c r="A148" s="1025"/>
      <c r="B148" s="237">
        <v>1</v>
      </c>
      <c r="C148" s="247">
        <v>700</v>
      </c>
      <c r="D148" s="51"/>
      <c r="E148" s="247">
        <f t="shared" si="135"/>
        <v>58.31</v>
      </c>
      <c r="F148" s="247">
        <f t="shared" si="119"/>
        <v>32.833333333333336</v>
      </c>
      <c r="G148" s="247">
        <f t="shared" si="136"/>
        <v>58.333333333333336</v>
      </c>
      <c r="H148" s="247">
        <f t="shared" si="137"/>
        <v>78.05</v>
      </c>
      <c r="I148" s="247">
        <f t="shared" si="138"/>
        <v>927.52666666666664</v>
      </c>
      <c r="J148" s="247"/>
      <c r="K148" s="359">
        <f t="shared" si="139"/>
        <v>927.52666666666664</v>
      </c>
      <c r="L148" s="351"/>
      <c r="M148" s="345">
        <f t="shared" si="125"/>
        <v>11.783103959347873</v>
      </c>
      <c r="N148" s="249">
        <f t="shared" si="126"/>
        <v>34.14743527419013</v>
      </c>
      <c r="O148" s="249">
        <f t="shared" si="127"/>
        <v>42.447500835570615</v>
      </c>
      <c r="P148" s="249">
        <f t="shared" si="128"/>
        <v>61.68406366903816</v>
      </c>
      <c r="Q148" s="249">
        <f t="shared" si="129"/>
        <v>67.175393134144144</v>
      </c>
      <c r="R148" s="249">
        <f t="shared" si="130"/>
        <v>84.268233719145968</v>
      </c>
      <c r="S148" s="249">
        <f t="shared" si="131"/>
        <v>88.571635839616278</v>
      </c>
      <c r="T148" s="249">
        <f t="shared" si="132"/>
        <v>104.90079157267549</v>
      </c>
      <c r="U148" s="249" t="e">
        <f t="shared" si="133"/>
        <v>#REF!</v>
      </c>
      <c r="V148" s="251">
        <f t="shared" si="134"/>
        <v>0</v>
      </c>
    </row>
    <row r="149" spans="1:22" x14ac:dyDescent="0.3">
      <c r="A149" s="1025"/>
      <c r="B149" s="237"/>
      <c r="C149" s="247"/>
      <c r="D149" s="51"/>
      <c r="E149" s="247">
        <f t="shared" si="135"/>
        <v>0</v>
      </c>
      <c r="F149" s="247"/>
      <c r="G149" s="247">
        <f t="shared" si="136"/>
        <v>0</v>
      </c>
      <c r="H149" s="247">
        <f t="shared" si="137"/>
        <v>0</v>
      </c>
      <c r="I149" s="247">
        <f t="shared" si="138"/>
        <v>0</v>
      </c>
      <c r="J149" s="247"/>
      <c r="K149" s="359">
        <f t="shared" si="139"/>
        <v>0</v>
      </c>
      <c r="L149" s="351"/>
      <c r="M149" s="345">
        <f t="shared" si="125"/>
        <v>0</v>
      </c>
      <c r="N149" s="249">
        <f t="shared" si="126"/>
        <v>0</v>
      </c>
      <c r="O149" s="249">
        <f t="shared" si="127"/>
        <v>0</v>
      </c>
      <c r="P149" s="249">
        <f t="shared" si="128"/>
        <v>0</v>
      </c>
      <c r="Q149" s="249">
        <f t="shared" si="129"/>
        <v>0</v>
      </c>
      <c r="R149" s="249">
        <f t="shared" si="130"/>
        <v>0</v>
      </c>
      <c r="S149" s="249">
        <f t="shared" si="131"/>
        <v>0</v>
      </c>
      <c r="T149" s="249">
        <f t="shared" si="132"/>
        <v>0</v>
      </c>
      <c r="U149" s="249" t="e">
        <f t="shared" si="133"/>
        <v>#REF!</v>
      </c>
      <c r="V149" s="251">
        <f t="shared" si="134"/>
        <v>0</v>
      </c>
    </row>
    <row r="150" spans="1:22" x14ac:dyDescent="0.3">
      <c r="A150" s="1025"/>
      <c r="B150" s="237"/>
      <c r="C150" s="247"/>
      <c r="D150" s="51"/>
      <c r="E150" s="247">
        <f t="shared" si="135"/>
        <v>0</v>
      </c>
      <c r="F150" s="247"/>
      <c r="G150" s="247">
        <f t="shared" si="136"/>
        <v>0</v>
      </c>
      <c r="H150" s="247">
        <f t="shared" si="137"/>
        <v>0</v>
      </c>
      <c r="I150" s="247">
        <f t="shared" si="138"/>
        <v>0</v>
      </c>
      <c r="J150" s="247"/>
      <c r="K150" s="359">
        <f t="shared" si="139"/>
        <v>0</v>
      </c>
      <c r="L150" s="351"/>
      <c r="M150" s="345">
        <f t="shared" si="125"/>
        <v>0</v>
      </c>
      <c r="N150" s="249">
        <f t="shared" si="126"/>
        <v>0</v>
      </c>
      <c r="O150" s="249">
        <f t="shared" si="127"/>
        <v>0</v>
      </c>
      <c r="P150" s="249">
        <f t="shared" si="128"/>
        <v>0</v>
      </c>
      <c r="Q150" s="249">
        <f t="shared" si="129"/>
        <v>0</v>
      </c>
      <c r="R150" s="249">
        <f t="shared" si="130"/>
        <v>0</v>
      </c>
      <c r="S150" s="249">
        <f t="shared" si="131"/>
        <v>0</v>
      </c>
      <c r="T150" s="249">
        <f t="shared" si="132"/>
        <v>0</v>
      </c>
      <c r="U150" s="249" t="e">
        <f t="shared" si="133"/>
        <v>#REF!</v>
      </c>
      <c r="V150" s="251">
        <f t="shared" si="134"/>
        <v>0</v>
      </c>
    </row>
    <row r="151" spans="1:22" x14ac:dyDescent="0.3">
      <c r="A151" s="1025"/>
      <c r="B151" s="237"/>
      <c r="C151" s="247"/>
      <c r="D151" s="51"/>
      <c r="E151" s="247">
        <f t="shared" si="135"/>
        <v>0</v>
      </c>
      <c r="F151" s="247"/>
      <c r="G151" s="247">
        <f t="shared" si="136"/>
        <v>0</v>
      </c>
      <c r="H151" s="247">
        <f t="shared" si="137"/>
        <v>0</v>
      </c>
      <c r="I151" s="247">
        <f t="shared" si="138"/>
        <v>0</v>
      </c>
      <c r="J151" s="247"/>
      <c r="K151" s="359">
        <f t="shared" si="139"/>
        <v>0</v>
      </c>
      <c r="L151" s="351"/>
      <c r="M151" s="345">
        <f t="shared" si="125"/>
        <v>0</v>
      </c>
      <c r="N151" s="249">
        <f t="shared" si="126"/>
        <v>0</v>
      </c>
      <c r="O151" s="249">
        <f t="shared" si="127"/>
        <v>0</v>
      </c>
      <c r="P151" s="249">
        <f t="shared" si="128"/>
        <v>0</v>
      </c>
      <c r="Q151" s="249">
        <f t="shared" si="129"/>
        <v>0</v>
      </c>
      <c r="R151" s="249">
        <f t="shared" si="130"/>
        <v>0</v>
      </c>
      <c r="S151" s="249">
        <f t="shared" si="131"/>
        <v>0</v>
      </c>
      <c r="T151" s="249">
        <f t="shared" si="132"/>
        <v>0</v>
      </c>
      <c r="U151" s="249" t="e">
        <f t="shared" si="133"/>
        <v>#REF!</v>
      </c>
      <c r="V151" s="251">
        <f t="shared" si="134"/>
        <v>0</v>
      </c>
    </row>
    <row r="152" spans="1:22" x14ac:dyDescent="0.3">
      <c r="A152" s="1025"/>
      <c r="B152" s="237"/>
      <c r="C152" s="247"/>
      <c r="D152" s="51"/>
      <c r="E152" s="247">
        <f t="shared" si="135"/>
        <v>0</v>
      </c>
      <c r="F152" s="247"/>
      <c r="G152" s="247">
        <f t="shared" si="136"/>
        <v>0</v>
      </c>
      <c r="H152" s="247">
        <f t="shared" si="137"/>
        <v>0</v>
      </c>
      <c r="I152" s="247">
        <f t="shared" si="138"/>
        <v>0</v>
      </c>
      <c r="J152" s="247"/>
      <c r="K152" s="359">
        <f t="shared" si="139"/>
        <v>0</v>
      </c>
      <c r="L152" s="351"/>
      <c r="M152" s="345">
        <f t="shared" si="125"/>
        <v>0</v>
      </c>
      <c r="N152" s="249">
        <f t="shared" si="126"/>
        <v>0</v>
      </c>
      <c r="O152" s="249">
        <f t="shared" si="127"/>
        <v>0</v>
      </c>
      <c r="P152" s="249">
        <f t="shared" si="128"/>
        <v>0</v>
      </c>
      <c r="Q152" s="249">
        <f t="shared" si="129"/>
        <v>0</v>
      </c>
      <c r="R152" s="249">
        <f t="shared" si="130"/>
        <v>0</v>
      </c>
      <c r="S152" s="249">
        <f t="shared" si="131"/>
        <v>0</v>
      </c>
      <c r="T152" s="249">
        <f t="shared" si="132"/>
        <v>0</v>
      </c>
      <c r="U152" s="249" t="e">
        <f t="shared" si="133"/>
        <v>#REF!</v>
      </c>
      <c r="V152" s="251">
        <f t="shared" si="134"/>
        <v>0</v>
      </c>
    </row>
    <row r="153" spans="1:22" x14ac:dyDescent="0.3">
      <c r="A153" s="1025"/>
      <c r="B153" s="237"/>
      <c r="C153" s="247"/>
      <c r="D153" s="51"/>
      <c r="E153" s="247">
        <f t="shared" si="135"/>
        <v>0</v>
      </c>
      <c r="F153" s="247"/>
      <c r="G153" s="247">
        <f t="shared" si="136"/>
        <v>0</v>
      </c>
      <c r="H153" s="247">
        <f t="shared" si="137"/>
        <v>0</v>
      </c>
      <c r="I153" s="247">
        <f t="shared" si="138"/>
        <v>0</v>
      </c>
      <c r="J153" s="247"/>
      <c r="K153" s="359">
        <f t="shared" si="139"/>
        <v>0</v>
      </c>
      <c r="L153" s="351"/>
      <c r="M153" s="345">
        <f t="shared" si="125"/>
        <v>0</v>
      </c>
      <c r="N153" s="249">
        <f t="shared" si="126"/>
        <v>0</v>
      </c>
      <c r="O153" s="249">
        <f t="shared" si="127"/>
        <v>0</v>
      </c>
      <c r="P153" s="249">
        <f t="shared" si="128"/>
        <v>0</v>
      </c>
      <c r="Q153" s="249">
        <f t="shared" si="129"/>
        <v>0</v>
      </c>
      <c r="R153" s="249">
        <f t="shared" si="130"/>
        <v>0</v>
      </c>
      <c r="S153" s="249">
        <f t="shared" si="131"/>
        <v>0</v>
      </c>
      <c r="T153" s="249">
        <f t="shared" si="132"/>
        <v>0</v>
      </c>
      <c r="U153" s="249" t="e">
        <f t="shared" si="133"/>
        <v>#REF!</v>
      </c>
      <c r="V153" s="251">
        <f t="shared" si="134"/>
        <v>0</v>
      </c>
    </row>
    <row r="154" spans="1:22" x14ac:dyDescent="0.3">
      <c r="A154" s="1025"/>
      <c r="B154" s="237"/>
      <c r="C154" s="247"/>
      <c r="D154" s="51"/>
      <c r="E154" s="247">
        <f t="shared" si="135"/>
        <v>0</v>
      </c>
      <c r="F154" s="247"/>
      <c r="G154" s="247">
        <f t="shared" si="136"/>
        <v>0</v>
      </c>
      <c r="H154" s="247">
        <f t="shared" si="137"/>
        <v>0</v>
      </c>
      <c r="I154" s="247">
        <f t="shared" si="138"/>
        <v>0</v>
      </c>
      <c r="J154" s="247"/>
      <c r="K154" s="359">
        <f t="shared" si="139"/>
        <v>0</v>
      </c>
      <c r="L154" s="351"/>
      <c r="M154" s="345">
        <f t="shared" si="125"/>
        <v>0</v>
      </c>
      <c r="N154" s="249">
        <f t="shared" si="126"/>
        <v>0</v>
      </c>
      <c r="O154" s="249">
        <f t="shared" si="127"/>
        <v>0</v>
      </c>
      <c r="P154" s="249">
        <f t="shared" si="128"/>
        <v>0</v>
      </c>
      <c r="Q154" s="249">
        <f t="shared" si="129"/>
        <v>0</v>
      </c>
      <c r="R154" s="249">
        <f t="shared" si="130"/>
        <v>0</v>
      </c>
      <c r="S154" s="249">
        <f t="shared" si="131"/>
        <v>0</v>
      </c>
      <c r="T154" s="249">
        <f t="shared" si="132"/>
        <v>0</v>
      </c>
      <c r="U154" s="249" t="e">
        <f t="shared" si="133"/>
        <v>#REF!</v>
      </c>
      <c r="V154" s="251">
        <f t="shared" si="134"/>
        <v>0</v>
      </c>
    </row>
    <row r="155" spans="1:22" x14ac:dyDescent="0.3">
      <c r="A155" s="1025"/>
      <c r="B155" s="237"/>
      <c r="C155" s="247"/>
      <c r="D155" s="51"/>
      <c r="E155" s="247">
        <f t="shared" si="135"/>
        <v>0</v>
      </c>
      <c r="F155" s="247"/>
      <c r="G155" s="247">
        <f t="shared" si="136"/>
        <v>0</v>
      </c>
      <c r="H155" s="247">
        <f t="shared" si="137"/>
        <v>0</v>
      </c>
      <c r="I155" s="247">
        <f t="shared" si="138"/>
        <v>0</v>
      </c>
      <c r="J155" s="247"/>
      <c r="K155" s="359">
        <f t="shared" si="139"/>
        <v>0</v>
      </c>
      <c r="L155" s="351"/>
      <c r="M155" s="345">
        <f t="shared" si="125"/>
        <v>0</v>
      </c>
      <c r="N155" s="249">
        <f t="shared" si="126"/>
        <v>0</v>
      </c>
      <c r="O155" s="249">
        <f t="shared" si="127"/>
        <v>0</v>
      </c>
      <c r="P155" s="249">
        <f t="shared" si="128"/>
        <v>0</v>
      </c>
      <c r="Q155" s="249">
        <f t="shared" si="129"/>
        <v>0</v>
      </c>
      <c r="R155" s="249">
        <f t="shared" si="130"/>
        <v>0</v>
      </c>
      <c r="S155" s="249">
        <f t="shared" si="131"/>
        <v>0</v>
      </c>
      <c r="T155" s="249">
        <f t="shared" si="132"/>
        <v>0</v>
      </c>
      <c r="U155" s="249" t="e">
        <f t="shared" si="133"/>
        <v>#REF!</v>
      </c>
      <c r="V155" s="251">
        <f t="shared" si="134"/>
        <v>0</v>
      </c>
    </row>
    <row r="156" spans="1:22" x14ac:dyDescent="0.3">
      <c r="A156" s="1025"/>
      <c r="B156" s="237"/>
      <c r="C156" s="247"/>
      <c r="D156" s="51"/>
      <c r="E156" s="247">
        <f t="shared" si="135"/>
        <v>0</v>
      </c>
      <c r="F156" s="247"/>
      <c r="G156" s="247">
        <f t="shared" si="136"/>
        <v>0</v>
      </c>
      <c r="H156" s="247">
        <f t="shared" si="137"/>
        <v>0</v>
      </c>
      <c r="I156" s="247">
        <f t="shared" si="138"/>
        <v>0</v>
      </c>
      <c r="J156" s="247"/>
      <c r="K156" s="359">
        <f t="shared" si="139"/>
        <v>0</v>
      </c>
      <c r="L156" s="351"/>
      <c r="M156" s="345">
        <f t="shared" si="125"/>
        <v>0</v>
      </c>
      <c r="N156" s="249">
        <f t="shared" si="126"/>
        <v>0</v>
      </c>
      <c r="O156" s="249">
        <f t="shared" si="127"/>
        <v>0</v>
      </c>
      <c r="P156" s="249">
        <f t="shared" si="128"/>
        <v>0</v>
      </c>
      <c r="Q156" s="249">
        <f t="shared" si="129"/>
        <v>0</v>
      </c>
      <c r="R156" s="249">
        <f t="shared" si="130"/>
        <v>0</v>
      </c>
      <c r="S156" s="249">
        <f t="shared" si="131"/>
        <v>0</v>
      </c>
      <c r="T156" s="249">
        <f t="shared" si="132"/>
        <v>0</v>
      </c>
      <c r="U156" s="249" t="e">
        <f t="shared" si="133"/>
        <v>#REF!</v>
      </c>
      <c r="V156" s="251">
        <f t="shared" si="134"/>
        <v>0</v>
      </c>
    </row>
    <row r="157" spans="1:22" x14ac:dyDescent="0.3">
      <c r="A157" s="1025"/>
      <c r="B157" s="237"/>
      <c r="C157" s="247"/>
      <c r="D157" s="51"/>
      <c r="E157" s="247">
        <f t="shared" si="135"/>
        <v>0</v>
      </c>
      <c r="F157" s="247"/>
      <c r="G157" s="247">
        <f t="shared" si="136"/>
        <v>0</v>
      </c>
      <c r="H157" s="247">
        <f t="shared" si="137"/>
        <v>0</v>
      </c>
      <c r="I157" s="247">
        <f t="shared" si="138"/>
        <v>0</v>
      </c>
      <c r="J157" s="247"/>
      <c r="K157" s="359">
        <f t="shared" si="139"/>
        <v>0</v>
      </c>
      <c r="L157" s="351"/>
      <c r="M157" s="345">
        <f>+(K157/$B$2)*$M$2*6</f>
        <v>0</v>
      </c>
      <c r="N157" s="249">
        <f>+(K157/$B$2)*$N$2*6</f>
        <v>0</v>
      </c>
      <c r="O157" s="249">
        <f>+(K157/$B$2)*$O$2*6</f>
        <v>0</v>
      </c>
      <c r="P157" s="249">
        <f>+(K157/$B$2)*$P$2*6</f>
        <v>0</v>
      </c>
      <c r="Q157" s="249">
        <f>+(K157/$B$2)*$Q$2*6</f>
        <v>0</v>
      </c>
      <c r="R157" s="249">
        <f>+(K157/$B$2)*$R$2*6</f>
        <v>0</v>
      </c>
      <c r="S157" s="249">
        <f>+(K157/$B$2)*$S$2*6</f>
        <v>0</v>
      </c>
      <c r="T157" s="249">
        <f>+(K157/$B$2)*$T$2*6</f>
        <v>0</v>
      </c>
      <c r="U157" s="249" t="e">
        <f>+(K157/$B$2)*$U$2*6</f>
        <v>#REF!</v>
      </c>
      <c r="V157" s="251">
        <f>+(K157/$B$2)*$V$2*6</f>
        <v>0</v>
      </c>
    </row>
    <row r="158" spans="1:22" x14ac:dyDescent="0.3">
      <c r="A158" s="1025"/>
      <c r="B158" s="237"/>
      <c r="C158" s="247"/>
      <c r="D158" s="51"/>
      <c r="E158" s="247">
        <f t="shared" si="135"/>
        <v>0</v>
      </c>
      <c r="F158" s="247"/>
      <c r="G158" s="247">
        <f t="shared" si="136"/>
        <v>0</v>
      </c>
      <c r="H158" s="247">
        <f t="shared" si="137"/>
        <v>0</v>
      </c>
      <c r="I158" s="247">
        <f t="shared" si="138"/>
        <v>0</v>
      </c>
      <c r="J158" s="247"/>
      <c r="K158" s="359">
        <f t="shared" si="139"/>
        <v>0</v>
      </c>
      <c r="L158" s="351"/>
      <c r="M158" s="345">
        <f>+(K158/$B$2)*$M$2*6</f>
        <v>0</v>
      </c>
      <c r="N158" s="249">
        <f>+(K158/$B$2)*$N$2*6</f>
        <v>0</v>
      </c>
      <c r="O158" s="249">
        <f>+(K158/$B$2)*$O$2*6</f>
        <v>0</v>
      </c>
      <c r="P158" s="249">
        <f>+(K158/$B$2)*$P$2*6</f>
        <v>0</v>
      </c>
      <c r="Q158" s="249">
        <f>+(K158/$B$2)*$Q$2*6</f>
        <v>0</v>
      </c>
      <c r="R158" s="249">
        <f>+(K158/$B$2)*$R$2*6</f>
        <v>0</v>
      </c>
      <c r="S158" s="249">
        <f>+(K158/$B$2)*$S$2*6</f>
        <v>0</v>
      </c>
      <c r="T158" s="249">
        <f>+(K158/$B$2)*$T$2*6</f>
        <v>0</v>
      </c>
      <c r="U158" s="249" t="e">
        <f>+(K158/$B$2)*$U$2*6</f>
        <v>#REF!</v>
      </c>
      <c r="V158" s="251">
        <f>+(K158/$B$2)*$V$2*6</f>
        <v>0</v>
      </c>
    </row>
    <row r="159" spans="1:22" ht="10.8" thickBot="1" x14ac:dyDescent="0.35">
      <c r="A159" s="1026"/>
      <c r="B159" s="239"/>
      <c r="C159" s="233"/>
      <c r="D159" s="139"/>
      <c r="E159" s="233">
        <f t="shared" si="135"/>
        <v>0</v>
      </c>
      <c r="F159" s="233"/>
      <c r="G159" s="233">
        <f t="shared" si="136"/>
        <v>0</v>
      </c>
      <c r="H159" s="233">
        <f t="shared" si="137"/>
        <v>0</v>
      </c>
      <c r="I159" s="233">
        <f t="shared" si="138"/>
        <v>0</v>
      </c>
      <c r="J159" s="233"/>
      <c r="K159" s="360">
        <f t="shared" si="139"/>
        <v>0</v>
      </c>
      <c r="L159" s="351"/>
      <c r="M159" s="346">
        <f>+(K159/$B$2)*$M$2*6</f>
        <v>0</v>
      </c>
      <c r="N159" s="347">
        <f>+(K159/$B$2)*$N$2*6</f>
        <v>0</v>
      </c>
      <c r="O159" s="347">
        <f>+(K159/$B$2)*$O$2*6</f>
        <v>0</v>
      </c>
      <c r="P159" s="347">
        <f>+(K159/$B$2)*$P$2*6</f>
        <v>0</v>
      </c>
      <c r="Q159" s="347">
        <f>+(K159/$B$2)*$Q$2*6</f>
        <v>0</v>
      </c>
      <c r="R159" s="347">
        <f>+(K159/$B$2)*$R$2*6</f>
        <v>0</v>
      </c>
      <c r="S159" s="347">
        <f>+(K159/$B$2)*$S$2*6</f>
        <v>0</v>
      </c>
      <c r="T159" s="347">
        <f>+(K159/$B$2)*$T$2*6</f>
        <v>0</v>
      </c>
      <c r="U159" s="347" t="e">
        <f>+(K159/$B$2)*$U$2*6</f>
        <v>#REF!</v>
      </c>
      <c r="V159" s="348">
        <f>+(K159/$B$2)*$V$2*6</f>
        <v>0</v>
      </c>
    </row>
    <row r="160" spans="1:22" x14ac:dyDescent="0.3">
      <c r="A160" s="1024" t="s">
        <v>170</v>
      </c>
      <c r="B160" s="236">
        <v>1</v>
      </c>
      <c r="C160" s="245">
        <v>900</v>
      </c>
      <c r="D160" s="255"/>
      <c r="E160" s="245">
        <f t="shared" ref="E160:E177" si="140">+C160*0.0833</f>
        <v>74.97</v>
      </c>
      <c r="F160" s="245">
        <f t="shared" ref="F160:F191" si="141">(394/12)</f>
        <v>32.833333333333336</v>
      </c>
      <c r="G160" s="245">
        <f t="shared" ref="G160:G177" si="142">+C160/12</f>
        <v>75</v>
      </c>
      <c r="H160" s="245">
        <f t="shared" ref="H160:H177" si="143">+C160*0.1115</f>
        <v>100.35000000000001</v>
      </c>
      <c r="I160" s="245">
        <f t="shared" ref="I160:I177" si="144">SUM(C160:H160)</f>
        <v>1183.1533333333332</v>
      </c>
      <c r="J160" s="245"/>
      <c r="K160" s="362">
        <f t="shared" si="139"/>
        <v>1183.1533333333332</v>
      </c>
      <c r="L160" s="351"/>
      <c r="M160" s="345">
        <f>+(K160/$B$2)*$M$2*6</f>
        <v>15.030531441880157</v>
      </c>
      <c r="N160" s="249">
        <f>+(K160/$B$2)*$N$2*6</f>
        <v>43.558480118568703</v>
      </c>
      <c r="O160" s="249">
        <f>+(K160/$B$2)*$O$2*6</f>
        <v>54.146046588354849</v>
      </c>
      <c r="P160" s="249">
        <f>+(K160/$B$2)*$P$2*6</f>
        <v>78.684212720102977</v>
      </c>
      <c r="Q160" s="249">
        <f>+(K160/$B$2)*$Q$2*6</f>
        <v>85.688954464532642</v>
      </c>
      <c r="R160" s="249">
        <f>+(K160/$B$2)*$R$2*6</f>
        <v>107.49258776270935</v>
      </c>
      <c r="S160" s="249">
        <f>+(K160/$B$2)*$S$2*6</f>
        <v>112.9820089798979</v>
      </c>
      <c r="T160" s="249">
        <f>+(K160/$B$2)*$T$2*6</f>
        <v>133.81148561965824</v>
      </c>
      <c r="U160" s="249" t="e">
        <f>+(K160/$B$2)*$U$2*6</f>
        <v>#REF!</v>
      </c>
      <c r="V160" s="251">
        <f>+(K160/$B$2)*$V$2*6</f>
        <v>0</v>
      </c>
    </row>
    <row r="161" spans="1:22" x14ac:dyDescent="0.3">
      <c r="A161" s="1025"/>
      <c r="B161" s="237">
        <v>1</v>
      </c>
      <c r="C161" s="247">
        <v>900</v>
      </c>
      <c r="D161" s="51"/>
      <c r="E161" s="247">
        <f t="shared" si="140"/>
        <v>74.97</v>
      </c>
      <c r="F161" s="247">
        <f t="shared" si="141"/>
        <v>32.833333333333336</v>
      </c>
      <c r="G161" s="247">
        <f t="shared" si="142"/>
        <v>75</v>
      </c>
      <c r="H161" s="247">
        <f t="shared" si="143"/>
        <v>100.35000000000001</v>
      </c>
      <c r="I161" s="247">
        <f t="shared" si="144"/>
        <v>1183.1533333333332</v>
      </c>
      <c r="J161" s="247"/>
      <c r="K161" s="359">
        <f t="shared" si="139"/>
        <v>1183.1533333333332</v>
      </c>
      <c r="L161" s="351"/>
      <c r="M161" s="345">
        <f t="shared" ref="M161:M176" si="145">+(K161/$B$2)*$M$2*6</f>
        <v>15.030531441880157</v>
      </c>
      <c r="N161" s="249">
        <f t="shared" ref="N161:N176" si="146">+(K161/$B$2)*$N$2*6</f>
        <v>43.558480118568703</v>
      </c>
      <c r="O161" s="249">
        <f t="shared" ref="O161:O176" si="147">+(K161/$B$2)*$O$2*6</f>
        <v>54.146046588354849</v>
      </c>
      <c r="P161" s="249">
        <f t="shared" ref="P161:P176" si="148">+(K161/$B$2)*$P$2*6</f>
        <v>78.684212720102977</v>
      </c>
      <c r="Q161" s="249">
        <f t="shared" ref="Q161:Q176" si="149">+(K161/$B$2)*$Q$2*6</f>
        <v>85.688954464532642</v>
      </c>
      <c r="R161" s="249">
        <f t="shared" ref="R161:R176" si="150">+(K161/$B$2)*$R$2*6</f>
        <v>107.49258776270935</v>
      </c>
      <c r="S161" s="249">
        <f t="shared" ref="S161:S176" si="151">+(K161/$B$2)*$S$2*6</f>
        <v>112.9820089798979</v>
      </c>
      <c r="T161" s="249">
        <f t="shared" ref="T161:T176" si="152">+(K161/$B$2)*$T$2*6</f>
        <v>133.81148561965824</v>
      </c>
      <c r="U161" s="249" t="e">
        <f t="shared" ref="U161:U176" si="153">+(K161/$B$2)*$U$2*6</f>
        <v>#REF!</v>
      </c>
      <c r="V161" s="251">
        <f t="shared" ref="V161:V176" si="154">+(K161/$B$2)*$V$2*6</f>
        <v>0</v>
      </c>
    </row>
    <row r="162" spans="1:22" x14ac:dyDescent="0.3">
      <c r="A162" s="1025"/>
      <c r="B162" s="237">
        <v>1</v>
      </c>
      <c r="C162" s="247">
        <v>820</v>
      </c>
      <c r="D162" s="51"/>
      <c r="E162" s="247">
        <f t="shared" si="140"/>
        <v>68.305999999999997</v>
      </c>
      <c r="F162" s="247">
        <f t="shared" si="141"/>
        <v>32.833333333333336</v>
      </c>
      <c r="G162" s="247">
        <f t="shared" si="142"/>
        <v>68.333333333333329</v>
      </c>
      <c r="H162" s="247">
        <f t="shared" si="143"/>
        <v>91.43</v>
      </c>
      <c r="I162" s="247">
        <f t="shared" si="144"/>
        <v>1080.9026666666668</v>
      </c>
      <c r="J162" s="247"/>
      <c r="K162" s="359">
        <f t="shared" si="139"/>
        <v>1080.9026666666668</v>
      </c>
      <c r="L162" s="351"/>
      <c r="M162" s="345">
        <f t="shared" si="145"/>
        <v>13.731560448867246</v>
      </c>
      <c r="N162" s="249">
        <f t="shared" si="146"/>
        <v>39.794062180817278</v>
      </c>
      <c r="O162" s="249">
        <f t="shared" si="147"/>
        <v>49.466628287241164</v>
      </c>
      <c r="P162" s="249">
        <f t="shared" si="148"/>
        <v>71.884153099677064</v>
      </c>
      <c r="Q162" s="249">
        <f t="shared" si="149"/>
        <v>78.283529932377263</v>
      </c>
      <c r="R162" s="249">
        <f t="shared" si="150"/>
        <v>98.202846145284013</v>
      </c>
      <c r="S162" s="249">
        <f t="shared" si="151"/>
        <v>103.21785972378527</v>
      </c>
      <c r="T162" s="249">
        <f t="shared" si="152"/>
        <v>122.24720800086516</v>
      </c>
      <c r="U162" s="249" t="e">
        <f t="shared" si="153"/>
        <v>#REF!</v>
      </c>
      <c r="V162" s="251">
        <f t="shared" si="154"/>
        <v>0</v>
      </c>
    </row>
    <row r="163" spans="1:22" x14ac:dyDescent="0.3">
      <c r="A163" s="1025"/>
      <c r="B163" s="237">
        <v>1</v>
      </c>
      <c r="C163" s="247">
        <v>1350.4</v>
      </c>
      <c r="D163" s="51"/>
      <c r="E163" s="247">
        <f t="shared" si="140"/>
        <v>112.48832</v>
      </c>
      <c r="F163" s="247">
        <f t="shared" si="141"/>
        <v>32.833333333333336</v>
      </c>
      <c r="G163" s="247">
        <f t="shared" si="142"/>
        <v>112.53333333333335</v>
      </c>
      <c r="H163" s="247">
        <f t="shared" si="143"/>
        <v>150.56960000000001</v>
      </c>
      <c r="I163" s="247">
        <f t="shared" si="144"/>
        <v>1758.8245866666666</v>
      </c>
      <c r="J163" s="247"/>
      <c r="K163" s="359">
        <f t="shared" si="139"/>
        <v>1758.8245866666666</v>
      </c>
      <c r="L163" s="351"/>
      <c r="M163" s="345">
        <f t="shared" si="145"/>
        <v>22.343738132542875</v>
      </c>
      <c r="N163" s="249">
        <f t="shared" si="146"/>
        <v>64.752153108109255</v>
      </c>
      <c r="O163" s="249">
        <f t="shared" si="147"/>
        <v>80.491171623624979</v>
      </c>
      <c r="P163" s="249">
        <f t="shared" si="148"/>
        <v>116.96854838310098</v>
      </c>
      <c r="Q163" s="249">
        <f t="shared" si="149"/>
        <v>127.38149458056758</v>
      </c>
      <c r="R163" s="249">
        <f t="shared" si="150"/>
        <v>159.79383306881414</v>
      </c>
      <c r="S163" s="249">
        <f t="shared" si="151"/>
        <v>167.95416929181221</v>
      </c>
      <c r="T163" s="249">
        <f t="shared" si="152"/>
        <v>198.91836861346349</v>
      </c>
      <c r="U163" s="249" t="e">
        <f t="shared" si="153"/>
        <v>#REF!</v>
      </c>
      <c r="V163" s="251">
        <f t="shared" si="154"/>
        <v>0</v>
      </c>
    </row>
    <row r="164" spans="1:22" x14ac:dyDescent="0.3">
      <c r="A164" s="1025"/>
      <c r="B164" s="237">
        <v>1</v>
      </c>
      <c r="C164" s="247">
        <v>900</v>
      </c>
      <c r="D164" s="51"/>
      <c r="E164" s="247">
        <f t="shared" si="140"/>
        <v>74.97</v>
      </c>
      <c r="F164" s="247">
        <f t="shared" si="141"/>
        <v>32.833333333333336</v>
      </c>
      <c r="G164" s="247">
        <f t="shared" si="142"/>
        <v>75</v>
      </c>
      <c r="H164" s="247">
        <f t="shared" si="143"/>
        <v>100.35000000000001</v>
      </c>
      <c r="I164" s="247">
        <f t="shared" si="144"/>
        <v>1183.1533333333332</v>
      </c>
      <c r="J164" s="247"/>
      <c r="K164" s="359">
        <f t="shared" si="139"/>
        <v>1183.1533333333332</v>
      </c>
      <c r="L164" s="351"/>
      <c r="M164" s="345">
        <f t="shared" si="145"/>
        <v>15.030531441880157</v>
      </c>
      <c r="N164" s="249">
        <f t="shared" si="146"/>
        <v>43.558480118568703</v>
      </c>
      <c r="O164" s="249">
        <f t="shared" si="147"/>
        <v>54.146046588354849</v>
      </c>
      <c r="P164" s="249">
        <f t="shared" si="148"/>
        <v>78.684212720102977</v>
      </c>
      <c r="Q164" s="249">
        <f t="shared" si="149"/>
        <v>85.688954464532642</v>
      </c>
      <c r="R164" s="249">
        <f t="shared" si="150"/>
        <v>107.49258776270935</v>
      </c>
      <c r="S164" s="249">
        <f t="shared" si="151"/>
        <v>112.9820089798979</v>
      </c>
      <c r="T164" s="249">
        <f t="shared" si="152"/>
        <v>133.81148561965824</v>
      </c>
      <c r="U164" s="249" t="e">
        <f t="shared" si="153"/>
        <v>#REF!</v>
      </c>
      <c r="V164" s="251">
        <f t="shared" si="154"/>
        <v>0</v>
      </c>
    </row>
    <row r="165" spans="1:22" x14ac:dyDescent="0.3">
      <c r="A165" s="1025"/>
      <c r="B165" s="237">
        <v>1</v>
      </c>
      <c r="C165" s="247">
        <v>1351.35</v>
      </c>
      <c r="D165" s="51"/>
      <c r="E165" s="247">
        <f t="shared" si="140"/>
        <v>112.567455</v>
      </c>
      <c r="F165" s="247">
        <f t="shared" si="141"/>
        <v>32.833333333333336</v>
      </c>
      <c r="G165" s="247">
        <f t="shared" si="142"/>
        <v>112.6125</v>
      </c>
      <c r="H165" s="247">
        <f t="shared" si="143"/>
        <v>150.67552499999999</v>
      </c>
      <c r="I165" s="247">
        <f t="shared" si="144"/>
        <v>1760.0388133333331</v>
      </c>
      <c r="J165" s="247"/>
      <c r="K165" s="359">
        <f t="shared" si="139"/>
        <v>1760.0388133333331</v>
      </c>
      <c r="L165" s="351"/>
      <c r="M165" s="345">
        <f t="shared" si="145"/>
        <v>22.3591634130849</v>
      </c>
      <c r="N165" s="249">
        <f t="shared" si="146"/>
        <v>64.796855571120034</v>
      </c>
      <c r="O165" s="249">
        <f t="shared" si="147"/>
        <v>80.546739715950707</v>
      </c>
      <c r="P165" s="249">
        <f t="shared" si="148"/>
        <v>117.04929909109356</v>
      </c>
      <c r="Q165" s="249">
        <f t="shared" si="149"/>
        <v>127.46943399688692</v>
      </c>
      <c r="R165" s="249">
        <f t="shared" si="150"/>
        <v>159.90414875052107</v>
      </c>
      <c r="S165" s="249">
        <f t="shared" si="151"/>
        <v>168.07011856422855</v>
      </c>
      <c r="T165" s="249">
        <f t="shared" si="152"/>
        <v>199.05569441018667</v>
      </c>
      <c r="U165" s="249" t="e">
        <f t="shared" si="153"/>
        <v>#REF!</v>
      </c>
      <c r="V165" s="251">
        <f t="shared" si="154"/>
        <v>0</v>
      </c>
    </row>
    <row r="166" spans="1:22" x14ac:dyDescent="0.3">
      <c r="A166" s="1025"/>
      <c r="B166" s="237">
        <v>1</v>
      </c>
      <c r="C166" s="247">
        <v>900</v>
      </c>
      <c r="D166" s="51"/>
      <c r="E166" s="247">
        <f t="shared" si="140"/>
        <v>74.97</v>
      </c>
      <c r="F166" s="247">
        <f t="shared" si="141"/>
        <v>32.833333333333336</v>
      </c>
      <c r="G166" s="247">
        <f t="shared" si="142"/>
        <v>75</v>
      </c>
      <c r="H166" s="247">
        <f t="shared" si="143"/>
        <v>100.35000000000001</v>
      </c>
      <c r="I166" s="247">
        <f t="shared" si="144"/>
        <v>1183.1533333333332</v>
      </c>
      <c r="J166" s="247"/>
      <c r="K166" s="359">
        <f t="shared" si="139"/>
        <v>1183.1533333333332</v>
      </c>
      <c r="L166" s="351"/>
      <c r="M166" s="345">
        <f t="shared" si="145"/>
        <v>15.030531441880157</v>
      </c>
      <c r="N166" s="249">
        <f t="shared" si="146"/>
        <v>43.558480118568703</v>
      </c>
      <c r="O166" s="249">
        <f t="shared" si="147"/>
        <v>54.146046588354849</v>
      </c>
      <c r="P166" s="249">
        <f t="shared" si="148"/>
        <v>78.684212720102977</v>
      </c>
      <c r="Q166" s="249">
        <f t="shared" si="149"/>
        <v>85.688954464532642</v>
      </c>
      <c r="R166" s="249">
        <f t="shared" si="150"/>
        <v>107.49258776270935</v>
      </c>
      <c r="S166" s="249">
        <f t="shared" si="151"/>
        <v>112.9820089798979</v>
      </c>
      <c r="T166" s="249">
        <f t="shared" si="152"/>
        <v>133.81148561965824</v>
      </c>
      <c r="U166" s="249" t="e">
        <f t="shared" si="153"/>
        <v>#REF!</v>
      </c>
      <c r="V166" s="251">
        <f t="shared" si="154"/>
        <v>0</v>
      </c>
    </row>
    <row r="167" spans="1:22" x14ac:dyDescent="0.3">
      <c r="A167" s="1025"/>
      <c r="B167" s="237">
        <v>1</v>
      </c>
      <c r="C167" s="247">
        <v>1350</v>
      </c>
      <c r="D167" s="51"/>
      <c r="E167" s="247">
        <f t="shared" si="140"/>
        <v>112.455</v>
      </c>
      <c r="F167" s="247">
        <f t="shared" si="141"/>
        <v>32.833333333333336</v>
      </c>
      <c r="G167" s="247">
        <f t="shared" si="142"/>
        <v>112.5</v>
      </c>
      <c r="H167" s="247">
        <f t="shared" si="143"/>
        <v>150.52500000000001</v>
      </c>
      <c r="I167" s="247">
        <f t="shared" si="144"/>
        <v>1758.3133333333333</v>
      </c>
      <c r="J167" s="247"/>
      <c r="K167" s="359">
        <f t="shared" si="139"/>
        <v>1758.3133333333333</v>
      </c>
      <c r="L167" s="351"/>
      <c r="M167" s="345">
        <f t="shared" si="145"/>
        <v>22.337243277577809</v>
      </c>
      <c r="N167" s="249">
        <f t="shared" si="146"/>
        <v>64.733331018420486</v>
      </c>
      <c r="O167" s="249">
        <f t="shared" si="147"/>
        <v>80.467774532119407</v>
      </c>
      <c r="P167" s="249">
        <f t="shared" si="148"/>
        <v>116.93454808499885</v>
      </c>
      <c r="Q167" s="249">
        <f t="shared" si="149"/>
        <v>127.3444674579068</v>
      </c>
      <c r="R167" s="249">
        <f t="shared" si="150"/>
        <v>159.74738436072701</v>
      </c>
      <c r="S167" s="249">
        <f t="shared" si="151"/>
        <v>167.90534854553164</v>
      </c>
      <c r="T167" s="249">
        <f t="shared" si="152"/>
        <v>198.86054722536952</v>
      </c>
      <c r="U167" s="249" t="e">
        <f t="shared" si="153"/>
        <v>#REF!</v>
      </c>
      <c r="V167" s="251">
        <f t="shared" si="154"/>
        <v>0</v>
      </c>
    </row>
    <row r="168" spans="1:22" x14ac:dyDescent="0.3">
      <c r="A168" s="1025"/>
      <c r="B168" s="237">
        <v>1</v>
      </c>
      <c r="C168" s="247">
        <v>3000</v>
      </c>
      <c r="D168" s="51"/>
      <c r="E168" s="247">
        <f t="shared" si="140"/>
        <v>249.9</v>
      </c>
      <c r="F168" s="247">
        <f t="shared" si="141"/>
        <v>32.833333333333336</v>
      </c>
      <c r="G168" s="247">
        <f t="shared" si="142"/>
        <v>250</v>
      </c>
      <c r="H168" s="247">
        <f t="shared" si="143"/>
        <v>334.5</v>
      </c>
      <c r="I168" s="247">
        <f t="shared" si="144"/>
        <v>3867.2333333333336</v>
      </c>
      <c r="J168" s="247"/>
      <c r="K168" s="359">
        <f t="shared" si="139"/>
        <v>3867.2333333333336</v>
      </c>
      <c r="L168" s="351"/>
      <c r="M168" s="345">
        <f t="shared" si="145"/>
        <v>49.128520008469195</v>
      </c>
      <c r="N168" s="249">
        <f t="shared" si="146"/>
        <v>142.37445098454373</v>
      </c>
      <c r="O168" s="249">
        <f t="shared" si="147"/>
        <v>176.98077699258948</v>
      </c>
      <c r="P168" s="249">
        <f t="shared" si="148"/>
        <v>257.18577775628376</v>
      </c>
      <c r="Q168" s="249">
        <f t="shared" si="149"/>
        <v>280.08134843361205</v>
      </c>
      <c r="R168" s="249">
        <f t="shared" si="150"/>
        <v>351.34830522012516</v>
      </c>
      <c r="S168" s="249">
        <f t="shared" si="151"/>
        <v>369.29092695285533</v>
      </c>
      <c r="T168" s="249">
        <f t="shared" si="152"/>
        <v>437.37377311297757</v>
      </c>
      <c r="U168" s="249" t="e">
        <f t="shared" si="153"/>
        <v>#REF!</v>
      </c>
      <c r="V168" s="251">
        <f t="shared" si="154"/>
        <v>0</v>
      </c>
    </row>
    <row r="169" spans="1:22" x14ac:dyDescent="0.3">
      <c r="A169" s="1025"/>
      <c r="B169" s="237">
        <v>1</v>
      </c>
      <c r="C169" s="247">
        <v>737</v>
      </c>
      <c r="D169" s="51"/>
      <c r="E169" s="247">
        <f t="shared" si="140"/>
        <v>61.392099999999999</v>
      </c>
      <c r="F169" s="247">
        <f t="shared" si="141"/>
        <v>32.833333333333336</v>
      </c>
      <c r="G169" s="247">
        <f t="shared" si="142"/>
        <v>61.416666666666664</v>
      </c>
      <c r="H169" s="247">
        <f t="shared" si="143"/>
        <v>82.1755</v>
      </c>
      <c r="I169" s="247">
        <f t="shared" si="144"/>
        <v>974.81760000000008</v>
      </c>
      <c r="J169" s="247"/>
      <c r="K169" s="359">
        <f t="shared" si="139"/>
        <v>974.81760000000008</v>
      </c>
      <c r="L169" s="351"/>
      <c r="M169" s="345">
        <f t="shared" si="145"/>
        <v>12.383878043616345</v>
      </c>
      <c r="N169" s="249">
        <f t="shared" si="146"/>
        <v>35.888478570400167</v>
      </c>
      <c r="O169" s="249">
        <f t="shared" si="147"/>
        <v>44.611731799835695</v>
      </c>
      <c r="P169" s="249">
        <f t="shared" si="148"/>
        <v>64.829091243485152</v>
      </c>
      <c r="Q169" s="249">
        <f t="shared" si="149"/>
        <v>70.600401980266014</v>
      </c>
      <c r="R169" s="249">
        <f t="shared" si="150"/>
        <v>88.564739217205187</v>
      </c>
      <c r="S169" s="249">
        <f t="shared" si="151"/>
        <v>93.087554870568383</v>
      </c>
      <c r="T169" s="249">
        <f t="shared" si="152"/>
        <v>110.2492699713673</v>
      </c>
      <c r="U169" s="249" t="e">
        <f t="shared" si="153"/>
        <v>#REF!</v>
      </c>
      <c r="V169" s="251">
        <f t="shared" si="154"/>
        <v>0</v>
      </c>
    </row>
    <row r="170" spans="1:22" x14ac:dyDescent="0.3">
      <c r="A170" s="1025"/>
      <c r="B170" s="237">
        <v>1</v>
      </c>
      <c r="C170" s="247">
        <v>1350.4</v>
      </c>
      <c r="D170" s="51"/>
      <c r="E170" s="247">
        <f t="shared" si="140"/>
        <v>112.48832</v>
      </c>
      <c r="F170" s="247">
        <f t="shared" si="141"/>
        <v>32.833333333333336</v>
      </c>
      <c r="G170" s="247">
        <f t="shared" si="142"/>
        <v>112.53333333333335</v>
      </c>
      <c r="H170" s="247">
        <f t="shared" si="143"/>
        <v>150.56960000000001</v>
      </c>
      <c r="I170" s="247">
        <f t="shared" si="144"/>
        <v>1758.8245866666666</v>
      </c>
      <c r="J170" s="247"/>
      <c r="K170" s="359">
        <f t="shared" si="139"/>
        <v>1758.8245866666666</v>
      </c>
      <c r="L170" s="351"/>
      <c r="M170" s="345">
        <f t="shared" si="145"/>
        <v>22.343738132542875</v>
      </c>
      <c r="N170" s="249">
        <f t="shared" si="146"/>
        <v>64.752153108109255</v>
      </c>
      <c r="O170" s="249">
        <f t="shared" si="147"/>
        <v>80.491171623624979</v>
      </c>
      <c r="P170" s="249">
        <f t="shared" si="148"/>
        <v>116.96854838310098</v>
      </c>
      <c r="Q170" s="249">
        <f t="shared" si="149"/>
        <v>127.38149458056758</v>
      </c>
      <c r="R170" s="249">
        <f t="shared" si="150"/>
        <v>159.79383306881414</v>
      </c>
      <c r="S170" s="249">
        <f t="shared" si="151"/>
        <v>167.95416929181221</v>
      </c>
      <c r="T170" s="249">
        <f t="shared" si="152"/>
        <v>198.91836861346349</v>
      </c>
      <c r="U170" s="249" t="e">
        <f t="shared" si="153"/>
        <v>#REF!</v>
      </c>
      <c r="V170" s="251">
        <f t="shared" si="154"/>
        <v>0</v>
      </c>
    </row>
    <row r="171" spans="1:22" x14ac:dyDescent="0.3">
      <c r="A171" s="1025"/>
      <c r="B171" s="237">
        <v>1</v>
      </c>
      <c r="C171" s="247">
        <v>900</v>
      </c>
      <c r="D171" s="51"/>
      <c r="E171" s="247">
        <f t="shared" si="140"/>
        <v>74.97</v>
      </c>
      <c r="F171" s="247">
        <f t="shared" si="141"/>
        <v>32.833333333333336</v>
      </c>
      <c r="G171" s="247">
        <f t="shared" si="142"/>
        <v>75</v>
      </c>
      <c r="H171" s="247">
        <f t="shared" si="143"/>
        <v>100.35000000000001</v>
      </c>
      <c r="I171" s="247">
        <f t="shared" si="144"/>
        <v>1183.1533333333332</v>
      </c>
      <c r="J171" s="247"/>
      <c r="K171" s="359">
        <f t="shared" si="139"/>
        <v>1183.1533333333332</v>
      </c>
      <c r="L171" s="351"/>
      <c r="M171" s="345">
        <f t="shared" si="145"/>
        <v>15.030531441880157</v>
      </c>
      <c r="N171" s="249">
        <f t="shared" si="146"/>
        <v>43.558480118568703</v>
      </c>
      <c r="O171" s="249">
        <f t="shared" si="147"/>
        <v>54.146046588354849</v>
      </c>
      <c r="P171" s="249">
        <f t="shared" si="148"/>
        <v>78.684212720102977</v>
      </c>
      <c r="Q171" s="249">
        <f t="shared" si="149"/>
        <v>85.688954464532642</v>
      </c>
      <c r="R171" s="249">
        <f t="shared" si="150"/>
        <v>107.49258776270935</v>
      </c>
      <c r="S171" s="249">
        <f t="shared" si="151"/>
        <v>112.9820089798979</v>
      </c>
      <c r="T171" s="249">
        <f t="shared" si="152"/>
        <v>133.81148561965824</v>
      </c>
      <c r="U171" s="249" t="e">
        <f t="shared" si="153"/>
        <v>#REF!</v>
      </c>
      <c r="V171" s="251">
        <f t="shared" si="154"/>
        <v>0</v>
      </c>
    </row>
    <row r="172" spans="1:22" x14ac:dyDescent="0.3">
      <c r="A172" s="1025"/>
      <c r="B172" s="237">
        <v>1</v>
      </c>
      <c r="C172" s="247">
        <v>900</v>
      </c>
      <c r="D172" s="51"/>
      <c r="E172" s="247">
        <f t="shared" si="140"/>
        <v>74.97</v>
      </c>
      <c r="F172" s="247">
        <f t="shared" si="141"/>
        <v>32.833333333333336</v>
      </c>
      <c r="G172" s="247">
        <f t="shared" si="142"/>
        <v>75</v>
      </c>
      <c r="H172" s="247">
        <f t="shared" si="143"/>
        <v>100.35000000000001</v>
      </c>
      <c r="I172" s="247">
        <f t="shared" si="144"/>
        <v>1183.1533333333332</v>
      </c>
      <c r="J172" s="247"/>
      <c r="K172" s="359">
        <f t="shared" si="139"/>
        <v>1183.1533333333332</v>
      </c>
      <c r="L172" s="351"/>
      <c r="M172" s="345">
        <f t="shared" si="145"/>
        <v>15.030531441880157</v>
      </c>
      <c r="N172" s="249">
        <f t="shared" si="146"/>
        <v>43.558480118568703</v>
      </c>
      <c r="O172" s="249">
        <f t="shared" si="147"/>
        <v>54.146046588354849</v>
      </c>
      <c r="P172" s="249">
        <f t="shared" si="148"/>
        <v>78.684212720102977</v>
      </c>
      <c r="Q172" s="249">
        <f t="shared" si="149"/>
        <v>85.688954464532642</v>
      </c>
      <c r="R172" s="249">
        <f t="shared" si="150"/>
        <v>107.49258776270935</v>
      </c>
      <c r="S172" s="249">
        <f t="shared" si="151"/>
        <v>112.9820089798979</v>
      </c>
      <c r="T172" s="249">
        <f t="shared" si="152"/>
        <v>133.81148561965824</v>
      </c>
      <c r="U172" s="249" t="e">
        <f t="shared" si="153"/>
        <v>#REF!</v>
      </c>
      <c r="V172" s="251">
        <f t="shared" si="154"/>
        <v>0</v>
      </c>
    </row>
    <row r="173" spans="1:22" x14ac:dyDescent="0.3">
      <c r="A173" s="1025"/>
      <c r="B173" s="237">
        <v>1</v>
      </c>
      <c r="C173" s="247">
        <v>1350.4</v>
      </c>
      <c r="D173" s="51"/>
      <c r="E173" s="247">
        <f t="shared" si="140"/>
        <v>112.48832</v>
      </c>
      <c r="F173" s="247">
        <f t="shared" si="141"/>
        <v>32.833333333333336</v>
      </c>
      <c r="G173" s="247">
        <f t="shared" si="142"/>
        <v>112.53333333333335</v>
      </c>
      <c r="H173" s="247">
        <f t="shared" si="143"/>
        <v>150.56960000000001</v>
      </c>
      <c r="I173" s="247">
        <f t="shared" si="144"/>
        <v>1758.8245866666666</v>
      </c>
      <c r="J173" s="247"/>
      <c r="K173" s="359">
        <f t="shared" si="139"/>
        <v>1758.8245866666666</v>
      </c>
      <c r="L173" s="351"/>
      <c r="M173" s="345">
        <f t="shared" si="145"/>
        <v>22.343738132542875</v>
      </c>
      <c r="N173" s="249">
        <f t="shared" si="146"/>
        <v>64.752153108109255</v>
      </c>
      <c r="O173" s="249">
        <f t="shared" si="147"/>
        <v>80.491171623624979</v>
      </c>
      <c r="P173" s="249">
        <f t="shared" si="148"/>
        <v>116.96854838310098</v>
      </c>
      <c r="Q173" s="249">
        <f t="shared" si="149"/>
        <v>127.38149458056758</v>
      </c>
      <c r="R173" s="249">
        <f t="shared" si="150"/>
        <v>159.79383306881414</v>
      </c>
      <c r="S173" s="249">
        <f t="shared" si="151"/>
        <v>167.95416929181221</v>
      </c>
      <c r="T173" s="249">
        <f t="shared" si="152"/>
        <v>198.91836861346349</v>
      </c>
      <c r="U173" s="249" t="e">
        <f t="shared" si="153"/>
        <v>#REF!</v>
      </c>
      <c r="V173" s="251">
        <f t="shared" si="154"/>
        <v>0</v>
      </c>
    </row>
    <row r="174" spans="1:22" x14ac:dyDescent="0.3">
      <c r="A174" s="1025"/>
      <c r="B174" s="237">
        <v>1</v>
      </c>
      <c r="C174" s="247">
        <v>1000</v>
      </c>
      <c r="D174" s="51"/>
      <c r="E174" s="247">
        <f t="shared" si="140"/>
        <v>83.3</v>
      </c>
      <c r="F174" s="247">
        <f t="shared" si="141"/>
        <v>32.833333333333336</v>
      </c>
      <c r="G174" s="247">
        <f t="shared" si="142"/>
        <v>83.333333333333329</v>
      </c>
      <c r="H174" s="247">
        <f t="shared" si="143"/>
        <v>111.5</v>
      </c>
      <c r="I174" s="247">
        <f t="shared" si="144"/>
        <v>1310.9666666666665</v>
      </c>
      <c r="J174" s="247"/>
      <c r="K174" s="359">
        <f t="shared" si="139"/>
        <v>1310.9666666666665</v>
      </c>
      <c r="L174" s="351"/>
      <c r="M174" s="345">
        <f t="shared" si="145"/>
        <v>16.654245183146301</v>
      </c>
      <c r="N174" s="249">
        <f t="shared" si="146"/>
        <v>48.264002540757986</v>
      </c>
      <c r="O174" s="249">
        <f t="shared" si="147"/>
        <v>59.99531946474697</v>
      </c>
      <c r="P174" s="249">
        <f t="shared" si="148"/>
        <v>87.184287245635389</v>
      </c>
      <c r="Q174" s="249">
        <f t="shared" si="149"/>
        <v>94.945735129726884</v>
      </c>
      <c r="R174" s="249">
        <f t="shared" si="150"/>
        <v>119.10476478449104</v>
      </c>
      <c r="S174" s="249">
        <f t="shared" si="151"/>
        <v>125.18719555003872</v>
      </c>
      <c r="T174" s="249">
        <f t="shared" si="152"/>
        <v>148.26683264314963</v>
      </c>
      <c r="U174" s="249" t="e">
        <f t="shared" si="153"/>
        <v>#REF!</v>
      </c>
      <c r="V174" s="251">
        <f t="shared" si="154"/>
        <v>0</v>
      </c>
    </row>
    <row r="175" spans="1:22" x14ac:dyDescent="0.3">
      <c r="A175" s="1025"/>
      <c r="B175" s="237">
        <v>1</v>
      </c>
      <c r="C175" s="247">
        <v>900</v>
      </c>
      <c r="D175" s="51"/>
      <c r="E175" s="247">
        <f t="shared" si="140"/>
        <v>74.97</v>
      </c>
      <c r="F175" s="247">
        <f t="shared" si="141"/>
        <v>32.833333333333336</v>
      </c>
      <c r="G175" s="247">
        <f t="shared" si="142"/>
        <v>75</v>
      </c>
      <c r="H175" s="247">
        <f t="shared" si="143"/>
        <v>100.35000000000001</v>
      </c>
      <c r="I175" s="247">
        <f t="shared" si="144"/>
        <v>1183.1533333333332</v>
      </c>
      <c r="J175" s="247"/>
      <c r="K175" s="359">
        <f t="shared" si="139"/>
        <v>1183.1533333333332</v>
      </c>
      <c r="L175" s="351"/>
      <c r="M175" s="345">
        <f t="shared" si="145"/>
        <v>15.030531441880157</v>
      </c>
      <c r="N175" s="249">
        <f t="shared" si="146"/>
        <v>43.558480118568703</v>
      </c>
      <c r="O175" s="249">
        <f t="shared" si="147"/>
        <v>54.146046588354849</v>
      </c>
      <c r="P175" s="249">
        <f t="shared" si="148"/>
        <v>78.684212720102977</v>
      </c>
      <c r="Q175" s="249">
        <f t="shared" si="149"/>
        <v>85.688954464532642</v>
      </c>
      <c r="R175" s="249">
        <f t="shared" si="150"/>
        <v>107.49258776270935</v>
      </c>
      <c r="S175" s="249">
        <f t="shared" si="151"/>
        <v>112.9820089798979</v>
      </c>
      <c r="T175" s="249">
        <f t="shared" si="152"/>
        <v>133.81148561965824</v>
      </c>
      <c r="U175" s="249" t="e">
        <f t="shared" si="153"/>
        <v>#REF!</v>
      </c>
      <c r="V175" s="251">
        <f t="shared" si="154"/>
        <v>0</v>
      </c>
    </row>
    <row r="176" spans="1:22" x14ac:dyDescent="0.3">
      <c r="A176" s="1025"/>
      <c r="B176" s="237">
        <v>1</v>
      </c>
      <c r="C176" s="247">
        <v>1500</v>
      </c>
      <c r="D176" s="51"/>
      <c r="E176" s="247">
        <f t="shared" si="140"/>
        <v>124.95</v>
      </c>
      <c r="F176" s="247">
        <f t="shared" si="141"/>
        <v>32.833333333333336</v>
      </c>
      <c r="G176" s="247">
        <f t="shared" si="142"/>
        <v>125</v>
      </c>
      <c r="H176" s="247">
        <f t="shared" si="143"/>
        <v>167.25</v>
      </c>
      <c r="I176" s="247">
        <f t="shared" si="144"/>
        <v>1950.0333333333333</v>
      </c>
      <c r="J176" s="247"/>
      <c r="K176" s="359">
        <f t="shared" si="139"/>
        <v>1950.0333333333333</v>
      </c>
      <c r="L176" s="351"/>
      <c r="M176" s="345">
        <f t="shared" si="145"/>
        <v>24.772813889477025</v>
      </c>
      <c r="N176" s="249">
        <f t="shared" si="146"/>
        <v>71.791614651704407</v>
      </c>
      <c r="O176" s="249">
        <f t="shared" si="147"/>
        <v>89.241683846707588</v>
      </c>
      <c r="P176" s="249">
        <f t="shared" si="148"/>
        <v>129.68465987329748</v>
      </c>
      <c r="Q176" s="249">
        <f t="shared" si="149"/>
        <v>141.22963845569819</v>
      </c>
      <c r="R176" s="249">
        <f t="shared" si="150"/>
        <v>177.16564989339955</v>
      </c>
      <c r="S176" s="249">
        <f t="shared" si="151"/>
        <v>186.21312840074287</v>
      </c>
      <c r="T176" s="249">
        <f t="shared" si="152"/>
        <v>220.54356776060663</v>
      </c>
      <c r="U176" s="249" t="e">
        <f t="shared" si="153"/>
        <v>#REF!</v>
      </c>
      <c r="V176" s="251">
        <f t="shared" si="154"/>
        <v>0</v>
      </c>
    </row>
    <row r="177" spans="1:22" x14ac:dyDescent="0.3">
      <c r="A177" s="1025"/>
      <c r="B177" s="237">
        <v>1</v>
      </c>
      <c r="C177" s="247">
        <v>1350.72</v>
      </c>
      <c r="D177" s="51"/>
      <c r="E177" s="247">
        <f t="shared" si="140"/>
        <v>112.514976</v>
      </c>
      <c r="F177" s="247">
        <f t="shared" si="141"/>
        <v>32.833333333333336</v>
      </c>
      <c r="G177" s="247">
        <f t="shared" si="142"/>
        <v>112.56</v>
      </c>
      <c r="H177" s="247">
        <f t="shared" si="143"/>
        <v>150.60527999999999</v>
      </c>
      <c r="I177" s="247">
        <f t="shared" si="144"/>
        <v>1759.2335893333332</v>
      </c>
      <c r="J177" s="247"/>
      <c r="K177" s="359">
        <f t="shared" si="139"/>
        <v>1759.2335893333332</v>
      </c>
      <c r="L177" s="351"/>
      <c r="M177" s="345">
        <f>+(K177/$B$2)*$M$2*6</f>
        <v>22.348934016514924</v>
      </c>
      <c r="N177" s="249">
        <f>+(K177/$B$2)*$N$2*6</f>
        <v>64.76721077986025</v>
      </c>
      <c r="O177" s="249">
        <f>+(K177/$B$2)*$O$2*6</f>
        <v>80.509889296829428</v>
      </c>
      <c r="P177" s="249">
        <f>+(K177/$B$2)*$P$2*6</f>
        <v>116.99574862158269</v>
      </c>
      <c r="Q177" s="249">
        <f>+(K177/$B$2)*$Q$2*6</f>
        <v>127.41111627869618</v>
      </c>
      <c r="R177" s="249">
        <f>+(K177/$B$2)*$R$2*6</f>
        <v>159.83099203528383</v>
      </c>
      <c r="S177" s="249">
        <f>+(K177/$B$2)*$S$2*6</f>
        <v>167.99322588883663</v>
      </c>
      <c r="T177" s="249">
        <f>+(K177/$B$2)*$T$2*6</f>
        <v>198.96462572393864</v>
      </c>
      <c r="U177" s="249" t="e">
        <f>+(K177/$B$2)*$U$2*6</f>
        <v>#REF!</v>
      </c>
      <c r="V177" s="251">
        <f>+(K177/$B$2)*$V$2*6</f>
        <v>0</v>
      </c>
    </row>
    <row r="178" spans="1:22" x14ac:dyDescent="0.3">
      <c r="A178" s="1025"/>
      <c r="B178" s="237">
        <v>1</v>
      </c>
      <c r="C178" s="247">
        <v>820</v>
      </c>
      <c r="D178" s="51"/>
      <c r="E178" s="247">
        <f t="shared" ref="E178:E196" si="155">+C178*0.0833</f>
        <v>68.305999999999997</v>
      </c>
      <c r="F178" s="247">
        <f t="shared" si="141"/>
        <v>32.833333333333336</v>
      </c>
      <c r="G178" s="247">
        <f t="shared" ref="G178:G196" si="156">+C178/12</f>
        <v>68.333333333333329</v>
      </c>
      <c r="H178" s="247">
        <f t="shared" ref="H178:H196" si="157">+C178*0.1115</f>
        <v>91.43</v>
      </c>
      <c r="I178" s="247">
        <f t="shared" ref="I178:I196" si="158">SUM(C178:H178)</f>
        <v>1080.9026666666668</v>
      </c>
      <c r="J178" s="247"/>
      <c r="K178" s="359">
        <f t="shared" si="139"/>
        <v>1080.9026666666668</v>
      </c>
      <c r="L178" s="351"/>
      <c r="M178" s="345">
        <f t="shared" ref="M178:M196" si="159">+(K178/$B$2)*$M$2*6</f>
        <v>13.731560448867246</v>
      </c>
      <c r="N178" s="249">
        <f t="shared" ref="N178:N196" si="160">+(K178/$B$2)*$N$2*6</f>
        <v>39.794062180817278</v>
      </c>
      <c r="O178" s="249">
        <f t="shared" ref="O178:O196" si="161">+(K178/$B$2)*$O$2*6</f>
        <v>49.466628287241164</v>
      </c>
      <c r="P178" s="249">
        <f t="shared" ref="P178:P196" si="162">+(K178/$B$2)*$P$2*6</f>
        <v>71.884153099677064</v>
      </c>
      <c r="Q178" s="249">
        <f t="shared" ref="Q178:Q196" si="163">+(K178/$B$2)*$Q$2*6</f>
        <v>78.283529932377263</v>
      </c>
      <c r="R178" s="249">
        <f t="shared" ref="R178:R196" si="164">+(K178/$B$2)*$R$2*6</f>
        <v>98.202846145284013</v>
      </c>
      <c r="S178" s="249">
        <f t="shared" ref="S178:S196" si="165">+(K178/$B$2)*$S$2*6</f>
        <v>103.21785972378527</v>
      </c>
      <c r="T178" s="249">
        <f t="shared" ref="T178:T196" si="166">+(K178/$B$2)*$T$2*6</f>
        <v>122.24720800086516</v>
      </c>
      <c r="U178" s="249" t="e">
        <f t="shared" ref="U178:U196" si="167">+(K178/$B$2)*$U$2*6</f>
        <v>#REF!</v>
      </c>
      <c r="V178" s="251">
        <f t="shared" ref="V178:V196" si="168">+(K178/$B$2)*$V$2*6</f>
        <v>0</v>
      </c>
    </row>
    <row r="179" spans="1:22" x14ac:dyDescent="0.3">
      <c r="A179" s="1025"/>
      <c r="B179" s="237">
        <v>1</v>
      </c>
      <c r="C179" s="247">
        <v>900</v>
      </c>
      <c r="D179" s="51"/>
      <c r="E179" s="247">
        <f t="shared" si="155"/>
        <v>74.97</v>
      </c>
      <c r="F179" s="247">
        <f t="shared" si="141"/>
        <v>32.833333333333336</v>
      </c>
      <c r="G179" s="247">
        <f t="shared" si="156"/>
        <v>75</v>
      </c>
      <c r="H179" s="247">
        <f t="shared" si="157"/>
        <v>100.35000000000001</v>
      </c>
      <c r="I179" s="247">
        <f t="shared" si="158"/>
        <v>1183.1533333333332</v>
      </c>
      <c r="J179" s="247"/>
      <c r="K179" s="359">
        <f t="shared" si="139"/>
        <v>1183.1533333333332</v>
      </c>
      <c r="L179" s="351"/>
      <c r="M179" s="345">
        <f t="shared" si="159"/>
        <v>15.030531441880157</v>
      </c>
      <c r="N179" s="249">
        <f t="shared" si="160"/>
        <v>43.558480118568703</v>
      </c>
      <c r="O179" s="249">
        <f t="shared" si="161"/>
        <v>54.146046588354849</v>
      </c>
      <c r="P179" s="249">
        <f t="shared" si="162"/>
        <v>78.684212720102977</v>
      </c>
      <c r="Q179" s="249">
        <f t="shared" si="163"/>
        <v>85.688954464532642</v>
      </c>
      <c r="R179" s="249">
        <f t="shared" si="164"/>
        <v>107.49258776270935</v>
      </c>
      <c r="S179" s="249">
        <f t="shared" si="165"/>
        <v>112.9820089798979</v>
      </c>
      <c r="T179" s="249">
        <f t="shared" si="166"/>
        <v>133.81148561965824</v>
      </c>
      <c r="U179" s="249" t="e">
        <f t="shared" si="167"/>
        <v>#REF!</v>
      </c>
      <c r="V179" s="251">
        <f t="shared" si="168"/>
        <v>0</v>
      </c>
    </row>
    <row r="180" spans="1:22" x14ac:dyDescent="0.3">
      <c r="A180" s="1025"/>
      <c r="B180" s="237">
        <v>1</v>
      </c>
      <c r="C180" s="247">
        <v>1350</v>
      </c>
      <c r="D180" s="51"/>
      <c r="E180" s="247">
        <f t="shared" si="155"/>
        <v>112.455</v>
      </c>
      <c r="F180" s="247">
        <f t="shared" si="141"/>
        <v>32.833333333333336</v>
      </c>
      <c r="G180" s="247">
        <f t="shared" si="156"/>
        <v>112.5</v>
      </c>
      <c r="H180" s="247">
        <f t="shared" si="157"/>
        <v>150.52500000000001</v>
      </c>
      <c r="I180" s="247">
        <f t="shared" si="158"/>
        <v>1758.3133333333333</v>
      </c>
      <c r="J180" s="247"/>
      <c r="K180" s="359">
        <f t="shared" si="139"/>
        <v>1758.3133333333333</v>
      </c>
      <c r="L180" s="351"/>
      <c r="M180" s="345">
        <f t="shared" si="159"/>
        <v>22.337243277577809</v>
      </c>
      <c r="N180" s="249">
        <f t="shared" si="160"/>
        <v>64.733331018420486</v>
      </c>
      <c r="O180" s="249">
        <f t="shared" si="161"/>
        <v>80.467774532119407</v>
      </c>
      <c r="P180" s="249">
        <f t="shared" si="162"/>
        <v>116.93454808499885</v>
      </c>
      <c r="Q180" s="249">
        <f t="shared" si="163"/>
        <v>127.3444674579068</v>
      </c>
      <c r="R180" s="249">
        <f t="shared" si="164"/>
        <v>159.74738436072701</v>
      </c>
      <c r="S180" s="249">
        <f t="shared" si="165"/>
        <v>167.90534854553164</v>
      </c>
      <c r="T180" s="249">
        <f t="shared" si="166"/>
        <v>198.86054722536952</v>
      </c>
      <c r="U180" s="249" t="e">
        <f t="shared" si="167"/>
        <v>#REF!</v>
      </c>
      <c r="V180" s="251">
        <f t="shared" si="168"/>
        <v>0</v>
      </c>
    </row>
    <row r="181" spans="1:22" x14ac:dyDescent="0.3">
      <c r="A181" s="1025"/>
      <c r="B181" s="237">
        <v>1</v>
      </c>
      <c r="C181" s="247">
        <v>1500</v>
      </c>
      <c r="D181" s="51"/>
      <c r="E181" s="247">
        <f t="shared" si="155"/>
        <v>124.95</v>
      </c>
      <c r="F181" s="247">
        <f t="shared" si="141"/>
        <v>32.833333333333336</v>
      </c>
      <c r="G181" s="247">
        <f t="shared" si="156"/>
        <v>125</v>
      </c>
      <c r="H181" s="247">
        <f t="shared" si="157"/>
        <v>167.25</v>
      </c>
      <c r="I181" s="247">
        <f t="shared" si="158"/>
        <v>1950.0333333333333</v>
      </c>
      <c r="J181" s="247"/>
      <c r="K181" s="359">
        <f t="shared" si="139"/>
        <v>1950.0333333333333</v>
      </c>
      <c r="L181" s="351"/>
      <c r="M181" s="345">
        <f t="shared" si="159"/>
        <v>24.772813889477025</v>
      </c>
      <c r="N181" s="249">
        <f t="shared" si="160"/>
        <v>71.791614651704407</v>
      </c>
      <c r="O181" s="249">
        <f t="shared" si="161"/>
        <v>89.241683846707588</v>
      </c>
      <c r="P181" s="249">
        <f t="shared" si="162"/>
        <v>129.68465987329748</v>
      </c>
      <c r="Q181" s="249">
        <f t="shared" si="163"/>
        <v>141.22963845569819</v>
      </c>
      <c r="R181" s="249">
        <f t="shared" si="164"/>
        <v>177.16564989339955</v>
      </c>
      <c r="S181" s="249">
        <f t="shared" si="165"/>
        <v>186.21312840074287</v>
      </c>
      <c r="T181" s="249">
        <f t="shared" si="166"/>
        <v>220.54356776060663</v>
      </c>
      <c r="U181" s="249" t="e">
        <f t="shared" si="167"/>
        <v>#REF!</v>
      </c>
      <c r="V181" s="251">
        <f t="shared" si="168"/>
        <v>0</v>
      </c>
    </row>
    <row r="182" spans="1:22" x14ac:dyDescent="0.3">
      <c r="A182" s="1025"/>
      <c r="B182" s="237">
        <v>1</v>
      </c>
      <c r="C182" s="247">
        <v>820</v>
      </c>
      <c r="D182" s="51"/>
      <c r="E182" s="247">
        <f t="shared" si="155"/>
        <v>68.305999999999997</v>
      </c>
      <c r="F182" s="247">
        <f t="shared" si="141"/>
        <v>32.833333333333336</v>
      </c>
      <c r="G182" s="247">
        <f t="shared" si="156"/>
        <v>68.333333333333329</v>
      </c>
      <c r="H182" s="247">
        <f t="shared" si="157"/>
        <v>91.43</v>
      </c>
      <c r="I182" s="247">
        <f t="shared" si="158"/>
        <v>1080.9026666666668</v>
      </c>
      <c r="J182" s="247"/>
      <c r="K182" s="359">
        <f t="shared" si="139"/>
        <v>1080.9026666666668</v>
      </c>
      <c r="L182" s="351"/>
      <c r="M182" s="345">
        <f t="shared" si="159"/>
        <v>13.731560448867246</v>
      </c>
      <c r="N182" s="249">
        <f t="shared" si="160"/>
        <v>39.794062180817278</v>
      </c>
      <c r="O182" s="249">
        <f t="shared" si="161"/>
        <v>49.466628287241164</v>
      </c>
      <c r="P182" s="249">
        <f t="shared" si="162"/>
        <v>71.884153099677064</v>
      </c>
      <c r="Q182" s="249">
        <f t="shared" si="163"/>
        <v>78.283529932377263</v>
      </c>
      <c r="R182" s="249">
        <f t="shared" si="164"/>
        <v>98.202846145284013</v>
      </c>
      <c r="S182" s="249">
        <f t="shared" si="165"/>
        <v>103.21785972378527</v>
      </c>
      <c r="T182" s="249">
        <f t="shared" si="166"/>
        <v>122.24720800086516</v>
      </c>
      <c r="U182" s="249" t="e">
        <f t="shared" si="167"/>
        <v>#REF!</v>
      </c>
      <c r="V182" s="251">
        <f t="shared" si="168"/>
        <v>0</v>
      </c>
    </row>
    <row r="183" spans="1:22" x14ac:dyDescent="0.3">
      <c r="A183" s="1025"/>
      <c r="B183" s="237">
        <v>1</v>
      </c>
      <c r="C183" s="247">
        <v>900</v>
      </c>
      <c r="D183" s="51"/>
      <c r="E183" s="247">
        <f t="shared" si="155"/>
        <v>74.97</v>
      </c>
      <c r="F183" s="247">
        <f t="shared" si="141"/>
        <v>32.833333333333336</v>
      </c>
      <c r="G183" s="247">
        <f t="shared" si="156"/>
        <v>75</v>
      </c>
      <c r="H183" s="247">
        <f t="shared" si="157"/>
        <v>100.35000000000001</v>
      </c>
      <c r="I183" s="247">
        <f t="shared" si="158"/>
        <v>1183.1533333333332</v>
      </c>
      <c r="J183" s="247"/>
      <c r="K183" s="359">
        <f t="shared" si="139"/>
        <v>1183.1533333333332</v>
      </c>
      <c r="L183" s="351"/>
      <c r="M183" s="345">
        <f t="shared" si="159"/>
        <v>15.030531441880157</v>
      </c>
      <c r="N183" s="249">
        <f t="shared" si="160"/>
        <v>43.558480118568703</v>
      </c>
      <c r="O183" s="249">
        <f t="shared" si="161"/>
        <v>54.146046588354849</v>
      </c>
      <c r="P183" s="249">
        <f t="shared" si="162"/>
        <v>78.684212720102977</v>
      </c>
      <c r="Q183" s="249">
        <f t="shared" si="163"/>
        <v>85.688954464532642</v>
      </c>
      <c r="R183" s="249">
        <f t="shared" si="164"/>
        <v>107.49258776270935</v>
      </c>
      <c r="S183" s="249">
        <f t="shared" si="165"/>
        <v>112.9820089798979</v>
      </c>
      <c r="T183" s="249">
        <f t="shared" si="166"/>
        <v>133.81148561965824</v>
      </c>
      <c r="U183" s="249" t="e">
        <f t="shared" si="167"/>
        <v>#REF!</v>
      </c>
      <c r="V183" s="251">
        <f t="shared" si="168"/>
        <v>0</v>
      </c>
    </row>
    <row r="184" spans="1:22" x14ac:dyDescent="0.3">
      <c r="A184" s="1025"/>
      <c r="B184" s="237">
        <v>1</v>
      </c>
      <c r="C184" s="247">
        <v>1350.4</v>
      </c>
      <c r="D184" s="51"/>
      <c r="E184" s="247">
        <f t="shared" si="155"/>
        <v>112.48832</v>
      </c>
      <c r="F184" s="247">
        <f t="shared" si="141"/>
        <v>32.833333333333336</v>
      </c>
      <c r="G184" s="247">
        <f t="shared" si="156"/>
        <v>112.53333333333335</v>
      </c>
      <c r="H184" s="247">
        <f t="shared" si="157"/>
        <v>150.56960000000001</v>
      </c>
      <c r="I184" s="247">
        <f t="shared" si="158"/>
        <v>1758.8245866666666</v>
      </c>
      <c r="J184" s="247"/>
      <c r="K184" s="359">
        <f t="shared" si="139"/>
        <v>1758.8245866666666</v>
      </c>
      <c r="L184" s="351"/>
      <c r="M184" s="345">
        <f t="shared" si="159"/>
        <v>22.343738132542875</v>
      </c>
      <c r="N184" s="249">
        <f t="shared" si="160"/>
        <v>64.752153108109255</v>
      </c>
      <c r="O184" s="249">
        <f t="shared" si="161"/>
        <v>80.491171623624979</v>
      </c>
      <c r="P184" s="249">
        <f t="shared" si="162"/>
        <v>116.96854838310098</v>
      </c>
      <c r="Q184" s="249">
        <f t="shared" si="163"/>
        <v>127.38149458056758</v>
      </c>
      <c r="R184" s="249">
        <f t="shared" si="164"/>
        <v>159.79383306881414</v>
      </c>
      <c r="S184" s="249">
        <f t="shared" si="165"/>
        <v>167.95416929181221</v>
      </c>
      <c r="T184" s="249">
        <f t="shared" si="166"/>
        <v>198.91836861346349</v>
      </c>
      <c r="U184" s="249" t="e">
        <f t="shared" si="167"/>
        <v>#REF!</v>
      </c>
      <c r="V184" s="251">
        <f t="shared" si="168"/>
        <v>0</v>
      </c>
    </row>
    <row r="185" spans="1:22" x14ac:dyDescent="0.3">
      <c r="A185" s="1025"/>
      <c r="B185" s="237">
        <v>1</v>
      </c>
      <c r="C185" s="247">
        <v>820</v>
      </c>
      <c r="D185" s="51"/>
      <c r="E185" s="247">
        <f t="shared" si="155"/>
        <v>68.305999999999997</v>
      </c>
      <c r="F185" s="247">
        <f t="shared" si="141"/>
        <v>32.833333333333336</v>
      </c>
      <c r="G185" s="247">
        <f t="shared" si="156"/>
        <v>68.333333333333329</v>
      </c>
      <c r="H185" s="247">
        <f t="shared" si="157"/>
        <v>91.43</v>
      </c>
      <c r="I185" s="247">
        <f t="shared" si="158"/>
        <v>1080.9026666666668</v>
      </c>
      <c r="J185" s="247"/>
      <c r="K185" s="359">
        <f t="shared" si="139"/>
        <v>1080.9026666666668</v>
      </c>
      <c r="L185" s="351"/>
      <c r="M185" s="345">
        <f t="shared" si="159"/>
        <v>13.731560448867246</v>
      </c>
      <c r="N185" s="249">
        <f t="shared" si="160"/>
        <v>39.794062180817278</v>
      </c>
      <c r="O185" s="249">
        <f t="shared" si="161"/>
        <v>49.466628287241164</v>
      </c>
      <c r="P185" s="249">
        <f t="shared" si="162"/>
        <v>71.884153099677064</v>
      </c>
      <c r="Q185" s="249">
        <f t="shared" si="163"/>
        <v>78.283529932377263</v>
      </c>
      <c r="R185" s="249">
        <f t="shared" si="164"/>
        <v>98.202846145284013</v>
      </c>
      <c r="S185" s="249">
        <f t="shared" si="165"/>
        <v>103.21785972378527</v>
      </c>
      <c r="T185" s="249">
        <f t="shared" si="166"/>
        <v>122.24720800086516</v>
      </c>
      <c r="U185" s="249" t="e">
        <f t="shared" si="167"/>
        <v>#REF!</v>
      </c>
      <c r="V185" s="251">
        <f t="shared" si="168"/>
        <v>0</v>
      </c>
    </row>
    <row r="186" spans="1:22" x14ac:dyDescent="0.3">
      <c r="A186" s="1025"/>
      <c r="B186" s="237">
        <v>1</v>
      </c>
      <c r="C186" s="247">
        <v>900</v>
      </c>
      <c r="D186" s="51"/>
      <c r="E186" s="247">
        <f t="shared" si="155"/>
        <v>74.97</v>
      </c>
      <c r="F186" s="247">
        <f t="shared" si="141"/>
        <v>32.833333333333336</v>
      </c>
      <c r="G186" s="247">
        <f t="shared" si="156"/>
        <v>75</v>
      </c>
      <c r="H186" s="247">
        <f t="shared" si="157"/>
        <v>100.35000000000001</v>
      </c>
      <c r="I186" s="247">
        <f t="shared" si="158"/>
        <v>1183.1533333333332</v>
      </c>
      <c r="J186" s="247"/>
      <c r="K186" s="359">
        <f t="shared" si="139"/>
        <v>1183.1533333333332</v>
      </c>
      <c r="L186" s="351"/>
      <c r="M186" s="345">
        <f t="shared" si="159"/>
        <v>15.030531441880157</v>
      </c>
      <c r="N186" s="249">
        <f t="shared" si="160"/>
        <v>43.558480118568703</v>
      </c>
      <c r="O186" s="249">
        <f t="shared" si="161"/>
        <v>54.146046588354849</v>
      </c>
      <c r="P186" s="249">
        <f t="shared" si="162"/>
        <v>78.684212720102977</v>
      </c>
      <c r="Q186" s="249">
        <f t="shared" si="163"/>
        <v>85.688954464532642</v>
      </c>
      <c r="R186" s="249">
        <f t="shared" si="164"/>
        <v>107.49258776270935</v>
      </c>
      <c r="S186" s="249">
        <f t="shared" si="165"/>
        <v>112.9820089798979</v>
      </c>
      <c r="T186" s="249">
        <f t="shared" si="166"/>
        <v>133.81148561965824</v>
      </c>
      <c r="U186" s="249" t="e">
        <f t="shared" si="167"/>
        <v>#REF!</v>
      </c>
      <c r="V186" s="251">
        <f t="shared" si="168"/>
        <v>0</v>
      </c>
    </row>
    <row r="187" spans="1:22" x14ac:dyDescent="0.3">
      <c r="A187" s="1025"/>
      <c r="B187" s="237">
        <v>1</v>
      </c>
      <c r="C187" s="247">
        <v>900</v>
      </c>
      <c r="D187" s="51"/>
      <c r="E187" s="247">
        <f t="shared" si="155"/>
        <v>74.97</v>
      </c>
      <c r="F187" s="247">
        <f t="shared" si="141"/>
        <v>32.833333333333336</v>
      </c>
      <c r="G187" s="247">
        <f t="shared" si="156"/>
        <v>75</v>
      </c>
      <c r="H187" s="247">
        <f t="shared" si="157"/>
        <v>100.35000000000001</v>
      </c>
      <c r="I187" s="247">
        <f t="shared" si="158"/>
        <v>1183.1533333333332</v>
      </c>
      <c r="J187" s="247"/>
      <c r="K187" s="359">
        <f t="shared" si="139"/>
        <v>1183.1533333333332</v>
      </c>
      <c r="L187" s="351"/>
      <c r="M187" s="345">
        <f t="shared" si="159"/>
        <v>15.030531441880157</v>
      </c>
      <c r="N187" s="249">
        <f t="shared" si="160"/>
        <v>43.558480118568703</v>
      </c>
      <c r="O187" s="249">
        <f t="shared" si="161"/>
        <v>54.146046588354849</v>
      </c>
      <c r="P187" s="249">
        <f t="shared" si="162"/>
        <v>78.684212720102977</v>
      </c>
      <c r="Q187" s="249">
        <f t="shared" si="163"/>
        <v>85.688954464532642</v>
      </c>
      <c r="R187" s="249">
        <f t="shared" si="164"/>
        <v>107.49258776270935</v>
      </c>
      <c r="S187" s="249">
        <f t="shared" si="165"/>
        <v>112.9820089798979</v>
      </c>
      <c r="T187" s="249">
        <f t="shared" si="166"/>
        <v>133.81148561965824</v>
      </c>
      <c r="U187" s="249" t="e">
        <f t="shared" si="167"/>
        <v>#REF!</v>
      </c>
      <c r="V187" s="251">
        <f t="shared" si="168"/>
        <v>0</v>
      </c>
    </row>
    <row r="188" spans="1:22" x14ac:dyDescent="0.3">
      <c r="A188" s="1025"/>
      <c r="B188" s="237">
        <v>1</v>
      </c>
      <c r="C188" s="247">
        <v>2000</v>
      </c>
      <c r="D188" s="51"/>
      <c r="E188" s="247">
        <f t="shared" si="155"/>
        <v>166.6</v>
      </c>
      <c r="F188" s="247">
        <f t="shared" si="141"/>
        <v>32.833333333333336</v>
      </c>
      <c r="G188" s="247">
        <f t="shared" si="156"/>
        <v>166.66666666666666</v>
      </c>
      <c r="H188" s="247">
        <f t="shared" si="157"/>
        <v>223</v>
      </c>
      <c r="I188" s="247">
        <f t="shared" si="158"/>
        <v>2589.1</v>
      </c>
      <c r="J188" s="247"/>
      <c r="K188" s="359">
        <f t="shared" si="139"/>
        <v>2589.1</v>
      </c>
      <c r="L188" s="351"/>
      <c r="M188" s="345">
        <f t="shared" si="159"/>
        <v>32.891382595807748</v>
      </c>
      <c r="N188" s="249">
        <f t="shared" si="160"/>
        <v>95.319226762650857</v>
      </c>
      <c r="O188" s="249">
        <f t="shared" si="161"/>
        <v>118.48804822866822</v>
      </c>
      <c r="P188" s="249">
        <f t="shared" si="162"/>
        <v>172.18503250095955</v>
      </c>
      <c r="Q188" s="249">
        <f t="shared" si="163"/>
        <v>187.51354178166946</v>
      </c>
      <c r="R188" s="249">
        <f t="shared" si="164"/>
        <v>235.22653500230808</v>
      </c>
      <c r="S188" s="249">
        <f t="shared" si="165"/>
        <v>247.23906125144703</v>
      </c>
      <c r="T188" s="249">
        <f t="shared" si="166"/>
        <v>292.82030287806356</v>
      </c>
      <c r="U188" s="249" t="e">
        <f t="shared" si="167"/>
        <v>#REF!</v>
      </c>
      <c r="V188" s="251">
        <f t="shared" si="168"/>
        <v>0</v>
      </c>
    </row>
    <row r="189" spans="1:22" x14ac:dyDescent="0.3">
      <c r="A189" s="1025"/>
      <c r="B189" s="237">
        <v>1</v>
      </c>
      <c r="C189" s="247">
        <v>900</v>
      </c>
      <c r="D189" s="51"/>
      <c r="E189" s="247">
        <f t="shared" si="155"/>
        <v>74.97</v>
      </c>
      <c r="F189" s="247">
        <f t="shared" si="141"/>
        <v>32.833333333333336</v>
      </c>
      <c r="G189" s="247">
        <f t="shared" si="156"/>
        <v>75</v>
      </c>
      <c r="H189" s="247">
        <f t="shared" si="157"/>
        <v>100.35000000000001</v>
      </c>
      <c r="I189" s="247">
        <f t="shared" si="158"/>
        <v>1183.1533333333332</v>
      </c>
      <c r="J189" s="247"/>
      <c r="K189" s="359">
        <f t="shared" si="139"/>
        <v>1183.1533333333332</v>
      </c>
      <c r="L189" s="351"/>
      <c r="M189" s="345">
        <f t="shared" si="159"/>
        <v>15.030531441880157</v>
      </c>
      <c r="N189" s="249">
        <f t="shared" si="160"/>
        <v>43.558480118568703</v>
      </c>
      <c r="O189" s="249">
        <f t="shared" si="161"/>
        <v>54.146046588354849</v>
      </c>
      <c r="P189" s="249">
        <f t="shared" si="162"/>
        <v>78.684212720102977</v>
      </c>
      <c r="Q189" s="249">
        <f t="shared" si="163"/>
        <v>85.688954464532642</v>
      </c>
      <c r="R189" s="249">
        <f t="shared" si="164"/>
        <v>107.49258776270935</v>
      </c>
      <c r="S189" s="249">
        <f t="shared" si="165"/>
        <v>112.9820089798979</v>
      </c>
      <c r="T189" s="249">
        <f t="shared" si="166"/>
        <v>133.81148561965824</v>
      </c>
      <c r="U189" s="249" t="e">
        <f t="shared" si="167"/>
        <v>#REF!</v>
      </c>
      <c r="V189" s="251">
        <f t="shared" si="168"/>
        <v>0</v>
      </c>
    </row>
    <row r="190" spans="1:22" x14ac:dyDescent="0.3">
      <c r="A190" s="1025"/>
      <c r="B190" s="237">
        <v>1</v>
      </c>
      <c r="C190" s="247">
        <v>900</v>
      </c>
      <c r="D190" s="51"/>
      <c r="E190" s="247">
        <f t="shared" si="155"/>
        <v>74.97</v>
      </c>
      <c r="F190" s="247">
        <f t="shared" si="141"/>
        <v>32.833333333333336</v>
      </c>
      <c r="G190" s="247">
        <f t="shared" si="156"/>
        <v>75</v>
      </c>
      <c r="H190" s="247">
        <f t="shared" si="157"/>
        <v>100.35000000000001</v>
      </c>
      <c r="I190" s="247">
        <f t="shared" si="158"/>
        <v>1183.1533333333332</v>
      </c>
      <c r="J190" s="247"/>
      <c r="K190" s="359">
        <f t="shared" si="139"/>
        <v>1183.1533333333332</v>
      </c>
      <c r="L190" s="351"/>
      <c r="M190" s="345">
        <f t="shared" si="159"/>
        <v>15.030531441880157</v>
      </c>
      <c r="N190" s="249">
        <f t="shared" si="160"/>
        <v>43.558480118568703</v>
      </c>
      <c r="O190" s="249">
        <f t="shared" si="161"/>
        <v>54.146046588354849</v>
      </c>
      <c r="P190" s="249">
        <f t="shared" si="162"/>
        <v>78.684212720102977</v>
      </c>
      <c r="Q190" s="249">
        <f t="shared" si="163"/>
        <v>85.688954464532642</v>
      </c>
      <c r="R190" s="249">
        <f t="shared" si="164"/>
        <v>107.49258776270935</v>
      </c>
      <c r="S190" s="249">
        <f t="shared" si="165"/>
        <v>112.9820089798979</v>
      </c>
      <c r="T190" s="249">
        <f t="shared" si="166"/>
        <v>133.81148561965824</v>
      </c>
      <c r="U190" s="249" t="e">
        <f t="shared" si="167"/>
        <v>#REF!</v>
      </c>
      <c r="V190" s="251">
        <f t="shared" si="168"/>
        <v>0</v>
      </c>
    </row>
    <row r="191" spans="1:22" x14ac:dyDescent="0.3">
      <c r="A191" s="1025"/>
      <c r="B191" s="237">
        <v>1</v>
      </c>
      <c r="C191" s="247">
        <v>900</v>
      </c>
      <c r="D191" s="51"/>
      <c r="E191" s="247">
        <f t="shared" si="155"/>
        <v>74.97</v>
      </c>
      <c r="F191" s="247">
        <f t="shared" si="141"/>
        <v>32.833333333333336</v>
      </c>
      <c r="G191" s="247">
        <f t="shared" si="156"/>
        <v>75</v>
      </c>
      <c r="H191" s="247">
        <f t="shared" si="157"/>
        <v>100.35000000000001</v>
      </c>
      <c r="I191" s="247">
        <f t="shared" si="158"/>
        <v>1183.1533333333332</v>
      </c>
      <c r="J191" s="247"/>
      <c r="K191" s="359">
        <f t="shared" si="139"/>
        <v>1183.1533333333332</v>
      </c>
      <c r="L191" s="351"/>
      <c r="M191" s="345">
        <f t="shared" si="159"/>
        <v>15.030531441880157</v>
      </c>
      <c r="N191" s="249">
        <f t="shared" si="160"/>
        <v>43.558480118568703</v>
      </c>
      <c r="O191" s="249">
        <f t="shared" si="161"/>
        <v>54.146046588354849</v>
      </c>
      <c r="P191" s="249">
        <f t="shared" si="162"/>
        <v>78.684212720102977</v>
      </c>
      <c r="Q191" s="249">
        <f t="shared" si="163"/>
        <v>85.688954464532642</v>
      </c>
      <c r="R191" s="249">
        <f t="shared" si="164"/>
        <v>107.49258776270935</v>
      </c>
      <c r="S191" s="249">
        <f t="shared" si="165"/>
        <v>112.9820089798979</v>
      </c>
      <c r="T191" s="249">
        <f t="shared" si="166"/>
        <v>133.81148561965824</v>
      </c>
      <c r="U191" s="249" t="e">
        <f t="shared" si="167"/>
        <v>#REF!</v>
      </c>
      <c r="V191" s="251">
        <f t="shared" si="168"/>
        <v>0</v>
      </c>
    </row>
    <row r="192" spans="1:22" x14ac:dyDescent="0.3">
      <c r="A192" s="1025"/>
      <c r="B192" s="237"/>
      <c r="C192" s="247"/>
      <c r="D192" s="51"/>
      <c r="E192" s="247">
        <f t="shared" si="155"/>
        <v>0</v>
      </c>
      <c r="F192" s="247"/>
      <c r="G192" s="247">
        <f t="shared" si="156"/>
        <v>0</v>
      </c>
      <c r="H192" s="247">
        <f t="shared" si="157"/>
        <v>0</v>
      </c>
      <c r="I192" s="247">
        <f t="shared" si="158"/>
        <v>0</v>
      </c>
      <c r="J192" s="247"/>
      <c r="K192" s="359">
        <f t="shared" si="139"/>
        <v>0</v>
      </c>
      <c r="L192" s="351"/>
      <c r="M192" s="345">
        <f t="shared" si="159"/>
        <v>0</v>
      </c>
      <c r="N192" s="249">
        <f t="shared" si="160"/>
        <v>0</v>
      </c>
      <c r="O192" s="249">
        <f t="shared" si="161"/>
        <v>0</v>
      </c>
      <c r="P192" s="249">
        <f t="shared" si="162"/>
        <v>0</v>
      </c>
      <c r="Q192" s="249">
        <f t="shared" si="163"/>
        <v>0</v>
      </c>
      <c r="R192" s="249">
        <f t="shared" si="164"/>
        <v>0</v>
      </c>
      <c r="S192" s="249">
        <f t="shared" si="165"/>
        <v>0</v>
      </c>
      <c r="T192" s="249">
        <f t="shared" si="166"/>
        <v>0</v>
      </c>
      <c r="U192" s="249" t="e">
        <f t="shared" si="167"/>
        <v>#REF!</v>
      </c>
      <c r="V192" s="251">
        <f t="shared" si="168"/>
        <v>0</v>
      </c>
    </row>
    <row r="193" spans="1:22" x14ac:dyDescent="0.3">
      <c r="A193" s="1025"/>
      <c r="B193" s="237"/>
      <c r="C193" s="247"/>
      <c r="D193" s="51"/>
      <c r="E193" s="247">
        <f t="shared" si="155"/>
        <v>0</v>
      </c>
      <c r="F193" s="247"/>
      <c r="G193" s="247">
        <f t="shared" si="156"/>
        <v>0</v>
      </c>
      <c r="H193" s="247">
        <f t="shared" si="157"/>
        <v>0</v>
      </c>
      <c r="I193" s="247">
        <f t="shared" si="158"/>
        <v>0</v>
      </c>
      <c r="J193" s="247"/>
      <c r="K193" s="359">
        <f t="shared" si="139"/>
        <v>0</v>
      </c>
      <c r="L193" s="351"/>
      <c r="M193" s="345">
        <f t="shared" si="159"/>
        <v>0</v>
      </c>
      <c r="N193" s="249">
        <f t="shared" si="160"/>
        <v>0</v>
      </c>
      <c r="O193" s="249">
        <f t="shared" si="161"/>
        <v>0</v>
      </c>
      <c r="P193" s="249">
        <f t="shared" si="162"/>
        <v>0</v>
      </c>
      <c r="Q193" s="249">
        <f t="shared" si="163"/>
        <v>0</v>
      </c>
      <c r="R193" s="249">
        <f t="shared" si="164"/>
        <v>0</v>
      </c>
      <c r="S193" s="249">
        <f t="shared" si="165"/>
        <v>0</v>
      </c>
      <c r="T193" s="249">
        <f t="shared" si="166"/>
        <v>0</v>
      </c>
      <c r="U193" s="249" t="e">
        <f t="shared" si="167"/>
        <v>#REF!</v>
      </c>
      <c r="V193" s="251">
        <f t="shared" si="168"/>
        <v>0</v>
      </c>
    </row>
    <row r="194" spans="1:22" x14ac:dyDescent="0.3">
      <c r="A194" s="1025"/>
      <c r="B194" s="237"/>
      <c r="C194" s="247"/>
      <c r="D194" s="51"/>
      <c r="E194" s="247">
        <f t="shared" si="155"/>
        <v>0</v>
      </c>
      <c r="F194" s="247"/>
      <c r="G194" s="247">
        <f t="shared" si="156"/>
        <v>0</v>
      </c>
      <c r="H194" s="247">
        <f t="shared" si="157"/>
        <v>0</v>
      </c>
      <c r="I194" s="247">
        <f t="shared" si="158"/>
        <v>0</v>
      </c>
      <c r="J194" s="247"/>
      <c r="K194" s="359">
        <f t="shared" si="139"/>
        <v>0</v>
      </c>
      <c r="L194" s="351"/>
      <c r="M194" s="345">
        <f t="shared" si="159"/>
        <v>0</v>
      </c>
      <c r="N194" s="249">
        <f t="shared" si="160"/>
        <v>0</v>
      </c>
      <c r="O194" s="249">
        <f t="shared" si="161"/>
        <v>0</v>
      </c>
      <c r="P194" s="249">
        <f t="shared" si="162"/>
        <v>0</v>
      </c>
      <c r="Q194" s="249">
        <f t="shared" si="163"/>
        <v>0</v>
      </c>
      <c r="R194" s="249">
        <f t="shared" si="164"/>
        <v>0</v>
      </c>
      <c r="S194" s="249">
        <f t="shared" si="165"/>
        <v>0</v>
      </c>
      <c r="T194" s="249">
        <f t="shared" si="166"/>
        <v>0</v>
      </c>
      <c r="U194" s="249" t="e">
        <f t="shared" si="167"/>
        <v>#REF!</v>
      </c>
      <c r="V194" s="251">
        <f t="shared" si="168"/>
        <v>0</v>
      </c>
    </row>
    <row r="195" spans="1:22" x14ac:dyDescent="0.3">
      <c r="A195" s="1025"/>
      <c r="B195" s="237"/>
      <c r="C195" s="247"/>
      <c r="D195" s="51"/>
      <c r="E195" s="247">
        <f t="shared" si="155"/>
        <v>0</v>
      </c>
      <c r="F195" s="247"/>
      <c r="G195" s="247">
        <f t="shared" si="156"/>
        <v>0</v>
      </c>
      <c r="H195" s="247">
        <f t="shared" si="157"/>
        <v>0</v>
      </c>
      <c r="I195" s="247">
        <f t="shared" si="158"/>
        <v>0</v>
      </c>
      <c r="J195" s="247"/>
      <c r="K195" s="359">
        <f t="shared" si="139"/>
        <v>0</v>
      </c>
      <c r="L195" s="351"/>
      <c r="M195" s="345">
        <f t="shared" si="159"/>
        <v>0</v>
      </c>
      <c r="N195" s="249">
        <f t="shared" si="160"/>
        <v>0</v>
      </c>
      <c r="O195" s="249">
        <f t="shared" si="161"/>
        <v>0</v>
      </c>
      <c r="P195" s="249">
        <f t="shared" si="162"/>
        <v>0</v>
      </c>
      <c r="Q195" s="249">
        <f t="shared" si="163"/>
        <v>0</v>
      </c>
      <c r="R195" s="249">
        <f t="shared" si="164"/>
        <v>0</v>
      </c>
      <c r="S195" s="249">
        <f t="shared" si="165"/>
        <v>0</v>
      </c>
      <c r="T195" s="249">
        <f t="shared" si="166"/>
        <v>0</v>
      </c>
      <c r="U195" s="249" t="e">
        <f t="shared" si="167"/>
        <v>#REF!</v>
      </c>
      <c r="V195" s="251">
        <f t="shared" si="168"/>
        <v>0</v>
      </c>
    </row>
    <row r="196" spans="1:22" ht="10.8" thickBot="1" x14ac:dyDescent="0.35">
      <c r="A196" s="1026"/>
      <c r="B196" s="239"/>
      <c r="C196" s="233"/>
      <c r="D196" s="139"/>
      <c r="E196" s="233">
        <f t="shared" si="155"/>
        <v>0</v>
      </c>
      <c r="F196" s="233"/>
      <c r="G196" s="233">
        <f t="shared" si="156"/>
        <v>0</v>
      </c>
      <c r="H196" s="233">
        <f t="shared" si="157"/>
        <v>0</v>
      </c>
      <c r="I196" s="233">
        <f t="shared" si="158"/>
        <v>0</v>
      </c>
      <c r="J196" s="233"/>
      <c r="K196" s="360">
        <f t="shared" si="139"/>
        <v>0</v>
      </c>
      <c r="L196" s="351"/>
      <c r="M196" s="364">
        <f t="shared" si="159"/>
        <v>0</v>
      </c>
      <c r="N196" s="363">
        <f t="shared" si="160"/>
        <v>0</v>
      </c>
      <c r="O196" s="363">
        <f t="shared" si="161"/>
        <v>0</v>
      </c>
      <c r="P196" s="363">
        <f t="shared" si="162"/>
        <v>0</v>
      </c>
      <c r="Q196" s="363">
        <f t="shared" si="163"/>
        <v>0</v>
      </c>
      <c r="R196" s="363">
        <f t="shared" si="164"/>
        <v>0</v>
      </c>
      <c r="S196" s="363">
        <f t="shared" si="165"/>
        <v>0</v>
      </c>
      <c r="T196" s="363">
        <f t="shared" si="166"/>
        <v>0</v>
      </c>
      <c r="U196" s="363" t="e">
        <f t="shared" si="167"/>
        <v>#REF!</v>
      </c>
      <c r="V196" s="365">
        <f t="shared" si="168"/>
        <v>0</v>
      </c>
    </row>
    <row r="197" spans="1:22" x14ac:dyDescent="0.3">
      <c r="A197" s="1024" t="s">
        <v>248</v>
      </c>
      <c r="B197" s="236">
        <v>1</v>
      </c>
      <c r="C197" s="245">
        <v>2150.4</v>
      </c>
      <c r="D197" s="255"/>
      <c r="E197" s="247">
        <f t="shared" ref="E197:E207" si="169">+C197*0.0833</f>
        <v>179.12832</v>
      </c>
      <c r="F197" s="247">
        <f>(394/12)</f>
        <v>32.833333333333336</v>
      </c>
      <c r="G197" s="247">
        <f t="shared" ref="G197:G207" si="170">+C197/12</f>
        <v>179.20000000000002</v>
      </c>
      <c r="H197" s="247">
        <f t="shared" ref="H197:H207" si="171">+C197*0.1115</f>
        <v>239.76960000000003</v>
      </c>
      <c r="I197" s="247">
        <f t="shared" ref="I197:I207" si="172">SUM(C197:H197)</f>
        <v>2781.3312533333333</v>
      </c>
      <c r="J197" s="247"/>
      <c r="K197" s="359">
        <f t="shared" ref="K197:K207" si="173">SUM(I197:J197)</f>
        <v>2781.3312533333333</v>
      </c>
      <c r="L197" s="351"/>
      <c r="M197" s="366">
        <f>+(K197/$B$2)*$M$2*6</f>
        <v>35.333448062672026</v>
      </c>
      <c r="N197" s="245">
        <f>+(K197/$B$2)*$N$2*6</f>
        <v>102.39633248562353</v>
      </c>
      <c r="O197" s="245">
        <f>+(K197/$B$2)*$O$2*6</f>
        <v>127.28535463476197</v>
      </c>
      <c r="P197" s="245">
        <f>+(K197/$B$2)*$P$2*6</f>
        <v>184.96914458736032</v>
      </c>
      <c r="Q197" s="245">
        <f>+(K197/$B$2)*$Q$2*6</f>
        <v>201.43573990212161</v>
      </c>
      <c r="R197" s="245">
        <f>+(K197/$B$2)*$R$2*6</f>
        <v>252.69124924306774</v>
      </c>
      <c r="S197" s="245">
        <f>+(K197/$B$2)*$S$2*6</f>
        <v>265.59566185293886</v>
      </c>
      <c r="T197" s="245">
        <f>+(K197/$B$2)*$T$2*6</f>
        <v>314.56114480139468</v>
      </c>
      <c r="U197" s="245" t="e">
        <f>+(K197/$B$2)*$U$2*6</f>
        <v>#REF!</v>
      </c>
      <c r="V197" s="246">
        <f>+(K197/$B$2)*$V$2*6</f>
        <v>0</v>
      </c>
    </row>
    <row r="198" spans="1:22" x14ac:dyDescent="0.3">
      <c r="A198" s="1025"/>
      <c r="B198" s="237">
        <v>1</v>
      </c>
      <c r="C198" s="247">
        <v>800</v>
      </c>
      <c r="D198" s="51"/>
      <c r="E198" s="247">
        <f t="shared" si="169"/>
        <v>66.64</v>
      </c>
      <c r="F198" s="247">
        <f>(394/12)</f>
        <v>32.833333333333336</v>
      </c>
      <c r="G198" s="247">
        <f t="shared" si="170"/>
        <v>66.666666666666671</v>
      </c>
      <c r="H198" s="247">
        <f t="shared" si="171"/>
        <v>89.2</v>
      </c>
      <c r="I198" s="247">
        <f t="shared" si="172"/>
        <v>1055.3399999999999</v>
      </c>
      <c r="J198" s="247"/>
      <c r="K198" s="359">
        <f t="shared" si="173"/>
        <v>1055.3399999999999</v>
      </c>
      <c r="L198" s="351"/>
      <c r="M198" s="345">
        <f t="shared" ref="M198:M206" si="174">+(K198/$B$2)*$M$2*6</f>
        <v>13.406817700614017</v>
      </c>
      <c r="N198" s="249">
        <f t="shared" ref="N198:N206" si="175">+(K198/$B$2)*$N$2*6</f>
        <v>38.85295769637942</v>
      </c>
      <c r="O198" s="249">
        <f t="shared" ref="O198:O206" si="176">+(K198/$B$2)*$O$2*6</f>
        <v>48.296773711962729</v>
      </c>
      <c r="P198" s="249">
        <f t="shared" ref="P198:P206" si="177">+(K198/$B$2)*$P$2*6</f>
        <v>70.184138194570565</v>
      </c>
      <c r="Q198" s="249">
        <f t="shared" ref="Q198:Q206" si="178">+(K198/$B$2)*$Q$2*6</f>
        <v>76.432173799338386</v>
      </c>
      <c r="R198" s="249">
        <f t="shared" ref="R198:R206" si="179">+(K198/$B$2)*$R$2*6</f>
        <v>95.880410740927658</v>
      </c>
      <c r="S198" s="249">
        <f t="shared" ref="S198:S206" si="180">+(K198/$B$2)*$S$2*6</f>
        <v>100.77682240975707</v>
      </c>
      <c r="T198" s="249">
        <f t="shared" ref="T198:T206" si="181">+(K198/$B$2)*$T$2*6</f>
        <v>119.35613859616686</v>
      </c>
      <c r="U198" s="249" t="e">
        <f t="shared" ref="U198:U206" si="182">+(K198/$B$2)*$U$2*6</f>
        <v>#REF!</v>
      </c>
      <c r="V198" s="251">
        <f t="shared" ref="V198:V206" si="183">+(K198/$B$2)*$V$2*6</f>
        <v>0</v>
      </c>
    </row>
    <row r="199" spans="1:22" x14ac:dyDescent="0.3">
      <c r="A199" s="1025"/>
      <c r="B199" s="237">
        <v>1</v>
      </c>
      <c r="C199" s="247">
        <v>820</v>
      </c>
      <c r="D199" s="51"/>
      <c r="E199" s="247">
        <f t="shared" si="169"/>
        <v>68.305999999999997</v>
      </c>
      <c r="F199" s="247">
        <f>(394/12)</f>
        <v>32.833333333333336</v>
      </c>
      <c r="G199" s="247">
        <f t="shared" si="170"/>
        <v>68.333333333333329</v>
      </c>
      <c r="H199" s="247">
        <f t="shared" si="171"/>
        <v>91.43</v>
      </c>
      <c r="I199" s="247">
        <f t="shared" si="172"/>
        <v>1080.9026666666668</v>
      </c>
      <c r="J199" s="247"/>
      <c r="K199" s="359">
        <f t="shared" si="173"/>
        <v>1080.9026666666668</v>
      </c>
      <c r="L199" s="351"/>
      <c r="M199" s="345">
        <f t="shared" si="174"/>
        <v>13.731560448867246</v>
      </c>
      <c r="N199" s="249">
        <f t="shared" si="175"/>
        <v>39.794062180817278</v>
      </c>
      <c r="O199" s="249">
        <f t="shared" si="176"/>
        <v>49.466628287241164</v>
      </c>
      <c r="P199" s="249">
        <f t="shared" si="177"/>
        <v>71.884153099677064</v>
      </c>
      <c r="Q199" s="249">
        <f t="shared" si="178"/>
        <v>78.283529932377263</v>
      </c>
      <c r="R199" s="249">
        <f t="shared" si="179"/>
        <v>98.202846145284013</v>
      </c>
      <c r="S199" s="249">
        <f t="shared" si="180"/>
        <v>103.21785972378527</v>
      </c>
      <c r="T199" s="249">
        <f t="shared" si="181"/>
        <v>122.24720800086516</v>
      </c>
      <c r="U199" s="249" t="e">
        <f t="shared" si="182"/>
        <v>#REF!</v>
      </c>
      <c r="V199" s="251">
        <f t="shared" si="183"/>
        <v>0</v>
      </c>
    </row>
    <row r="200" spans="1:22" x14ac:dyDescent="0.3">
      <c r="A200" s="1025"/>
      <c r="B200" s="237">
        <v>1</v>
      </c>
      <c r="C200" s="247">
        <v>820</v>
      </c>
      <c r="D200" s="51"/>
      <c r="E200" s="247">
        <f t="shared" si="169"/>
        <v>68.305999999999997</v>
      </c>
      <c r="F200" s="247">
        <f>(394/12)</f>
        <v>32.833333333333336</v>
      </c>
      <c r="G200" s="247">
        <f t="shared" si="170"/>
        <v>68.333333333333329</v>
      </c>
      <c r="H200" s="247">
        <f t="shared" si="171"/>
        <v>91.43</v>
      </c>
      <c r="I200" s="247">
        <f t="shared" si="172"/>
        <v>1080.9026666666668</v>
      </c>
      <c r="J200" s="247"/>
      <c r="K200" s="359">
        <f t="shared" si="173"/>
        <v>1080.9026666666668</v>
      </c>
      <c r="L200" s="351"/>
      <c r="M200" s="345">
        <f t="shared" si="174"/>
        <v>13.731560448867246</v>
      </c>
      <c r="N200" s="249">
        <f t="shared" si="175"/>
        <v>39.794062180817278</v>
      </c>
      <c r="O200" s="249">
        <f t="shared" si="176"/>
        <v>49.466628287241164</v>
      </c>
      <c r="P200" s="249">
        <f t="shared" si="177"/>
        <v>71.884153099677064</v>
      </c>
      <c r="Q200" s="249">
        <f t="shared" si="178"/>
        <v>78.283529932377263</v>
      </c>
      <c r="R200" s="249">
        <f t="shared" si="179"/>
        <v>98.202846145284013</v>
      </c>
      <c r="S200" s="249">
        <f t="shared" si="180"/>
        <v>103.21785972378527</v>
      </c>
      <c r="T200" s="249">
        <f t="shared" si="181"/>
        <v>122.24720800086516</v>
      </c>
      <c r="U200" s="249" t="e">
        <f t="shared" si="182"/>
        <v>#REF!</v>
      </c>
      <c r="V200" s="251">
        <f t="shared" si="183"/>
        <v>0</v>
      </c>
    </row>
    <row r="201" spans="1:22" x14ac:dyDescent="0.3">
      <c r="A201" s="1025"/>
      <c r="B201" s="237"/>
      <c r="C201" s="247"/>
      <c r="D201" s="51"/>
      <c r="E201" s="247">
        <f t="shared" si="169"/>
        <v>0</v>
      </c>
      <c r="F201" s="247"/>
      <c r="G201" s="247">
        <f t="shared" si="170"/>
        <v>0</v>
      </c>
      <c r="H201" s="247">
        <f t="shared" si="171"/>
        <v>0</v>
      </c>
      <c r="I201" s="247">
        <f t="shared" si="172"/>
        <v>0</v>
      </c>
      <c r="J201" s="247"/>
      <c r="K201" s="359">
        <f t="shared" si="173"/>
        <v>0</v>
      </c>
      <c r="L201" s="351"/>
      <c r="M201" s="345">
        <f t="shared" si="174"/>
        <v>0</v>
      </c>
      <c r="N201" s="249">
        <f t="shared" si="175"/>
        <v>0</v>
      </c>
      <c r="O201" s="249">
        <f t="shared" si="176"/>
        <v>0</v>
      </c>
      <c r="P201" s="249">
        <f t="shared" si="177"/>
        <v>0</v>
      </c>
      <c r="Q201" s="249">
        <f t="shared" si="178"/>
        <v>0</v>
      </c>
      <c r="R201" s="249">
        <f t="shared" si="179"/>
        <v>0</v>
      </c>
      <c r="S201" s="249">
        <f t="shared" si="180"/>
        <v>0</v>
      </c>
      <c r="T201" s="249">
        <f t="shared" si="181"/>
        <v>0</v>
      </c>
      <c r="U201" s="249" t="e">
        <f t="shared" si="182"/>
        <v>#REF!</v>
      </c>
      <c r="V201" s="251">
        <f t="shared" si="183"/>
        <v>0</v>
      </c>
    </row>
    <row r="202" spans="1:22" x14ac:dyDescent="0.3">
      <c r="A202" s="1025"/>
      <c r="B202" s="237"/>
      <c r="C202" s="247"/>
      <c r="D202" s="51"/>
      <c r="E202" s="247">
        <f t="shared" si="169"/>
        <v>0</v>
      </c>
      <c r="F202" s="247"/>
      <c r="G202" s="247">
        <f t="shared" si="170"/>
        <v>0</v>
      </c>
      <c r="H202" s="247">
        <f t="shared" si="171"/>
        <v>0</v>
      </c>
      <c r="I202" s="247">
        <f t="shared" si="172"/>
        <v>0</v>
      </c>
      <c r="J202" s="247"/>
      <c r="K202" s="359">
        <f t="shared" si="173"/>
        <v>0</v>
      </c>
      <c r="L202" s="351"/>
      <c r="M202" s="345">
        <f t="shared" si="174"/>
        <v>0</v>
      </c>
      <c r="N202" s="249">
        <f t="shared" si="175"/>
        <v>0</v>
      </c>
      <c r="O202" s="249">
        <f t="shared" si="176"/>
        <v>0</v>
      </c>
      <c r="P202" s="249">
        <f t="shared" si="177"/>
        <v>0</v>
      </c>
      <c r="Q202" s="249">
        <f t="shared" si="178"/>
        <v>0</v>
      </c>
      <c r="R202" s="249">
        <f t="shared" si="179"/>
        <v>0</v>
      </c>
      <c r="S202" s="249">
        <f t="shared" si="180"/>
        <v>0</v>
      </c>
      <c r="T202" s="249">
        <f t="shared" si="181"/>
        <v>0</v>
      </c>
      <c r="U202" s="249" t="e">
        <f t="shared" si="182"/>
        <v>#REF!</v>
      </c>
      <c r="V202" s="251">
        <f t="shared" si="183"/>
        <v>0</v>
      </c>
    </row>
    <row r="203" spans="1:22" x14ac:dyDescent="0.3">
      <c r="A203" s="1025"/>
      <c r="B203" s="237"/>
      <c r="C203" s="247"/>
      <c r="D203" s="51"/>
      <c r="E203" s="247">
        <f t="shared" si="169"/>
        <v>0</v>
      </c>
      <c r="F203" s="247"/>
      <c r="G203" s="247">
        <f t="shared" si="170"/>
        <v>0</v>
      </c>
      <c r="H203" s="247">
        <f t="shared" si="171"/>
        <v>0</v>
      </c>
      <c r="I203" s="247">
        <f t="shared" si="172"/>
        <v>0</v>
      </c>
      <c r="J203" s="247"/>
      <c r="K203" s="359">
        <f t="shared" si="173"/>
        <v>0</v>
      </c>
      <c r="L203" s="351"/>
      <c r="M203" s="345">
        <f t="shared" si="174"/>
        <v>0</v>
      </c>
      <c r="N203" s="249">
        <f t="shared" si="175"/>
        <v>0</v>
      </c>
      <c r="O203" s="249">
        <f t="shared" si="176"/>
        <v>0</v>
      </c>
      <c r="P203" s="249">
        <f t="shared" si="177"/>
        <v>0</v>
      </c>
      <c r="Q203" s="249">
        <f t="shared" si="178"/>
        <v>0</v>
      </c>
      <c r="R203" s="249">
        <f t="shared" si="179"/>
        <v>0</v>
      </c>
      <c r="S203" s="249">
        <f t="shared" si="180"/>
        <v>0</v>
      </c>
      <c r="T203" s="249">
        <f t="shared" si="181"/>
        <v>0</v>
      </c>
      <c r="U203" s="249" t="e">
        <f t="shared" si="182"/>
        <v>#REF!</v>
      </c>
      <c r="V203" s="251">
        <f t="shared" si="183"/>
        <v>0</v>
      </c>
    </row>
    <row r="204" spans="1:22" x14ac:dyDescent="0.3">
      <c r="A204" s="1025"/>
      <c r="B204" s="237"/>
      <c r="C204" s="247"/>
      <c r="D204" s="51"/>
      <c r="E204" s="247">
        <f t="shared" si="169"/>
        <v>0</v>
      </c>
      <c r="F204" s="247"/>
      <c r="G204" s="247">
        <f t="shared" si="170"/>
        <v>0</v>
      </c>
      <c r="H204" s="247">
        <f t="shared" si="171"/>
        <v>0</v>
      </c>
      <c r="I204" s="247">
        <f t="shared" si="172"/>
        <v>0</v>
      </c>
      <c r="J204" s="247"/>
      <c r="K204" s="359">
        <f t="shared" si="173"/>
        <v>0</v>
      </c>
      <c r="L204" s="351"/>
      <c r="M204" s="345">
        <f t="shared" si="174"/>
        <v>0</v>
      </c>
      <c r="N204" s="249">
        <f t="shared" si="175"/>
        <v>0</v>
      </c>
      <c r="O204" s="249">
        <f t="shared" si="176"/>
        <v>0</v>
      </c>
      <c r="P204" s="249">
        <f t="shared" si="177"/>
        <v>0</v>
      </c>
      <c r="Q204" s="249">
        <f t="shared" si="178"/>
        <v>0</v>
      </c>
      <c r="R204" s="249">
        <f t="shared" si="179"/>
        <v>0</v>
      </c>
      <c r="S204" s="249">
        <f t="shared" si="180"/>
        <v>0</v>
      </c>
      <c r="T204" s="249">
        <f t="shared" si="181"/>
        <v>0</v>
      </c>
      <c r="U204" s="249" t="e">
        <f t="shared" si="182"/>
        <v>#REF!</v>
      </c>
      <c r="V204" s="251">
        <f t="shared" si="183"/>
        <v>0</v>
      </c>
    </row>
    <row r="205" spans="1:22" x14ac:dyDescent="0.3">
      <c r="A205" s="1025"/>
      <c r="B205" s="237"/>
      <c r="C205" s="247"/>
      <c r="D205" s="51"/>
      <c r="E205" s="247">
        <f t="shared" si="169"/>
        <v>0</v>
      </c>
      <c r="F205" s="247"/>
      <c r="G205" s="247">
        <f t="shared" si="170"/>
        <v>0</v>
      </c>
      <c r="H205" s="247">
        <f t="shared" si="171"/>
        <v>0</v>
      </c>
      <c r="I205" s="247">
        <f t="shared" si="172"/>
        <v>0</v>
      </c>
      <c r="J205" s="247"/>
      <c r="K205" s="359">
        <f t="shared" si="173"/>
        <v>0</v>
      </c>
      <c r="L205" s="351"/>
      <c r="M205" s="345">
        <f t="shared" si="174"/>
        <v>0</v>
      </c>
      <c r="N205" s="249">
        <f t="shared" si="175"/>
        <v>0</v>
      </c>
      <c r="O205" s="249">
        <f t="shared" si="176"/>
        <v>0</v>
      </c>
      <c r="P205" s="249">
        <f t="shared" si="177"/>
        <v>0</v>
      </c>
      <c r="Q205" s="249">
        <f t="shared" si="178"/>
        <v>0</v>
      </c>
      <c r="R205" s="249">
        <f t="shared" si="179"/>
        <v>0</v>
      </c>
      <c r="S205" s="249">
        <f t="shared" si="180"/>
        <v>0</v>
      </c>
      <c r="T205" s="249">
        <f t="shared" si="181"/>
        <v>0</v>
      </c>
      <c r="U205" s="249" t="e">
        <f t="shared" si="182"/>
        <v>#REF!</v>
      </c>
      <c r="V205" s="251">
        <f t="shared" si="183"/>
        <v>0</v>
      </c>
    </row>
    <row r="206" spans="1:22" x14ac:dyDescent="0.3">
      <c r="A206" s="1025"/>
      <c r="B206" s="237"/>
      <c r="C206" s="247"/>
      <c r="D206" s="51"/>
      <c r="E206" s="247">
        <f t="shared" si="169"/>
        <v>0</v>
      </c>
      <c r="F206" s="247"/>
      <c r="G206" s="247">
        <f t="shared" si="170"/>
        <v>0</v>
      </c>
      <c r="H206" s="247">
        <f t="shared" si="171"/>
        <v>0</v>
      </c>
      <c r="I206" s="247">
        <f t="shared" si="172"/>
        <v>0</v>
      </c>
      <c r="J206" s="247"/>
      <c r="K206" s="359">
        <f t="shared" si="173"/>
        <v>0</v>
      </c>
      <c r="L206" s="351"/>
      <c r="M206" s="345">
        <f t="shared" si="174"/>
        <v>0</v>
      </c>
      <c r="N206" s="249">
        <f t="shared" si="175"/>
        <v>0</v>
      </c>
      <c r="O206" s="249">
        <f t="shared" si="176"/>
        <v>0</v>
      </c>
      <c r="P206" s="249">
        <f t="shared" si="177"/>
        <v>0</v>
      </c>
      <c r="Q206" s="249">
        <f t="shared" si="178"/>
        <v>0</v>
      </c>
      <c r="R206" s="249">
        <f t="shared" si="179"/>
        <v>0</v>
      </c>
      <c r="S206" s="249">
        <f t="shared" si="180"/>
        <v>0</v>
      </c>
      <c r="T206" s="249">
        <f t="shared" si="181"/>
        <v>0</v>
      </c>
      <c r="U206" s="249" t="e">
        <f t="shared" si="182"/>
        <v>#REF!</v>
      </c>
      <c r="V206" s="251">
        <f t="shared" si="183"/>
        <v>0</v>
      </c>
    </row>
    <row r="207" spans="1:22" ht="10.8" thickBot="1" x14ac:dyDescent="0.35">
      <c r="A207" s="1031"/>
      <c r="B207" s="252"/>
      <c r="C207" s="253"/>
      <c r="D207" s="254"/>
      <c r="E207" s="253">
        <f t="shared" si="169"/>
        <v>0</v>
      </c>
      <c r="F207" s="253"/>
      <c r="G207" s="253">
        <f t="shared" si="170"/>
        <v>0</v>
      </c>
      <c r="H207" s="253">
        <f t="shared" si="171"/>
        <v>0</v>
      </c>
      <c r="I207" s="253">
        <f t="shared" si="172"/>
        <v>0</v>
      </c>
      <c r="J207" s="253"/>
      <c r="K207" s="361">
        <f t="shared" si="173"/>
        <v>0</v>
      </c>
      <c r="L207" s="351"/>
      <c r="M207" s="346">
        <f>+(K207/$B$2)*$M$2*6</f>
        <v>0</v>
      </c>
      <c r="N207" s="347">
        <f>+(K207/$B$2)*$N$2*6</f>
        <v>0</v>
      </c>
      <c r="O207" s="347">
        <f>+(K207/$B$2)*$O$2*6</f>
        <v>0</v>
      </c>
      <c r="P207" s="347">
        <f>+(K207/$B$2)*$P$2*6</f>
        <v>0</v>
      </c>
      <c r="Q207" s="347">
        <f>+(K207/$B$2)*$Q$2*6</f>
        <v>0</v>
      </c>
      <c r="R207" s="347">
        <f>+(K207/$B$2)*$R$2*6</f>
        <v>0</v>
      </c>
      <c r="S207" s="347">
        <f>+(K207/$B$2)*$S$2*6</f>
        <v>0</v>
      </c>
      <c r="T207" s="347">
        <f>+(K207/$B$2)*$T$2*6</f>
        <v>0</v>
      </c>
      <c r="U207" s="347" t="e">
        <f>+(K207/$B$2)*$U$2*6</f>
        <v>#REF!</v>
      </c>
      <c r="V207" s="348">
        <f>+(K207/$B$2)*$V$2*6</f>
        <v>0</v>
      </c>
    </row>
    <row r="208" spans="1:22" x14ac:dyDescent="0.3">
      <c r="A208" s="1024" t="s">
        <v>249</v>
      </c>
      <c r="B208" s="236">
        <v>1</v>
      </c>
      <c r="C208" s="245">
        <v>700</v>
      </c>
      <c r="D208" s="255"/>
      <c r="E208" s="245">
        <f t="shared" ref="E208:E217" si="184">+C208*0.0833</f>
        <v>58.31</v>
      </c>
      <c r="F208" s="245">
        <f t="shared" ref="F208:F220" si="185">(394/12)</f>
        <v>32.833333333333336</v>
      </c>
      <c r="G208" s="245">
        <f t="shared" ref="G208:G217" si="186">+C208/12</f>
        <v>58.333333333333336</v>
      </c>
      <c r="H208" s="245">
        <f t="shared" ref="H208:H217" si="187">+C208*0.1115</f>
        <v>78.05</v>
      </c>
      <c r="I208" s="245">
        <f t="shared" ref="I208:I217" si="188">SUM(C208:H208)</f>
        <v>927.52666666666664</v>
      </c>
      <c r="J208" s="245"/>
      <c r="K208" s="362">
        <f t="shared" ref="K208:K217" si="189">SUM(I208:J208)</f>
        <v>927.52666666666664</v>
      </c>
      <c r="L208" s="351"/>
      <c r="M208" s="366">
        <f>+(K208/$B$2)*$M$2*6</f>
        <v>11.783103959347873</v>
      </c>
      <c r="N208" s="245">
        <f>+(K208/$B$2)*$N$2*6</f>
        <v>34.14743527419013</v>
      </c>
      <c r="O208" s="245">
        <f>+(K208/$B$2)*$O$2*6</f>
        <v>42.447500835570615</v>
      </c>
      <c r="P208" s="245">
        <f>+(K208/$B$2)*$P$2*6</f>
        <v>61.68406366903816</v>
      </c>
      <c r="Q208" s="245">
        <f>+(K208/$B$2)*$Q$2*6</f>
        <v>67.175393134144144</v>
      </c>
      <c r="R208" s="245">
        <f>+(K208/$B$2)*$R$2*6</f>
        <v>84.268233719145968</v>
      </c>
      <c r="S208" s="245">
        <f>+(K208/$B$2)*$S$2*6</f>
        <v>88.571635839616278</v>
      </c>
      <c r="T208" s="245">
        <f>+(K208/$B$2)*$T$2*6</f>
        <v>104.90079157267549</v>
      </c>
      <c r="U208" s="245" t="e">
        <f>+(K208/$B$2)*$U$2*6</f>
        <v>#REF!</v>
      </c>
      <c r="V208" s="246">
        <f>+(K208/$B$2)*$V$2*6</f>
        <v>0</v>
      </c>
    </row>
    <row r="209" spans="1:22" x14ac:dyDescent="0.3">
      <c r="A209" s="1025"/>
      <c r="B209" s="237">
        <v>1</v>
      </c>
      <c r="C209" s="247">
        <v>1350</v>
      </c>
      <c r="D209" s="51"/>
      <c r="E209" s="247">
        <f t="shared" si="184"/>
        <v>112.455</v>
      </c>
      <c r="F209" s="247">
        <f t="shared" si="185"/>
        <v>32.833333333333336</v>
      </c>
      <c r="G209" s="247">
        <f t="shared" si="186"/>
        <v>112.5</v>
      </c>
      <c r="H209" s="247">
        <f t="shared" si="187"/>
        <v>150.52500000000001</v>
      </c>
      <c r="I209" s="247">
        <f t="shared" si="188"/>
        <v>1758.3133333333333</v>
      </c>
      <c r="J209" s="247"/>
      <c r="K209" s="359">
        <f t="shared" si="189"/>
        <v>1758.3133333333333</v>
      </c>
      <c r="L209" s="351"/>
      <c r="M209" s="345">
        <f>+(K209/$B$2)*$M$2*6</f>
        <v>22.337243277577809</v>
      </c>
      <c r="N209" s="249">
        <f>+(K209/$B$2)*$N$2*6</f>
        <v>64.733331018420486</v>
      </c>
      <c r="O209" s="249">
        <f>+(K209/$B$2)*$O$2*6</f>
        <v>80.467774532119407</v>
      </c>
      <c r="P209" s="249">
        <f>+(K209/$B$2)*$P$2*6</f>
        <v>116.93454808499885</v>
      </c>
      <c r="Q209" s="249">
        <f>+(K209/$B$2)*$Q$2*6</f>
        <v>127.3444674579068</v>
      </c>
      <c r="R209" s="249">
        <f>+(K209/$B$2)*$R$2*6</f>
        <v>159.74738436072701</v>
      </c>
      <c r="S209" s="249">
        <f>+(K209/$B$2)*$S$2*6</f>
        <v>167.90534854553164</v>
      </c>
      <c r="T209" s="249">
        <f>+(K209/$B$2)*$T$2*6</f>
        <v>198.86054722536952</v>
      </c>
      <c r="U209" s="249" t="e">
        <f>+(K209/$B$2)*$U$2*6</f>
        <v>#REF!</v>
      </c>
      <c r="V209" s="251">
        <f>+(K209/$B$2)*$V$2*6</f>
        <v>0</v>
      </c>
    </row>
    <row r="210" spans="1:22" x14ac:dyDescent="0.3">
      <c r="A210" s="1025"/>
      <c r="B210" s="237">
        <v>1</v>
      </c>
      <c r="C210" s="247">
        <v>1350.4</v>
      </c>
      <c r="D210" s="51"/>
      <c r="E210" s="247">
        <f t="shared" si="184"/>
        <v>112.48832</v>
      </c>
      <c r="F210" s="247">
        <f t="shared" si="185"/>
        <v>32.833333333333336</v>
      </c>
      <c r="G210" s="247">
        <f t="shared" si="186"/>
        <v>112.53333333333335</v>
      </c>
      <c r="H210" s="247">
        <f t="shared" si="187"/>
        <v>150.56960000000001</v>
      </c>
      <c r="I210" s="247">
        <f t="shared" si="188"/>
        <v>1758.8245866666666</v>
      </c>
      <c r="J210" s="247"/>
      <c r="K210" s="359">
        <f t="shared" si="189"/>
        <v>1758.8245866666666</v>
      </c>
      <c r="L210" s="351"/>
      <c r="M210" s="345">
        <f t="shared" ref="M210:M217" si="190">+(K210/$B$2)*$M$2*6</f>
        <v>22.343738132542875</v>
      </c>
      <c r="N210" s="249">
        <f t="shared" ref="N210:N217" si="191">+(K210/$B$2)*$N$2*6</f>
        <v>64.752153108109255</v>
      </c>
      <c r="O210" s="249">
        <f t="shared" ref="O210:O217" si="192">+(K210/$B$2)*$O$2*6</f>
        <v>80.491171623624979</v>
      </c>
      <c r="P210" s="249">
        <f t="shared" ref="P210:P217" si="193">+(K210/$B$2)*$P$2*6</f>
        <v>116.96854838310098</v>
      </c>
      <c r="Q210" s="249">
        <f t="shared" ref="Q210:Q217" si="194">+(K210/$B$2)*$Q$2*6</f>
        <v>127.38149458056758</v>
      </c>
      <c r="R210" s="249">
        <f t="shared" ref="R210:R217" si="195">+(K210/$B$2)*$R$2*6</f>
        <v>159.79383306881414</v>
      </c>
      <c r="S210" s="249">
        <f t="shared" ref="S210:S217" si="196">+(K210/$B$2)*$S$2*6</f>
        <v>167.95416929181221</v>
      </c>
      <c r="T210" s="249">
        <f t="shared" ref="T210:T217" si="197">+(K210/$B$2)*$T$2*6</f>
        <v>198.91836861346349</v>
      </c>
      <c r="U210" s="249" t="e">
        <f t="shared" ref="U210:U217" si="198">+(K210/$B$2)*$U$2*6</f>
        <v>#REF!</v>
      </c>
      <c r="V210" s="251">
        <f t="shared" ref="V210:V217" si="199">+(K210/$B$2)*$V$2*6</f>
        <v>0</v>
      </c>
    </row>
    <row r="211" spans="1:22" x14ac:dyDescent="0.3">
      <c r="A211" s="1025"/>
      <c r="B211" s="237">
        <v>1</v>
      </c>
      <c r="C211" s="247">
        <v>700</v>
      </c>
      <c r="D211" s="51"/>
      <c r="E211" s="247">
        <f t="shared" si="184"/>
        <v>58.31</v>
      </c>
      <c r="F211" s="247">
        <f t="shared" si="185"/>
        <v>32.833333333333336</v>
      </c>
      <c r="G211" s="247">
        <f t="shared" si="186"/>
        <v>58.333333333333336</v>
      </c>
      <c r="H211" s="247">
        <f t="shared" si="187"/>
        <v>78.05</v>
      </c>
      <c r="I211" s="247">
        <f t="shared" si="188"/>
        <v>927.52666666666664</v>
      </c>
      <c r="J211" s="247"/>
      <c r="K211" s="359">
        <f t="shared" si="189"/>
        <v>927.52666666666664</v>
      </c>
      <c r="L211" s="351"/>
      <c r="M211" s="345">
        <f t="shared" si="190"/>
        <v>11.783103959347873</v>
      </c>
      <c r="N211" s="249">
        <f t="shared" si="191"/>
        <v>34.14743527419013</v>
      </c>
      <c r="O211" s="249">
        <f t="shared" si="192"/>
        <v>42.447500835570615</v>
      </c>
      <c r="P211" s="249">
        <f t="shared" si="193"/>
        <v>61.68406366903816</v>
      </c>
      <c r="Q211" s="249">
        <f t="shared" si="194"/>
        <v>67.175393134144144</v>
      </c>
      <c r="R211" s="249">
        <f t="shared" si="195"/>
        <v>84.268233719145968</v>
      </c>
      <c r="S211" s="249">
        <f t="shared" si="196"/>
        <v>88.571635839616278</v>
      </c>
      <c r="T211" s="249">
        <f t="shared" si="197"/>
        <v>104.90079157267549</v>
      </c>
      <c r="U211" s="249" t="e">
        <f t="shared" si="198"/>
        <v>#REF!</v>
      </c>
      <c r="V211" s="251">
        <f t="shared" si="199"/>
        <v>0</v>
      </c>
    </row>
    <row r="212" spans="1:22" x14ac:dyDescent="0.3">
      <c r="A212" s="1025"/>
      <c r="B212" s="237">
        <v>1</v>
      </c>
      <c r="C212" s="247">
        <v>820</v>
      </c>
      <c r="D212" s="51"/>
      <c r="E212" s="247">
        <f t="shared" si="184"/>
        <v>68.305999999999997</v>
      </c>
      <c r="F212" s="247">
        <f t="shared" si="185"/>
        <v>32.833333333333336</v>
      </c>
      <c r="G212" s="247">
        <f t="shared" si="186"/>
        <v>68.333333333333329</v>
      </c>
      <c r="H212" s="247">
        <f t="shared" si="187"/>
        <v>91.43</v>
      </c>
      <c r="I212" s="247">
        <f t="shared" si="188"/>
        <v>1080.9026666666668</v>
      </c>
      <c r="J212" s="247"/>
      <c r="K212" s="359">
        <f t="shared" si="189"/>
        <v>1080.9026666666668</v>
      </c>
      <c r="L212" s="351"/>
      <c r="M212" s="345">
        <f t="shared" si="190"/>
        <v>13.731560448867246</v>
      </c>
      <c r="N212" s="249">
        <f t="shared" si="191"/>
        <v>39.794062180817278</v>
      </c>
      <c r="O212" s="249">
        <f t="shared" si="192"/>
        <v>49.466628287241164</v>
      </c>
      <c r="P212" s="249">
        <f t="shared" si="193"/>
        <v>71.884153099677064</v>
      </c>
      <c r="Q212" s="249">
        <f t="shared" si="194"/>
        <v>78.283529932377263</v>
      </c>
      <c r="R212" s="249">
        <f t="shared" si="195"/>
        <v>98.202846145284013</v>
      </c>
      <c r="S212" s="249">
        <f t="shared" si="196"/>
        <v>103.21785972378527</v>
      </c>
      <c r="T212" s="249">
        <f t="shared" si="197"/>
        <v>122.24720800086516</v>
      </c>
      <c r="U212" s="249" t="e">
        <f t="shared" si="198"/>
        <v>#REF!</v>
      </c>
      <c r="V212" s="251">
        <f t="shared" si="199"/>
        <v>0</v>
      </c>
    </row>
    <row r="213" spans="1:22" x14ac:dyDescent="0.3">
      <c r="A213" s="1025"/>
      <c r="B213" s="237">
        <v>1</v>
      </c>
      <c r="C213" s="247">
        <v>3000</v>
      </c>
      <c r="D213" s="51"/>
      <c r="E213" s="247">
        <f t="shared" si="184"/>
        <v>249.9</v>
      </c>
      <c r="F213" s="247">
        <f t="shared" si="185"/>
        <v>32.833333333333336</v>
      </c>
      <c r="G213" s="247">
        <f t="shared" si="186"/>
        <v>250</v>
      </c>
      <c r="H213" s="247">
        <f t="shared" si="187"/>
        <v>334.5</v>
      </c>
      <c r="I213" s="247">
        <f t="shared" si="188"/>
        <v>3867.2333333333336</v>
      </c>
      <c r="J213" s="247"/>
      <c r="K213" s="359">
        <f t="shared" si="189"/>
        <v>3867.2333333333336</v>
      </c>
      <c r="L213" s="351"/>
      <c r="M213" s="345">
        <f t="shared" si="190"/>
        <v>49.128520008469195</v>
      </c>
      <c r="N213" s="249">
        <f t="shared" si="191"/>
        <v>142.37445098454373</v>
      </c>
      <c r="O213" s="249">
        <f t="shared" si="192"/>
        <v>176.98077699258948</v>
      </c>
      <c r="P213" s="249">
        <f t="shared" si="193"/>
        <v>257.18577775628376</v>
      </c>
      <c r="Q213" s="249">
        <f t="shared" si="194"/>
        <v>280.08134843361205</v>
      </c>
      <c r="R213" s="249">
        <f t="shared" si="195"/>
        <v>351.34830522012516</v>
      </c>
      <c r="S213" s="249">
        <f t="shared" si="196"/>
        <v>369.29092695285533</v>
      </c>
      <c r="T213" s="249">
        <f t="shared" si="197"/>
        <v>437.37377311297757</v>
      </c>
      <c r="U213" s="249" t="e">
        <f t="shared" si="198"/>
        <v>#REF!</v>
      </c>
      <c r="V213" s="251">
        <f t="shared" si="199"/>
        <v>0</v>
      </c>
    </row>
    <row r="214" spans="1:22" x14ac:dyDescent="0.3">
      <c r="A214" s="1025"/>
      <c r="B214" s="237"/>
      <c r="C214" s="247"/>
      <c r="D214" s="51"/>
      <c r="E214" s="247">
        <f t="shared" si="184"/>
        <v>0</v>
      </c>
      <c r="F214" s="247"/>
      <c r="G214" s="247">
        <f t="shared" si="186"/>
        <v>0</v>
      </c>
      <c r="H214" s="247">
        <f t="shared" si="187"/>
        <v>0</v>
      </c>
      <c r="I214" s="247">
        <f t="shared" si="188"/>
        <v>0</v>
      </c>
      <c r="J214" s="247"/>
      <c r="K214" s="359">
        <f t="shared" si="189"/>
        <v>0</v>
      </c>
      <c r="L214" s="351"/>
      <c r="M214" s="345">
        <f t="shared" si="190"/>
        <v>0</v>
      </c>
      <c r="N214" s="249">
        <f t="shared" si="191"/>
        <v>0</v>
      </c>
      <c r="O214" s="249">
        <f t="shared" si="192"/>
        <v>0</v>
      </c>
      <c r="P214" s="249">
        <f t="shared" si="193"/>
        <v>0</v>
      </c>
      <c r="Q214" s="249">
        <f t="shared" si="194"/>
        <v>0</v>
      </c>
      <c r="R214" s="249">
        <f t="shared" si="195"/>
        <v>0</v>
      </c>
      <c r="S214" s="249">
        <f t="shared" si="196"/>
        <v>0</v>
      </c>
      <c r="T214" s="249">
        <f t="shared" si="197"/>
        <v>0</v>
      </c>
      <c r="U214" s="249" t="e">
        <f t="shared" si="198"/>
        <v>#REF!</v>
      </c>
      <c r="V214" s="251">
        <f t="shared" si="199"/>
        <v>0</v>
      </c>
    </row>
    <row r="215" spans="1:22" x14ac:dyDescent="0.3">
      <c r="A215" s="1025"/>
      <c r="B215" s="237"/>
      <c r="C215" s="247"/>
      <c r="D215" s="51"/>
      <c r="E215" s="247">
        <f t="shared" si="184"/>
        <v>0</v>
      </c>
      <c r="F215" s="247"/>
      <c r="G215" s="247">
        <f t="shared" si="186"/>
        <v>0</v>
      </c>
      <c r="H215" s="247">
        <f t="shared" si="187"/>
        <v>0</v>
      </c>
      <c r="I215" s="247">
        <f t="shared" si="188"/>
        <v>0</v>
      </c>
      <c r="J215" s="247"/>
      <c r="K215" s="359">
        <f t="shared" si="189"/>
        <v>0</v>
      </c>
      <c r="L215" s="351"/>
      <c r="M215" s="345">
        <f t="shared" si="190"/>
        <v>0</v>
      </c>
      <c r="N215" s="249">
        <f t="shared" si="191"/>
        <v>0</v>
      </c>
      <c r="O215" s="249">
        <f t="shared" si="192"/>
        <v>0</v>
      </c>
      <c r="P215" s="249">
        <f t="shared" si="193"/>
        <v>0</v>
      </c>
      <c r="Q215" s="249">
        <f t="shared" si="194"/>
        <v>0</v>
      </c>
      <c r="R215" s="249">
        <f t="shared" si="195"/>
        <v>0</v>
      </c>
      <c r="S215" s="249">
        <f t="shared" si="196"/>
        <v>0</v>
      </c>
      <c r="T215" s="249">
        <f t="shared" si="197"/>
        <v>0</v>
      </c>
      <c r="U215" s="249" t="e">
        <f t="shared" si="198"/>
        <v>#REF!</v>
      </c>
      <c r="V215" s="251">
        <f t="shared" si="199"/>
        <v>0</v>
      </c>
    </row>
    <row r="216" spans="1:22" x14ac:dyDescent="0.3">
      <c r="A216" s="1025"/>
      <c r="B216" s="237"/>
      <c r="C216" s="247"/>
      <c r="D216" s="51"/>
      <c r="E216" s="247">
        <f t="shared" si="184"/>
        <v>0</v>
      </c>
      <c r="F216" s="247"/>
      <c r="G216" s="247">
        <f t="shared" si="186"/>
        <v>0</v>
      </c>
      <c r="H216" s="247">
        <f t="shared" si="187"/>
        <v>0</v>
      </c>
      <c r="I216" s="247">
        <f t="shared" si="188"/>
        <v>0</v>
      </c>
      <c r="J216" s="247"/>
      <c r="K216" s="359">
        <f t="shared" si="189"/>
        <v>0</v>
      </c>
      <c r="L216" s="351"/>
      <c r="M216" s="345">
        <f t="shared" si="190"/>
        <v>0</v>
      </c>
      <c r="N216" s="249">
        <f t="shared" si="191"/>
        <v>0</v>
      </c>
      <c r="O216" s="249">
        <f t="shared" si="192"/>
        <v>0</v>
      </c>
      <c r="P216" s="249">
        <f t="shared" si="193"/>
        <v>0</v>
      </c>
      <c r="Q216" s="249">
        <f t="shared" si="194"/>
        <v>0</v>
      </c>
      <c r="R216" s="249">
        <f t="shared" si="195"/>
        <v>0</v>
      </c>
      <c r="S216" s="249">
        <f t="shared" si="196"/>
        <v>0</v>
      </c>
      <c r="T216" s="249">
        <f t="shared" si="197"/>
        <v>0</v>
      </c>
      <c r="U216" s="249" t="e">
        <f t="shared" si="198"/>
        <v>#REF!</v>
      </c>
      <c r="V216" s="251">
        <f t="shared" si="199"/>
        <v>0</v>
      </c>
    </row>
    <row r="217" spans="1:22" ht="10.8" thickBot="1" x14ac:dyDescent="0.35">
      <c r="A217" s="1026"/>
      <c r="B217" s="239"/>
      <c r="C217" s="233"/>
      <c r="D217" s="139"/>
      <c r="E217" s="233">
        <f t="shared" si="184"/>
        <v>0</v>
      </c>
      <c r="F217" s="233"/>
      <c r="G217" s="233">
        <f t="shared" si="186"/>
        <v>0</v>
      </c>
      <c r="H217" s="233">
        <f t="shared" si="187"/>
        <v>0</v>
      </c>
      <c r="I217" s="233">
        <f t="shared" si="188"/>
        <v>0</v>
      </c>
      <c r="J217" s="233"/>
      <c r="K217" s="360">
        <f t="shared" si="189"/>
        <v>0</v>
      </c>
      <c r="L217" s="351"/>
      <c r="M217" s="346">
        <f t="shared" si="190"/>
        <v>0</v>
      </c>
      <c r="N217" s="347">
        <f t="shared" si="191"/>
        <v>0</v>
      </c>
      <c r="O217" s="347">
        <f t="shared" si="192"/>
        <v>0</v>
      </c>
      <c r="P217" s="347">
        <f t="shared" si="193"/>
        <v>0</v>
      </c>
      <c r="Q217" s="347">
        <f t="shared" si="194"/>
        <v>0</v>
      </c>
      <c r="R217" s="347">
        <f t="shared" si="195"/>
        <v>0</v>
      </c>
      <c r="S217" s="347">
        <f t="shared" si="196"/>
        <v>0</v>
      </c>
      <c r="T217" s="347">
        <f t="shared" si="197"/>
        <v>0</v>
      </c>
      <c r="U217" s="347" t="e">
        <f t="shared" si="198"/>
        <v>#REF!</v>
      </c>
      <c r="V217" s="348">
        <f t="shared" si="199"/>
        <v>0</v>
      </c>
    </row>
    <row r="218" spans="1:22" ht="12.75" customHeight="1" x14ac:dyDescent="0.3">
      <c r="A218" s="1027" t="s">
        <v>250</v>
      </c>
      <c r="B218" s="236">
        <v>1</v>
      </c>
      <c r="C218" s="245">
        <v>820</v>
      </c>
      <c r="D218" s="255"/>
      <c r="E218" s="245">
        <f t="shared" ref="E218:E224" si="200">+C218*0.0833</f>
        <v>68.305999999999997</v>
      </c>
      <c r="F218" s="245">
        <f t="shared" si="185"/>
        <v>32.833333333333336</v>
      </c>
      <c r="G218" s="245">
        <f t="shared" ref="G218:G224" si="201">+C218/12</f>
        <v>68.333333333333329</v>
      </c>
      <c r="H218" s="245">
        <f t="shared" ref="H218:H224" si="202">+C218*0.1115</f>
        <v>91.43</v>
      </c>
      <c r="I218" s="245">
        <f t="shared" ref="I218:I224" si="203">SUM(C218:H218)</f>
        <v>1080.9026666666668</v>
      </c>
      <c r="J218" s="245"/>
      <c r="K218" s="362">
        <f t="shared" ref="K218:K224" si="204">SUM(I218:J218)</f>
        <v>1080.9026666666668</v>
      </c>
      <c r="L218" s="351"/>
      <c r="M218" s="366">
        <f t="shared" ref="M218:M223" si="205">+(K218/$B$2)*$M$2*6</f>
        <v>13.731560448867246</v>
      </c>
      <c r="N218" s="245">
        <f t="shared" ref="N218:N223" si="206">+(K218/$B$2)*$N$2*6</f>
        <v>39.794062180817278</v>
      </c>
      <c r="O218" s="245">
        <f t="shared" ref="O218:O223" si="207">+(K218/$B$2)*$O$2*6</f>
        <v>49.466628287241164</v>
      </c>
      <c r="P218" s="245">
        <f t="shared" ref="P218:P223" si="208">+(K218/$B$2)*$P$2*6</f>
        <v>71.884153099677064</v>
      </c>
      <c r="Q218" s="245">
        <f t="shared" ref="Q218:Q223" si="209">+(K218/$B$2)*$Q$2*6</f>
        <v>78.283529932377263</v>
      </c>
      <c r="R218" s="245">
        <f t="shared" ref="R218:R223" si="210">+(K218/$B$2)*$R$2*6</f>
        <v>98.202846145284013</v>
      </c>
      <c r="S218" s="245">
        <f t="shared" ref="S218:S223" si="211">+(K218/$B$2)*$S$2*6</f>
        <v>103.21785972378527</v>
      </c>
      <c r="T218" s="245">
        <f t="shared" ref="T218:T223" si="212">+(K218/$B$2)*$T$2*6</f>
        <v>122.24720800086516</v>
      </c>
      <c r="U218" s="245" t="e">
        <f t="shared" ref="U218:U223" si="213">+(K218/$B$2)*$U$2*6</f>
        <v>#REF!</v>
      </c>
      <c r="V218" s="246">
        <f t="shared" ref="V218:V223" si="214">+(K218/$B$2)*$V$2*6</f>
        <v>0</v>
      </c>
    </row>
    <row r="219" spans="1:22" x14ac:dyDescent="0.3">
      <c r="A219" s="1028"/>
      <c r="B219" s="237">
        <v>1</v>
      </c>
      <c r="C219" s="247">
        <v>1350</v>
      </c>
      <c r="D219" s="51"/>
      <c r="E219" s="247">
        <f t="shared" si="200"/>
        <v>112.455</v>
      </c>
      <c r="F219" s="247">
        <f t="shared" si="185"/>
        <v>32.833333333333336</v>
      </c>
      <c r="G219" s="247">
        <f t="shared" si="201"/>
        <v>112.5</v>
      </c>
      <c r="H219" s="247">
        <f t="shared" si="202"/>
        <v>150.52500000000001</v>
      </c>
      <c r="I219" s="247">
        <f t="shared" si="203"/>
        <v>1758.3133333333333</v>
      </c>
      <c r="J219" s="247"/>
      <c r="K219" s="359">
        <f t="shared" si="204"/>
        <v>1758.3133333333333</v>
      </c>
      <c r="L219" s="351"/>
      <c r="M219" s="345">
        <f t="shared" si="205"/>
        <v>22.337243277577809</v>
      </c>
      <c r="N219" s="249">
        <f t="shared" si="206"/>
        <v>64.733331018420486</v>
      </c>
      <c r="O219" s="249">
        <f t="shared" si="207"/>
        <v>80.467774532119407</v>
      </c>
      <c r="P219" s="249">
        <f t="shared" si="208"/>
        <v>116.93454808499885</v>
      </c>
      <c r="Q219" s="249">
        <f t="shared" si="209"/>
        <v>127.3444674579068</v>
      </c>
      <c r="R219" s="249">
        <f t="shared" si="210"/>
        <v>159.74738436072701</v>
      </c>
      <c r="S219" s="249">
        <f t="shared" si="211"/>
        <v>167.90534854553164</v>
      </c>
      <c r="T219" s="249">
        <f t="shared" si="212"/>
        <v>198.86054722536952</v>
      </c>
      <c r="U219" s="249" t="e">
        <f t="shared" si="213"/>
        <v>#REF!</v>
      </c>
      <c r="V219" s="251">
        <f t="shared" si="214"/>
        <v>0</v>
      </c>
    </row>
    <row r="220" spans="1:22" x14ac:dyDescent="0.3">
      <c r="A220" s="1028"/>
      <c r="B220" s="237">
        <v>1</v>
      </c>
      <c r="C220" s="247">
        <v>820</v>
      </c>
      <c r="D220" s="51"/>
      <c r="E220" s="247">
        <f t="shared" si="200"/>
        <v>68.305999999999997</v>
      </c>
      <c r="F220" s="247">
        <f t="shared" si="185"/>
        <v>32.833333333333336</v>
      </c>
      <c r="G220" s="247">
        <f t="shared" si="201"/>
        <v>68.333333333333329</v>
      </c>
      <c r="H220" s="247">
        <f t="shared" si="202"/>
        <v>91.43</v>
      </c>
      <c r="I220" s="247">
        <f t="shared" si="203"/>
        <v>1080.9026666666668</v>
      </c>
      <c r="J220" s="247"/>
      <c r="K220" s="359">
        <f t="shared" si="204"/>
        <v>1080.9026666666668</v>
      </c>
      <c r="L220" s="351"/>
      <c r="M220" s="345">
        <f t="shared" si="205"/>
        <v>13.731560448867246</v>
      </c>
      <c r="N220" s="249">
        <f t="shared" si="206"/>
        <v>39.794062180817278</v>
      </c>
      <c r="O220" s="249">
        <f t="shared" si="207"/>
        <v>49.466628287241164</v>
      </c>
      <c r="P220" s="249">
        <f t="shared" si="208"/>
        <v>71.884153099677064</v>
      </c>
      <c r="Q220" s="249">
        <f t="shared" si="209"/>
        <v>78.283529932377263</v>
      </c>
      <c r="R220" s="249">
        <f t="shared" si="210"/>
        <v>98.202846145284013</v>
      </c>
      <c r="S220" s="249">
        <f t="shared" si="211"/>
        <v>103.21785972378527</v>
      </c>
      <c r="T220" s="249">
        <f t="shared" si="212"/>
        <v>122.24720800086516</v>
      </c>
      <c r="U220" s="249" t="e">
        <f t="shared" si="213"/>
        <v>#REF!</v>
      </c>
      <c r="V220" s="251">
        <f t="shared" si="214"/>
        <v>0</v>
      </c>
    </row>
    <row r="221" spans="1:22" x14ac:dyDescent="0.3">
      <c r="A221" s="1028"/>
      <c r="B221" s="237"/>
      <c r="C221" s="247"/>
      <c r="D221" s="51"/>
      <c r="E221" s="247">
        <f t="shared" si="200"/>
        <v>0</v>
      </c>
      <c r="F221" s="247"/>
      <c r="G221" s="247">
        <f t="shared" si="201"/>
        <v>0</v>
      </c>
      <c r="H221" s="247">
        <f t="shared" si="202"/>
        <v>0</v>
      </c>
      <c r="I221" s="247">
        <f t="shared" si="203"/>
        <v>0</v>
      </c>
      <c r="J221" s="247"/>
      <c r="K221" s="359">
        <f t="shared" si="204"/>
        <v>0</v>
      </c>
      <c r="L221" s="351"/>
      <c r="M221" s="345">
        <f t="shared" si="205"/>
        <v>0</v>
      </c>
      <c r="N221" s="249">
        <f t="shared" si="206"/>
        <v>0</v>
      </c>
      <c r="O221" s="249">
        <f t="shared" si="207"/>
        <v>0</v>
      </c>
      <c r="P221" s="249">
        <f t="shared" si="208"/>
        <v>0</v>
      </c>
      <c r="Q221" s="249">
        <f t="shared" si="209"/>
        <v>0</v>
      </c>
      <c r="R221" s="249">
        <f t="shared" si="210"/>
        <v>0</v>
      </c>
      <c r="S221" s="249">
        <f t="shared" si="211"/>
        <v>0</v>
      </c>
      <c r="T221" s="249">
        <f t="shared" si="212"/>
        <v>0</v>
      </c>
      <c r="U221" s="249" t="e">
        <f t="shared" si="213"/>
        <v>#REF!</v>
      </c>
      <c r="V221" s="251">
        <f t="shared" si="214"/>
        <v>0</v>
      </c>
    </row>
    <row r="222" spans="1:22" x14ac:dyDescent="0.3">
      <c r="A222" s="1028"/>
      <c r="B222" s="237"/>
      <c r="C222" s="247"/>
      <c r="D222" s="51"/>
      <c r="E222" s="247">
        <f t="shared" si="200"/>
        <v>0</v>
      </c>
      <c r="F222" s="247"/>
      <c r="G222" s="247">
        <f t="shared" si="201"/>
        <v>0</v>
      </c>
      <c r="H222" s="247">
        <f t="shared" si="202"/>
        <v>0</v>
      </c>
      <c r="I222" s="247">
        <f t="shared" si="203"/>
        <v>0</v>
      </c>
      <c r="J222" s="247"/>
      <c r="K222" s="359">
        <f t="shared" si="204"/>
        <v>0</v>
      </c>
      <c r="L222" s="351"/>
      <c r="M222" s="345">
        <f t="shared" si="205"/>
        <v>0</v>
      </c>
      <c r="N222" s="249">
        <f t="shared" si="206"/>
        <v>0</v>
      </c>
      <c r="O222" s="249">
        <f t="shared" si="207"/>
        <v>0</v>
      </c>
      <c r="P222" s="249">
        <f t="shared" si="208"/>
        <v>0</v>
      </c>
      <c r="Q222" s="249">
        <f t="shared" si="209"/>
        <v>0</v>
      </c>
      <c r="R222" s="249">
        <f t="shared" si="210"/>
        <v>0</v>
      </c>
      <c r="S222" s="249">
        <f t="shared" si="211"/>
        <v>0</v>
      </c>
      <c r="T222" s="249">
        <f t="shared" si="212"/>
        <v>0</v>
      </c>
      <c r="U222" s="249" t="e">
        <f t="shared" si="213"/>
        <v>#REF!</v>
      </c>
      <c r="V222" s="251">
        <f t="shared" si="214"/>
        <v>0</v>
      </c>
    </row>
    <row r="223" spans="1:22" x14ac:dyDescent="0.3">
      <c r="A223" s="1028"/>
      <c r="B223" s="237"/>
      <c r="C223" s="247"/>
      <c r="D223" s="51"/>
      <c r="E223" s="247">
        <f t="shared" si="200"/>
        <v>0</v>
      </c>
      <c r="F223" s="247"/>
      <c r="G223" s="247">
        <f t="shared" si="201"/>
        <v>0</v>
      </c>
      <c r="H223" s="247">
        <f t="shared" si="202"/>
        <v>0</v>
      </c>
      <c r="I223" s="247">
        <f t="shared" si="203"/>
        <v>0</v>
      </c>
      <c r="J223" s="247"/>
      <c r="K223" s="359">
        <f t="shared" si="204"/>
        <v>0</v>
      </c>
      <c r="L223" s="351"/>
      <c r="M223" s="345">
        <f t="shared" si="205"/>
        <v>0</v>
      </c>
      <c r="N223" s="249">
        <f t="shared" si="206"/>
        <v>0</v>
      </c>
      <c r="O223" s="249">
        <f t="shared" si="207"/>
        <v>0</v>
      </c>
      <c r="P223" s="249">
        <f t="shared" si="208"/>
        <v>0</v>
      </c>
      <c r="Q223" s="249">
        <f t="shared" si="209"/>
        <v>0</v>
      </c>
      <c r="R223" s="249">
        <f t="shared" si="210"/>
        <v>0</v>
      </c>
      <c r="S223" s="249">
        <f t="shared" si="211"/>
        <v>0</v>
      </c>
      <c r="T223" s="249">
        <f t="shared" si="212"/>
        <v>0</v>
      </c>
      <c r="U223" s="249" t="e">
        <f t="shared" si="213"/>
        <v>#REF!</v>
      </c>
      <c r="V223" s="251">
        <f t="shared" si="214"/>
        <v>0</v>
      </c>
    </row>
    <row r="224" spans="1:22" ht="10.8" thickBot="1" x14ac:dyDescent="0.35">
      <c r="A224" s="1029"/>
      <c r="B224" s="239"/>
      <c r="C224" s="233"/>
      <c r="D224" s="139"/>
      <c r="E224" s="233">
        <f t="shared" si="200"/>
        <v>0</v>
      </c>
      <c r="F224" s="233"/>
      <c r="G224" s="233">
        <f t="shared" si="201"/>
        <v>0</v>
      </c>
      <c r="H224" s="233">
        <f t="shared" si="202"/>
        <v>0</v>
      </c>
      <c r="I224" s="233">
        <f t="shared" si="203"/>
        <v>0</v>
      </c>
      <c r="J224" s="233"/>
      <c r="K224" s="360">
        <f t="shared" si="204"/>
        <v>0</v>
      </c>
      <c r="L224" s="351"/>
      <c r="M224" s="364">
        <f t="shared" ref="M224:M244" si="215">+(K224/$B$2)*$M$2*6</f>
        <v>0</v>
      </c>
      <c r="N224" s="363">
        <f t="shared" ref="N224:N244" si="216">+(K224/$B$2)*$N$2*6</f>
        <v>0</v>
      </c>
      <c r="O224" s="363">
        <f t="shared" ref="O224:O244" si="217">+(K224/$B$2)*$O$2*6</f>
        <v>0</v>
      </c>
      <c r="P224" s="363">
        <f t="shared" ref="P224:P244" si="218">+(K224/$B$2)*$P$2*6</f>
        <v>0</v>
      </c>
      <c r="Q224" s="363">
        <f t="shared" ref="Q224:Q244" si="219">+(K224/$B$2)*$Q$2*6</f>
        <v>0</v>
      </c>
      <c r="R224" s="363">
        <f t="shared" ref="R224:R244" si="220">+(K224/$B$2)*$R$2*6</f>
        <v>0</v>
      </c>
      <c r="S224" s="363">
        <f t="shared" ref="S224:S244" si="221">+(K224/$B$2)*$S$2*6</f>
        <v>0</v>
      </c>
      <c r="T224" s="363">
        <f t="shared" ref="T224:T244" si="222">+(K224/$B$2)*$T$2*6</f>
        <v>0</v>
      </c>
      <c r="U224" s="363" t="e">
        <f t="shared" ref="U224:U244" si="223">+(K224/$B$2)*$U$2*6</f>
        <v>#REF!</v>
      </c>
      <c r="V224" s="365">
        <f t="shared" ref="V224:V244" si="224">+(K224/$B$2)*$V$2*6</f>
        <v>0</v>
      </c>
    </row>
    <row r="225" spans="1:22" x14ac:dyDescent="0.3">
      <c r="A225" s="1028" t="s">
        <v>251</v>
      </c>
      <c r="B225" s="240">
        <v>1</v>
      </c>
      <c r="C225" s="249">
        <v>820</v>
      </c>
      <c r="D225" s="202"/>
      <c r="E225" s="249">
        <f t="shared" ref="E225:E234" si="225">+C225*0.0833</f>
        <v>68.305999999999997</v>
      </c>
      <c r="F225" s="249">
        <f t="shared" ref="F225:F233" si="226">(394/12)</f>
        <v>32.833333333333336</v>
      </c>
      <c r="G225" s="249">
        <f t="shared" ref="G225:G234" si="227">+C225/12</f>
        <v>68.333333333333329</v>
      </c>
      <c r="H225" s="249">
        <f t="shared" ref="H225:H234" si="228">+C225*0.1115</f>
        <v>91.43</v>
      </c>
      <c r="I225" s="249">
        <f t="shared" ref="I225:I234" si="229">SUM(C225:H225)</f>
        <v>1080.9026666666668</v>
      </c>
      <c r="J225" s="249"/>
      <c r="K225" s="368">
        <f t="shared" ref="K225:K234" si="230">SUM(I225:J225)</f>
        <v>1080.9026666666668</v>
      </c>
      <c r="L225" s="351"/>
      <c r="M225" s="366">
        <f t="shared" ref="M225:M233" si="231">+(K225/$B$2)*$M$2*6</f>
        <v>13.731560448867246</v>
      </c>
      <c r="N225" s="245">
        <f t="shared" ref="N225:N233" si="232">+(K225/$B$2)*$N$2*6</f>
        <v>39.794062180817278</v>
      </c>
      <c r="O225" s="245">
        <f t="shared" ref="O225:O233" si="233">+(K225/$B$2)*$O$2*6</f>
        <v>49.466628287241164</v>
      </c>
      <c r="P225" s="245">
        <f t="shared" ref="P225:P233" si="234">+(K225/$B$2)*$P$2*6</f>
        <v>71.884153099677064</v>
      </c>
      <c r="Q225" s="245">
        <f t="shared" ref="Q225:Q233" si="235">+(K225/$B$2)*$Q$2*6</f>
        <v>78.283529932377263</v>
      </c>
      <c r="R225" s="245">
        <f t="shared" ref="R225:R233" si="236">+(K225/$B$2)*$R$2*6</f>
        <v>98.202846145284013</v>
      </c>
      <c r="S225" s="245">
        <f t="shared" ref="S225:S233" si="237">+(K225/$B$2)*$S$2*6</f>
        <v>103.21785972378527</v>
      </c>
      <c r="T225" s="245">
        <f t="shared" ref="T225:T233" si="238">+(K225/$B$2)*$T$2*6</f>
        <v>122.24720800086516</v>
      </c>
      <c r="U225" s="245" t="e">
        <f t="shared" ref="U225:U233" si="239">+(K225/$B$2)*$U$2*6</f>
        <v>#REF!</v>
      </c>
      <c r="V225" s="246">
        <f t="shared" ref="V225:V233" si="240">+(K225/$B$2)*$V$2*6</f>
        <v>0</v>
      </c>
    </row>
    <row r="226" spans="1:22" x14ac:dyDescent="0.3">
      <c r="A226" s="1028"/>
      <c r="B226" s="237">
        <v>1</v>
      </c>
      <c r="C226" s="247">
        <v>820</v>
      </c>
      <c r="D226" s="51"/>
      <c r="E226" s="247">
        <f t="shared" si="225"/>
        <v>68.305999999999997</v>
      </c>
      <c r="F226" s="247">
        <f t="shared" si="226"/>
        <v>32.833333333333336</v>
      </c>
      <c r="G226" s="247">
        <f t="shared" si="227"/>
        <v>68.333333333333329</v>
      </c>
      <c r="H226" s="247">
        <f t="shared" si="228"/>
        <v>91.43</v>
      </c>
      <c r="I226" s="247">
        <f t="shared" si="229"/>
        <v>1080.9026666666668</v>
      </c>
      <c r="J226" s="247"/>
      <c r="K226" s="359">
        <f t="shared" si="230"/>
        <v>1080.9026666666668</v>
      </c>
      <c r="L226" s="351"/>
      <c r="M226" s="345">
        <f t="shared" si="231"/>
        <v>13.731560448867246</v>
      </c>
      <c r="N226" s="249">
        <f t="shared" si="232"/>
        <v>39.794062180817278</v>
      </c>
      <c r="O226" s="249">
        <f t="shared" si="233"/>
        <v>49.466628287241164</v>
      </c>
      <c r="P226" s="249">
        <f t="shared" si="234"/>
        <v>71.884153099677064</v>
      </c>
      <c r="Q226" s="249">
        <f t="shared" si="235"/>
        <v>78.283529932377263</v>
      </c>
      <c r="R226" s="249">
        <f t="shared" si="236"/>
        <v>98.202846145284013</v>
      </c>
      <c r="S226" s="249">
        <f t="shared" si="237"/>
        <v>103.21785972378527</v>
      </c>
      <c r="T226" s="249">
        <f t="shared" si="238"/>
        <v>122.24720800086516</v>
      </c>
      <c r="U226" s="249" t="e">
        <f t="shared" si="239"/>
        <v>#REF!</v>
      </c>
      <c r="V226" s="251">
        <f t="shared" si="240"/>
        <v>0</v>
      </c>
    </row>
    <row r="227" spans="1:22" x14ac:dyDescent="0.3">
      <c r="A227" s="1028"/>
      <c r="B227" s="237">
        <v>1</v>
      </c>
      <c r="C227" s="247">
        <v>820</v>
      </c>
      <c r="D227" s="51"/>
      <c r="E227" s="247">
        <f t="shared" si="225"/>
        <v>68.305999999999997</v>
      </c>
      <c r="F227" s="247">
        <f t="shared" si="226"/>
        <v>32.833333333333336</v>
      </c>
      <c r="G227" s="247">
        <f t="shared" si="227"/>
        <v>68.333333333333329</v>
      </c>
      <c r="H227" s="247">
        <f t="shared" si="228"/>
        <v>91.43</v>
      </c>
      <c r="I227" s="247">
        <f t="shared" si="229"/>
        <v>1080.9026666666668</v>
      </c>
      <c r="J227" s="247"/>
      <c r="K227" s="359">
        <f t="shared" si="230"/>
        <v>1080.9026666666668</v>
      </c>
      <c r="L227" s="351"/>
      <c r="M227" s="345">
        <f t="shared" si="231"/>
        <v>13.731560448867246</v>
      </c>
      <c r="N227" s="249">
        <f t="shared" si="232"/>
        <v>39.794062180817278</v>
      </c>
      <c r="O227" s="249">
        <f t="shared" si="233"/>
        <v>49.466628287241164</v>
      </c>
      <c r="P227" s="249">
        <f t="shared" si="234"/>
        <v>71.884153099677064</v>
      </c>
      <c r="Q227" s="249">
        <f t="shared" si="235"/>
        <v>78.283529932377263</v>
      </c>
      <c r="R227" s="249">
        <f t="shared" si="236"/>
        <v>98.202846145284013</v>
      </c>
      <c r="S227" s="249">
        <f t="shared" si="237"/>
        <v>103.21785972378527</v>
      </c>
      <c r="T227" s="249">
        <f t="shared" si="238"/>
        <v>122.24720800086516</v>
      </c>
      <c r="U227" s="249" t="e">
        <f t="shared" si="239"/>
        <v>#REF!</v>
      </c>
      <c r="V227" s="251">
        <f t="shared" si="240"/>
        <v>0</v>
      </c>
    </row>
    <row r="228" spans="1:22" x14ac:dyDescent="0.3">
      <c r="A228" s="1028"/>
      <c r="B228" s="237">
        <v>1</v>
      </c>
      <c r="C228" s="247">
        <v>700</v>
      </c>
      <c r="D228" s="51"/>
      <c r="E228" s="247">
        <f t="shared" si="225"/>
        <v>58.31</v>
      </c>
      <c r="F228" s="247">
        <f t="shared" si="226"/>
        <v>32.833333333333336</v>
      </c>
      <c r="G228" s="247">
        <f t="shared" si="227"/>
        <v>58.333333333333336</v>
      </c>
      <c r="H228" s="247">
        <f t="shared" si="228"/>
        <v>78.05</v>
      </c>
      <c r="I228" s="247">
        <f t="shared" si="229"/>
        <v>927.52666666666664</v>
      </c>
      <c r="J228" s="247"/>
      <c r="K228" s="359">
        <f t="shared" si="230"/>
        <v>927.52666666666664</v>
      </c>
      <c r="L228" s="351"/>
      <c r="M228" s="345">
        <f t="shared" si="231"/>
        <v>11.783103959347873</v>
      </c>
      <c r="N228" s="249">
        <f t="shared" si="232"/>
        <v>34.14743527419013</v>
      </c>
      <c r="O228" s="249">
        <f t="shared" si="233"/>
        <v>42.447500835570615</v>
      </c>
      <c r="P228" s="249">
        <f t="shared" si="234"/>
        <v>61.68406366903816</v>
      </c>
      <c r="Q228" s="249">
        <f t="shared" si="235"/>
        <v>67.175393134144144</v>
      </c>
      <c r="R228" s="249">
        <f t="shared" si="236"/>
        <v>84.268233719145968</v>
      </c>
      <c r="S228" s="249">
        <f t="shared" si="237"/>
        <v>88.571635839616278</v>
      </c>
      <c r="T228" s="249">
        <f t="shared" si="238"/>
        <v>104.90079157267549</v>
      </c>
      <c r="U228" s="249" t="e">
        <f t="shared" si="239"/>
        <v>#REF!</v>
      </c>
      <c r="V228" s="251">
        <f t="shared" si="240"/>
        <v>0</v>
      </c>
    </row>
    <row r="229" spans="1:22" x14ac:dyDescent="0.3">
      <c r="A229" s="1028"/>
      <c r="B229" s="237">
        <v>1</v>
      </c>
      <c r="C229" s="247">
        <v>820</v>
      </c>
      <c r="D229" s="51"/>
      <c r="E229" s="247">
        <f t="shared" si="225"/>
        <v>68.305999999999997</v>
      </c>
      <c r="F229" s="247">
        <f t="shared" si="226"/>
        <v>32.833333333333336</v>
      </c>
      <c r="G229" s="247">
        <f t="shared" si="227"/>
        <v>68.333333333333329</v>
      </c>
      <c r="H229" s="247">
        <f t="shared" si="228"/>
        <v>91.43</v>
      </c>
      <c r="I229" s="247">
        <f t="shared" si="229"/>
        <v>1080.9026666666668</v>
      </c>
      <c r="J229" s="247"/>
      <c r="K229" s="359">
        <f t="shared" si="230"/>
        <v>1080.9026666666668</v>
      </c>
      <c r="L229" s="351"/>
      <c r="M229" s="345">
        <f t="shared" si="231"/>
        <v>13.731560448867246</v>
      </c>
      <c r="N229" s="249">
        <f t="shared" si="232"/>
        <v>39.794062180817278</v>
      </c>
      <c r="O229" s="249">
        <f t="shared" si="233"/>
        <v>49.466628287241164</v>
      </c>
      <c r="P229" s="249">
        <f t="shared" si="234"/>
        <v>71.884153099677064</v>
      </c>
      <c r="Q229" s="249">
        <f t="shared" si="235"/>
        <v>78.283529932377263</v>
      </c>
      <c r="R229" s="249">
        <f t="shared" si="236"/>
        <v>98.202846145284013</v>
      </c>
      <c r="S229" s="249">
        <f t="shared" si="237"/>
        <v>103.21785972378527</v>
      </c>
      <c r="T229" s="249">
        <f t="shared" si="238"/>
        <v>122.24720800086516</v>
      </c>
      <c r="U229" s="249" t="e">
        <f t="shared" si="239"/>
        <v>#REF!</v>
      </c>
      <c r="V229" s="251">
        <f t="shared" si="240"/>
        <v>0</v>
      </c>
    </row>
    <row r="230" spans="1:22" x14ac:dyDescent="0.3">
      <c r="A230" s="1028"/>
      <c r="B230" s="237">
        <v>1</v>
      </c>
      <c r="C230" s="247">
        <v>700</v>
      </c>
      <c r="D230" s="51"/>
      <c r="E230" s="247">
        <f t="shared" si="225"/>
        <v>58.31</v>
      </c>
      <c r="F230" s="247">
        <f t="shared" si="226"/>
        <v>32.833333333333336</v>
      </c>
      <c r="G230" s="247">
        <f t="shared" si="227"/>
        <v>58.333333333333336</v>
      </c>
      <c r="H230" s="247">
        <f t="shared" si="228"/>
        <v>78.05</v>
      </c>
      <c r="I230" s="247">
        <f t="shared" si="229"/>
        <v>927.52666666666664</v>
      </c>
      <c r="J230" s="247"/>
      <c r="K230" s="359">
        <f t="shared" si="230"/>
        <v>927.52666666666664</v>
      </c>
      <c r="L230" s="351"/>
      <c r="M230" s="345">
        <f t="shared" si="231"/>
        <v>11.783103959347873</v>
      </c>
      <c r="N230" s="249">
        <f t="shared" si="232"/>
        <v>34.14743527419013</v>
      </c>
      <c r="O230" s="249">
        <f t="shared" si="233"/>
        <v>42.447500835570615</v>
      </c>
      <c r="P230" s="249">
        <f t="shared" si="234"/>
        <v>61.68406366903816</v>
      </c>
      <c r="Q230" s="249">
        <f t="shared" si="235"/>
        <v>67.175393134144144</v>
      </c>
      <c r="R230" s="249">
        <f t="shared" si="236"/>
        <v>84.268233719145968</v>
      </c>
      <c r="S230" s="249">
        <f t="shared" si="237"/>
        <v>88.571635839616278</v>
      </c>
      <c r="T230" s="249">
        <f t="shared" si="238"/>
        <v>104.90079157267549</v>
      </c>
      <c r="U230" s="249" t="e">
        <f t="shared" si="239"/>
        <v>#REF!</v>
      </c>
      <c r="V230" s="251">
        <f t="shared" si="240"/>
        <v>0</v>
      </c>
    </row>
    <row r="231" spans="1:22" x14ac:dyDescent="0.3">
      <c r="A231" s="1028"/>
      <c r="B231" s="237">
        <v>1</v>
      </c>
      <c r="C231" s="247">
        <v>820</v>
      </c>
      <c r="D231" s="51"/>
      <c r="E231" s="247">
        <f t="shared" si="225"/>
        <v>68.305999999999997</v>
      </c>
      <c r="F231" s="247">
        <f t="shared" si="226"/>
        <v>32.833333333333336</v>
      </c>
      <c r="G231" s="247">
        <f t="shared" si="227"/>
        <v>68.333333333333329</v>
      </c>
      <c r="H231" s="247">
        <f t="shared" si="228"/>
        <v>91.43</v>
      </c>
      <c r="I231" s="247">
        <f t="shared" si="229"/>
        <v>1080.9026666666668</v>
      </c>
      <c r="J231" s="247"/>
      <c r="K231" s="359">
        <f t="shared" si="230"/>
        <v>1080.9026666666668</v>
      </c>
      <c r="L231" s="351"/>
      <c r="M231" s="345">
        <f t="shared" si="231"/>
        <v>13.731560448867246</v>
      </c>
      <c r="N231" s="249">
        <f t="shared" si="232"/>
        <v>39.794062180817278</v>
      </c>
      <c r="O231" s="249">
        <f t="shared" si="233"/>
        <v>49.466628287241164</v>
      </c>
      <c r="P231" s="249">
        <f t="shared" si="234"/>
        <v>71.884153099677064</v>
      </c>
      <c r="Q231" s="249">
        <f t="shared" si="235"/>
        <v>78.283529932377263</v>
      </c>
      <c r="R231" s="249">
        <f t="shared" si="236"/>
        <v>98.202846145284013</v>
      </c>
      <c r="S231" s="249">
        <f t="shared" si="237"/>
        <v>103.21785972378527</v>
      </c>
      <c r="T231" s="249">
        <f t="shared" si="238"/>
        <v>122.24720800086516</v>
      </c>
      <c r="U231" s="249" t="e">
        <f t="shared" si="239"/>
        <v>#REF!</v>
      </c>
      <c r="V231" s="251">
        <f t="shared" si="240"/>
        <v>0</v>
      </c>
    </row>
    <row r="232" spans="1:22" x14ac:dyDescent="0.3">
      <c r="A232" s="1028"/>
      <c r="B232" s="237">
        <v>1</v>
      </c>
      <c r="C232" s="247">
        <v>2700</v>
      </c>
      <c r="D232" s="51"/>
      <c r="E232" s="247">
        <f t="shared" si="225"/>
        <v>224.91</v>
      </c>
      <c r="F232" s="247">
        <f t="shared" si="226"/>
        <v>32.833333333333336</v>
      </c>
      <c r="G232" s="247">
        <f t="shared" si="227"/>
        <v>225</v>
      </c>
      <c r="H232" s="247">
        <f t="shared" si="228"/>
        <v>301.05</v>
      </c>
      <c r="I232" s="247">
        <f t="shared" si="229"/>
        <v>3483.7933333333335</v>
      </c>
      <c r="J232" s="247"/>
      <c r="K232" s="359">
        <f t="shared" si="230"/>
        <v>3483.7933333333335</v>
      </c>
      <c r="L232" s="351"/>
      <c r="M232" s="345">
        <f t="shared" si="231"/>
        <v>44.257378784670763</v>
      </c>
      <c r="N232" s="249">
        <f t="shared" si="232"/>
        <v>128.25788371797586</v>
      </c>
      <c r="O232" s="249">
        <f t="shared" si="233"/>
        <v>159.43295836341309</v>
      </c>
      <c r="P232" s="249">
        <f t="shared" si="234"/>
        <v>231.68555417968651</v>
      </c>
      <c r="Q232" s="249">
        <f t="shared" si="235"/>
        <v>252.31100643802927</v>
      </c>
      <c r="R232" s="249">
        <f t="shared" si="236"/>
        <v>316.51177415478003</v>
      </c>
      <c r="S232" s="249">
        <f t="shared" si="237"/>
        <v>332.67536724243286</v>
      </c>
      <c r="T232" s="249">
        <f t="shared" si="238"/>
        <v>394.00773204250345</v>
      </c>
      <c r="U232" s="249" t="e">
        <f t="shared" si="239"/>
        <v>#REF!</v>
      </c>
      <c r="V232" s="251">
        <f t="shared" si="240"/>
        <v>0</v>
      </c>
    </row>
    <row r="233" spans="1:22" x14ac:dyDescent="0.3">
      <c r="A233" s="1028"/>
      <c r="B233" s="237">
        <v>1</v>
      </c>
      <c r="C233" s="247">
        <v>700</v>
      </c>
      <c r="D233" s="51"/>
      <c r="E233" s="247">
        <f t="shared" si="225"/>
        <v>58.31</v>
      </c>
      <c r="F233" s="247">
        <f t="shared" si="226"/>
        <v>32.833333333333336</v>
      </c>
      <c r="G233" s="247">
        <f t="shared" si="227"/>
        <v>58.333333333333336</v>
      </c>
      <c r="H233" s="247">
        <f t="shared" si="228"/>
        <v>78.05</v>
      </c>
      <c r="I233" s="247">
        <f t="shared" si="229"/>
        <v>927.52666666666664</v>
      </c>
      <c r="J233" s="247"/>
      <c r="K233" s="359">
        <f t="shared" si="230"/>
        <v>927.52666666666664</v>
      </c>
      <c r="L233" s="351"/>
      <c r="M233" s="345">
        <f t="shared" si="231"/>
        <v>11.783103959347873</v>
      </c>
      <c r="N233" s="249">
        <f t="shared" si="232"/>
        <v>34.14743527419013</v>
      </c>
      <c r="O233" s="249">
        <f t="shared" si="233"/>
        <v>42.447500835570615</v>
      </c>
      <c r="P233" s="249">
        <f t="shared" si="234"/>
        <v>61.68406366903816</v>
      </c>
      <c r="Q233" s="249">
        <f t="shared" si="235"/>
        <v>67.175393134144144</v>
      </c>
      <c r="R233" s="249">
        <f t="shared" si="236"/>
        <v>84.268233719145968</v>
      </c>
      <c r="S233" s="249">
        <f t="shared" si="237"/>
        <v>88.571635839616278</v>
      </c>
      <c r="T233" s="249">
        <f t="shared" si="238"/>
        <v>104.90079157267549</v>
      </c>
      <c r="U233" s="249" t="e">
        <f t="shared" si="239"/>
        <v>#REF!</v>
      </c>
      <c r="V233" s="251">
        <f t="shared" si="240"/>
        <v>0</v>
      </c>
    </row>
    <row r="234" spans="1:22" ht="10.8" thickBot="1" x14ac:dyDescent="0.35">
      <c r="A234" s="1029"/>
      <c r="B234" s="252"/>
      <c r="C234" s="253"/>
      <c r="D234" s="254"/>
      <c r="E234" s="247">
        <f t="shared" si="225"/>
        <v>0</v>
      </c>
      <c r="F234" s="247"/>
      <c r="G234" s="247">
        <f t="shared" si="227"/>
        <v>0</v>
      </c>
      <c r="H234" s="247">
        <f t="shared" si="228"/>
        <v>0</v>
      </c>
      <c r="I234" s="247">
        <f t="shared" si="229"/>
        <v>0</v>
      </c>
      <c r="J234" s="247"/>
      <c r="K234" s="359">
        <f t="shared" si="230"/>
        <v>0</v>
      </c>
      <c r="L234" s="351"/>
      <c r="M234" s="346">
        <f t="shared" si="215"/>
        <v>0</v>
      </c>
      <c r="N234" s="347">
        <f t="shared" si="216"/>
        <v>0</v>
      </c>
      <c r="O234" s="347">
        <f t="shared" si="217"/>
        <v>0</v>
      </c>
      <c r="P234" s="347">
        <f t="shared" si="218"/>
        <v>0</v>
      </c>
      <c r="Q234" s="347">
        <f t="shared" si="219"/>
        <v>0</v>
      </c>
      <c r="R234" s="347">
        <f t="shared" si="220"/>
        <v>0</v>
      </c>
      <c r="S234" s="347">
        <f t="shared" si="221"/>
        <v>0</v>
      </c>
      <c r="T234" s="347">
        <f t="shared" si="222"/>
        <v>0</v>
      </c>
      <c r="U234" s="347" t="e">
        <f t="shared" si="223"/>
        <v>#REF!</v>
      </c>
      <c r="V234" s="348">
        <f t="shared" si="224"/>
        <v>0</v>
      </c>
    </row>
    <row r="235" spans="1:22" x14ac:dyDescent="0.3">
      <c r="A235" s="1024" t="s">
        <v>252</v>
      </c>
      <c r="B235" s="236"/>
      <c r="C235" s="245"/>
      <c r="D235" s="255"/>
      <c r="E235" s="245">
        <f t="shared" ref="E235:E243" si="241">+C235*0.0833</f>
        <v>0</v>
      </c>
      <c r="F235" s="245"/>
      <c r="G235" s="245">
        <f t="shared" ref="G235:G243" si="242">+C235/12</f>
        <v>0</v>
      </c>
      <c r="H235" s="245">
        <f t="shared" ref="H235:H243" si="243">+C235*0.1115</f>
        <v>0</v>
      </c>
      <c r="I235" s="245">
        <f t="shared" ref="I235:I243" si="244">SUM(C235:H235)</f>
        <v>0</v>
      </c>
      <c r="J235" s="245"/>
      <c r="K235" s="362">
        <f t="shared" ref="K235:K243" si="245">SUM(I235:J235)</f>
        <v>0</v>
      </c>
      <c r="L235" s="351"/>
      <c r="M235" s="366">
        <f t="shared" si="215"/>
        <v>0</v>
      </c>
      <c r="N235" s="245">
        <f t="shared" si="216"/>
        <v>0</v>
      </c>
      <c r="O235" s="245">
        <f t="shared" si="217"/>
        <v>0</v>
      </c>
      <c r="P235" s="245">
        <f t="shared" si="218"/>
        <v>0</v>
      </c>
      <c r="Q235" s="245">
        <f t="shared" si="219"/>
        <v>0</v>
      </c>
      <c r="R235" s="245">
        <f t="shared" si="220"/>
        <v>0</v>
      </c>
      <c r="S235" s="245">
        <f t="shared" si="221"/>
        <v>0</v>
      </c>
      <c r="T235" s="245">
        <f t="shared" si="222"/>
        <v>0</v>
      </c>
      <c r="U235" s="245" t="e">
        <f t="shared" si="223"/>
        <v>#REF!</v>
      </c>
      <c r="V235" s="246">
        <f t="shared" si="224"/>
        <v>0</v>
      </c>
    </row>
    <row r="236" spans="1:22" x14ac:dyDescent="0.3">
      <c r="A236" s="1025"/>
      <c r="B236" s="237"/>
      <c r="C236" s="247"/>
      <c r="D236" s="51"/>
      <c r="E236" s="247">
        <f t="shared" si="241"/>
        <v>0</v>
      </c>
      <c r="F236" s="247"/>
      <c r="G236" s="247">
        <f t="shared" si="242"/>
        <v>0</v>
      </c>
      <c r="H236" s="247">
        <f t="shared" si="243"/>
        <v>0</v>
      </c>
      <c r="I236" s="247">
        <f t="shared" si="244"/>
        <v>0</v>
      </c>
      <c r="J236" s="247"/>
      <c r="K236" s="359">
        <f t="shared" si="245"/>
        <v>0</v>
      </c>
      <c r="L236" s="351"/>
      <c r="M236" s="345">
        <f t="shared" si="215"/>
        <v>0</v>
      </c>
      <c r="N236" s="249">
        <f t="shared" si="216"/>
        <v>0</v>
      </c>
      <c r="O236" s="249">
        <f t="shared" si="217"/>
        <v>0</v>
      </c>
      <c r="P236" s="249">
        <f t="shared" si="218"/>
        <v>0</v>
      </c>
      <c r="Q236" s="249">
        <f t="shared" si="219"/>
        <v>0</v>
      </c>
      <c r="R236" s="249">
        <f t="shared" si="220"/>
        <v>0</v>
      </c>
      <c r="S236" s="249">
        <f t="shared" si="221"/>
        <v>0</v>
      </c>
      <c r="T236" s="249">
        <f t="shared" si="222"/>
        <v>0</v>
      </c>
      <c r="U236" s="249" t="e">
        <f t="shared" si="223"/>
        <v>#REF!</v>
      </c>
      <c r="V236" s="251">
        <f t="shared" si="224"/>
        <v>0</v>
      </c>
    </row>
    <row r="237" spans="1:22" x14ac:dyDescent="0.3">
      <c r="A237" s="1025"/>
      <c r="B237" s="237"/>
      <c r="C237" s="247"/>
      <c r="D237" s="51"/>
      <c r="E237" s="247">
        <f t="shared" si="241"/>
        <v>0</v>
      </c>
      <c r="F237" s="247"/>
      <c r="G237" s="247">
        <f t="shared" si="242"/>
        <v>0</v>
      </c>
      <c r="H237" s="247">
        <f t="shared" si="243"/>
        <v>0</v>
      </c>
      <c r="I237" s="247">
        <f t="shared" si="244"/>
        <v>0</v>
      </c>
      <c r="J237" s="247"/>
      <c r="K237" s="359">
        <f t="shared" si="245"/>
        <v>0</v>
      </c>
      <c r="L237" s="351"/>
      <c r="M237" s="345">
        <f t="shared" si="215"/>
        <v>0</v>
      </c>
      <c r="N237" s="249">
        <f t="shared" si="216"/>
        <v>0</v>
      </c>
      <c r="O237" s="249">
        <f t="shared" si="217"/>
        <v>0</v>
      </c>
      <c r="P237" s="249">
        <f t="shared" si="218"/>
        <v>0</v>
      </c>
      <c r="Q237" s="249">
        <f t="shared" si="219"/>
        <v>0</v>
      </c>
      <c r="R237" s="249">
        <f t="shared" si="220"/>
        <v>0</v>
      </c>
      <c r="S237" s="249">
        <f t="shared" si="221"/>
        <v>0</v>
      </c>
      <c r="T237" s="249">
        <f t="shared" si="222"/>
        <v>0</v>
      </c>
      <c r="U237" s="249" t="e">
        <f t="shared" si="223"/>
        <v>#REF!</v>
      </c>
      <c r="V237" s="251">
        <f t="shared" si="224"/>
        <v>0</v>
      </c>
    </row>
    <row r="238" spans="1:22" x14ac:dyDescent="0.3">
      <c r="A238" s="1025"/>
      <c r="B238" s="237"/>
      <c r="C238" s="247"/>
      <c r="D238" s="51"/>
      <c r="E238" s="247">
        <f t="shared" si="241"/>
        <v>0</v>
      </c>
      <c r="F238" s="247"/>
      <c r="G238" s="247">
        <f t="shared" si="242"/>
        <v>0</v>
      </c>
      <c r="H238" s="247">
        <f t="shared" si="243"/>
        <v>0</v>
      </c>
      <c r="I238" s="247">
        <f t="shared" si="244"/>
        <v>0</v>
      </c>
      <c r="J238" s="247"/>
      <c r="K238" s="359">
        <f t="shared" si="245"/>
        <v>0</v>
      </c>
      <c r="L238" s="351"/>
      <c r="M238" s="345">
        <f t="shared" si="215"/>
        <v>0</v>
      </c>
      <c r="N238" s="249">
        <f t="shared" si="216"/>
        <v>0</v>
      </c>
      <c r="O238" s="249">
        <f t="shared" si="217"/>
        <v>0</v>
      </c>
      <c r="P238" s="249">
        <f t="shared" si="218"/>
        <v>0</v>
      </c>
      <c r="Q238" s="249">
        <f t="shared" si="219"/>
        <v>0</v>
      </c>
      <c r="R238" s="249">
        <f t="shared" si="220"/>
        <v>0</v>
      </c>
      <c r="S238" s="249">
        <f t="shared" si="221"/>
        <v>0</v>
      </c>
      <c r="T238" s="249">
        <f t="shared" si="222"/>
        <v>0</v>
      </c>
      <c r="U238" s="249" t="e">
        <f t="shared" si="223"/>
        <v>#REF!</v>
      </c>
      <c r="V238" s="251">
        <f t="shared" si="224"/>
        <v>0</v>
      </c>
    </row>
    <row r="239" spans="1:22" ht="15.75" customHeight="1" thickBot="1" x14ac:dyDescent="0.35">
      <c r="A239" s="1031"/>
      <c r="B239" s="252"/>
      <c r="C239" s="253"/>
      <c r="D239" s="254"/>
      <c r="E239" s="253">
        <f t="shared" si="241"/>
        <v>0</v>
      </c>
      <c r="F239" s="253"/>
      <c r="G239" s="253">
        <f t="shared" si="242"/>
        <v>0</v>
      </c>
      <c r="H239" s="253">
        <f t="shared" si="243"/>
        <v>0</v>
      </c>
      <c r="I239" s="253">
        <f t="shared" si="244"/>
        <v>0</v>
      </c>
      <c r="J239" s="253"/>
      <c r="K239" s="361">
        <f t="shared" si="245"/>
        <v>0</v>
      </c>
      <c r="L239" s="351"/>
      <c r="M239" s="346">
        <f t="shared" si="215"/>
        <v>0</v>
      </c>
      <c r="N239" s="347">
        <f t="shared" si="216"/>
        <v>0</v>
      </c>
      <c r="O239" s="347">
        <f t="shared" si="217"/>
        <v>0</v>
      </c>
      <c r="P239" s="347">
        <f t="shared" si="218"/>
        <v>0</v>
      </c>
      <c r="Q239" s="347">
        <f t="shared" si="219"/>
        <v>0</v>
      </c>
      <c r="R239" s="347">
        <f t="shared" si="220"/>
        <v>0</v>
      </c>
      <c r="S239" s="347">
        <f t="shared" si="221"/>
        <v>0</v>
      </c>
      <c r="T239" s="347">
        <f t="shared" si="222"/>
        <v>0</v>
      </c>
      <c r="U239" s="347" t="e">
        <f t="shared" si="223"/>
        <v>#REF!</v>
      </c>
      <c r="V239" s="348">
        <f t="shared" si="224"/>
        <v>0</v>
      </c>
    </row>
    <row r="240" spans="1:22" x14ac:dyDescent="0.3">
      <c r="A240" s="1024" t="s">
        <v>253</v>
      </c>
      <c r="B240" s="236">
        <v>1</v>
      </c>
      <c r="C240" s="245">
        <v>1850</v>
      </c>
      <c r="D240" s="255"/>
      <c r="E240" s="245">
        <f t="shared" si="241"/>
        <v>154.10499999999999</v>
      </c>
      <c r="F240" s="245">
        <f>(394/12)</f>
        <v>32.833333333333336</v>
      </c>
      <c r="G240" s="245">
        <f t="shared" si="242"/>
        <v>154.16666666666666</v>
      </c>
      <c r="H240" s="245">
        <f t="shared" si="243"/>
        <v>206.27500000000001</v>
      </c>
      <c r="I240" s="245">
        <f t="shared" si="244"/>
        <v>2397.38</v>
      </c>
      <c r="J240" s="245"/>
      <c r="K240" s="362">
        <f t="shared" si="245"/>
        <v>2397.38</v>
      </c>
      <c r="L240" s="351"/>
      <c r="M240" s="366">
        <f t="shared" si="215"/>
        <v>30.455811983908532</v>
      </c>
      <c r="N240" s="245">
        <f t="shared" si="216"/>
        <v>88.260943129366922</v>
      </c>
      <c r="O240" s="245">
        <f t="shared" si="217"/>
        <v>109.71413891408002</v>
      </c>
      <c r="P240" s="245">
        <f t="shared" si="218"/>
        <v>159.43492071266095</v>
      </c>
      <c r="Q240" s="245">
        <f t="shared" si="219"/>
        <v>173.62837078387807</v>
      </c>
      <c r="R240" s="245">
        <f t="shared" si="220"/>
        <v>217.80826946963555</v>
      </c>
      <c r="S240" s="245">
        <f t="shared" si="221"/>
        <v>228.93128139623582</v>
      </c>
      <c r="T240" s="245">
        <f t="shared" si="222"/>
        <v>271.1372823428265</v>
      </c>
      <c r="U240" s="245" t="e">
        <f t="shared" si="223"/>
        <v>#REF!</v>
      </c>
      <c r="V240" s="246">
        <f t="shared" si="224"/>
        <v>0</v>
      </c>
    </row>
    <row r="241" spans="1:24" x14ac:dyDescent="0.3">
      <c r="A241" s="1025"/>
      <c r="B241" s="237"/>
      <c r="C241" s="247"/>
      <c r="D241" s="51"/>
      <c r="E241" s="247">
        <f t="shared" si="241"/>
        <v>0</v>
      </c>
      <c r="F241" s="247"/>
      <c r="G241" s="247">
        <f t="shared" si="242"/>
        <v>0</v>
      </c>
      <c r="H241" s="247">
        <f t="shared" si="243"/>
        <v>0</v>
      </c>
      <c r="I241" s="247">
        <f t="shared" si="244"/>
        <v>0</v>
      </c>
      <c r="J241" s="247"/>
      <c r="K241" s="359">
        <f t="shared" si="245"/>
        <v>0</v>
      </c>
      <c r="L241" s="351"/>
      <c r="M241" s="345">
        <f t="shared" si="215"/>
        <v>0</v>
      </c>
      <c r="N241" s="249">
        <f t="shared" si="216"/>
        <v>0</v>
      </c>
      <c r="O241" s="249">
        <f t="shared" si="217"/>
        <v>0</v>
      </c>
      <c r="P241" s="249">
        <f t="shared" si="218"/>
        <v>0</v>
      </c>
      <c r="Q241" s="249">
        <f t="shared" si="219"/>
        <v>0</v>
      </c>
      <c r="R241" s="249">
        <f t="shared" si="220"/>
        <v>0</v>
      </c>
      <c r="S241" s="249">
        <f t="shared" si="221"/>
        <v>0</v>
      </c>
      <c r="T241" s="249">
        <f t="shared" si="222"/>
        <v>0</v>
      </c>
      <c r="U241" s="249" t="e">
        <f t="shared" si="223"/>
        <v>#REF!</v>
      </c>
      <c r="V241" s="251">
        <f t="shared" si="224"/>
        <v>0</v>
      </c>
    </row>
    <row r="242" spans="1:24" x14ac:dyDescent="0.3">
      <c r="A242" s="1025"/>
      <c r="B242" s="237"/>
      <c r="C242" s="247"/>
      <c r="D242" s="51"/>
      <c r="E242" s="247">
        <f t="shared" si="241"/>
        <v>0</v>
      </c>
      <c r="F242" s="247"/>
      <c r="G242" s="247">
        <f t="shared" si="242"/>
        <v>0</v>
      </c>
      <c r="H242" s="247">
        <f t="shared" si="243"/>
        <v>0</v>
      </c>
      <c r="I242" s="247">
        <f t="shared" si="244"/>
        <v>0</v>
      </c>
      <c r="J242" s="247"/>
      <c r="K242" s="359">
        <f t="shared" si="245"/>
        <v>0</v>
      </c>
      <c r="L242" s="351"/>
      <c r="M242" s="345">
        <f t="shared" si="215"/>
        <v>0</v>
      </c>
      <c r="N242" s="249">
        <f t="shared" si="216"/>
        <v>0</v>
      </c>
      <c r="O242" s="249">
        <f t="shared" si="217"/>
        <v>0</v>
      </c>
      <c r="P242" s="249">
        <f t="shared" si="218"/>
        <v>0</v>
      </c>
      <c r="Q242" s="249">
        <f t="shared" si="219"/>
        <v>0</v>
      </c>
      <c r="R242" s="249">
        <f t="shared" si="220"/>
        <v>0</v>
      </c>
      <c r="S242" s="249">
        <f t="shared" si="221"/>
        <v>0</v>
      </c>
      <c r="T242" s="249">
        <f t="shared" si="222"/>
        <v>0</v>
      </c>
      <c r="U242" s="249" t="e">
        <f t="shared" si="223"/>
        <v>#REF!</v>
      </c>
      <c r="V242" s="251">
        <f t="shared" si="224"/>
        <v>0</v>
      </c>
    </row>
    <row r="243" spans="1:24" ht="10.8" thickBot="1" x14ac:dyDescent="0.35">
      <c r="A243" s="1031"/>
      <c r="B243" s="252"/>
      <c r="C243" s="253"/>
      <c r="D243" s="254"/>
      <c r="E243" s="253">
        <f t="shared" si="241"/>
        <v>0</v>
      </c>
      <c r="F243" s="253"/>
      <c r="G243" s="253">
        <f t="shared" si="242"/>
        <v>0</v>
      </c>
      <c r="H243" s="253">
        <f t="shared" si="243"/>
        <v>0</v>
      </c>
      <c r="I243" s="253">
        <f t="shared" si="244"/>
        <v>0</v>
      </c>
      <c r="J243" s="253"/>
      <c r="K243" s="361">
        <f t="shared" si="245"/>
        <v>0</v>
      </c>
      <c r="L243" s="351"/>
      <c r="M243" s="346">
        <f t="shared" si="215"/>
        <v>0</v>
      </c>
      <c r="N243" s="347">
        <f t="shared" si="216"/>
        <v>0</v>
      </c>
      <c r="O243" s="347">
        <f t="shared" si="217"/>
        <v>0</v>
      </c>
      <c r="P243" s="347">
        <f t="shared" si="218"/>
        <v>0</v>
      </c>
      <c r="Q243" s="347">
        <f t="shared" si="219"/>
        <v>0</v>
      </c>
      <c r="R243" s="347">
        <f t="shared" si="220"/>
        <v>0</v>
      </c>
      <c r="S243" s="347">
        <f t="shared" si="221"/>
        <v>0</v>
      </c>
      <c r="T243" s="347">
        <f t="shared" si="222"/>
        <v>0</v>
      </c>
      <c r="U243" s="347" t="e">
        <f t="shared" si="223"/>
        <v>#REF!</v>
      </c>
      <c r="V243" s="348">
        <f t="shared" si="224"/>
        <v>0</v>
      </c>
    </row>
    <row r="244" spans="1:24" x14ac:dyDescent="0.3">
      <c r="A244" s="1024" t="s">
        <v>254</v>
      </c>
      <c r="B244" s="236">
        <v>1</v>
      </c>
      <c r="C244" s="245">
        <v>1000</v>
      </c>
      <c r="D244" s="255"/>
      <c r="E244" s="245">
        <f t="shared" ref="E244:E252" si="246">+C244*0.0833</f>
        <v>83.3</v>
      </c>
      <c r="F244" s="245">
        <f t="shared" ref="F244:F249" si="247">(394/12)</f>
        <v>32.833333333333336</v>
      </c>
      <c r="G244" s="245">
        <f t="shared" ref="G244:G252" si="248">+C244/12</f>
        <v>83.333333333333329</v>
      </c>
      <c r="H244" s="245">
        <f t="shared" ref="H244:H252" si="249">+C244*0.1115</f>
        <v>111.5</v>
      </c>
      <c r="I244" s="245">
        <f t="shared" ref="I244:I252" si="250">SUM(C244:H244)</f>
        <v>1310.9666666666665</v>
      </c>
      <c r="J244" s="245"/>
      <c r="K244" s="362">
        <f t="shared" ref="K244:K252" si="251">SUM(I244:J244)</f>
        <v>1310.9666666666665</v>
      </c>
      <c r="L244" s="351"/>
      <c r="M244" s="366">
        <f t="shared" si="215"/>
        <v>16.654245183146301</v>
      </c>
      <c r="N244" s="245">
        <f t="shared" si="216"/>
        <v>48.264002540757986</v>
      </c>
      <c r="O244" s="245">
        <f t="shared" si="217"/>
        <v>59.99531946474697</v>
      </c>
      <c r="P244" s="245">
        <f t="shared" si="218"/>
        <v>87.184287245635389</v>
      </c>
      <c r="Q244" s="245">
        <f t="shared" si="219"/>
        <v>94.945735129726884</v>
      </c>
      <c r="R244" s="245">
        <f t="shared" si="220"/>
        <v>119.10476478449104</v>
      </c>
      <c r="S244" s="245">
        <f t="shared" si="221"/>
        <v>125.18719555003872</v>
      </c>
      <c r="T244" s="245">
        <f t="shared" si="222"/>
        <v>148.26683264314963</v>
      </c>
      <c r="U244" s="245" t="e">
        <f t="shared" si="223"/>
        <v>#REF!</v>
      </c>
      <c r="V244" s="246">
        <f t="shared" si="224"/>
        <v>0</v>
      </c>
    </row>
    <row r="245" spans="1:24" x14ac:dyDescent="0.3">
      <c r="A245" s="1025"/>
      <c r="B245" s="237">
        <v>1</v>
      </c>
      <c r="C245" s="247">
        <v>700</v>
      </c>
      <c r="D245" s="51"/>
      <c r="E245" s="247">
        <f t="shared" si="246"/>
        <v>58.31</v>
      </c>
      <c r="F245" s="247">
        <f t="shared" si="247"/>
        <v>32.833333333333336</v>
      </c>
      <c r="G245" s="247">
        <f t="shared" si="248"/>
        <v>58.333333333333336</v>
      </c>
      <c r="H245" s="247">
        <f t="shared" si="249"/>
        <v>78.05</v>
      </c>
      <c r="I245" s="247">
        <f t="shared" si="250"/>
        <v>927.52666666666664</v>
      </c>
      <c r="J245" s="247"/>
      <c r="K245" s="359">
        <f t="shared" si="251"/>
        <v>927.52666666666664</v>
      </c>
      <c r="L245" s="351"/>
      <c r="M245" s="345">
        <f t="shared" ref="M245:M252" si="252">+(K245/$B$2)*$M$2*6</f>
        <v>11.783103959347873</v>
      </c>
      <c r="N245" s="249">
        <f t="shared" ref="N245:N252" si="253">+(K245/$B$2)*$N$2*6</f>
        <v>34.14743527419013</v>
      </c>
      <c r="O245" s="249">
        <f t="shared" ref="O245:O252" si="254">+(K245/$B$2)*$O$2*6</f>
        <v>42.447500835570615</v>
      </c>
      <c r="P245" s="249">
        <f t="shared" ref="P245:P252" si="255">+(K245/$B$2)*$P$2*6</f>
        <v>61.68406366903816</v>
      </c>
      <c r="Q245" s="249">
        <f t="shared" ref="Q245:Q252" si="256">+(K245/$B$2)*$Q$2*6</f>
        <v>67.175393134144144</v>
      </c>
      <c r="R245" s="249">
        <f t="shared" ref="R245:R252" si="257">+(K245/$B$2)*$R$2*6</f>
        <v>84.268233719145968</v>
      </c>
      <c r="S245" s="249">
        <f t="shared" ref="S245:S252" si="258">+(K245/$B$2)*$S$2*6</f>
        <v>88.571635839616278</v>
      </c>
      <c r="T245" s="249">
        <f t="shared" ref="T245:T252" si="259">+(K245/$B$2)*$T$2*6</f>
        <v>104.90079157267549</v>
      </c>
      <c r="U245" s="249" t="e">
        <f t="shared" ref="U245:U252" si="260">+(K245/$B$2)*$U$2*6</f>
        <v>#REF!</v>
      </c>
      <c r="V245" s="251">
        <f t="shared" ref="V245:V252" si="261">+(K245/$B$2)*$V$2*6</f>
        <v>0</v>
      </c>
    </row>
    <row r="246" spans="1:24" x14ac:dyDescent="0.3">
      <c r="A246" s="1025"/>
      <c r="B246" s="237">
        <v>1</v>
      </c>
      <c r="C246" s="247">
        <v>2000</v>
      </c>
      <c r="D246" s="51"/>
      <c r="E246" s="247">
        <f t="shared" si="246"/>
        <v>166.6</v>
      </c>
      <c r="F246" s="247">
        <f t="shared" si="247"/>
        <v>32.833333333333336</v>
      </c>
      <c r="G246" s="247">
        <f t="shared" si="248"/>
        <v>166.66666666666666</v>
      </c>
      <c r="H246" s="247">
        <f t="shared" si="249"/>
        <v>223</v>
      </c>
      <c r="I246" s="247">
        <f t="shared" si="250"/>
        <v>2589.1</v>
      </c>
      <c r="J246" s="247"/>
      <c r="K246" s="359">
        <f t="shared" si="251"/>
        <v>2589.1</v>
      </c>
      <c r="L246" s="351"/>
      <c r="M246" s="345">
        <f t="shared" si="252"/>
        <v>32.891382595807748</v>
      </c>
      <c r="N246" s="249">
        <f t="shared" si="253"/>
        <v>95.319226762650857</v>
      </c>
      <c r="O246" s="249">
        <f t="shared" si="254"/>
        <v>118.48804822866822</v>
      </c>
      <c r="P246" s="249">
        <f t="shared" si="255"/>
        <v>172.18503250095955</v>
      </c>
      <c r="Q246" s="249">
        <f t="shared" si="256"/>
        <v>187.51354178166946</v>
      </c>
      <c r="R246" s="249">
        <f t="shared" si="257"/>
        <v>235.22653500230808</v>
      </c>
      <c r="S246" s="249">
        <f t="shared" si="258"/>
        <v>247.23906125144703</v>
      </c>
      <c r="T246" s="249">
        <f t="shared" si="259"/>
        <v>292.82030287806356</v>
      </c>
      <c r="U246" s="249" t="e">
        <f t="shared" si="260"/>
        <v>#REF!</v>
      </c>
      <c r="V246" s="251">
        <f t="shared" si="261"/>
        <v>0</v>
      </c>
    </row>
    <row r="247" spans="1:24" x14ac:dyDescent="0.3">
      <c r="A247" s="1025"/>
      <c r="B247" s="237">
        <v>1</v>
      </c>
      <c r="C247" s="247">
        <v>820</v>
      </c>
      <c r="D247" s="51"/>
      <c r="E247" s="247">
        <f t="shared" si="246"/>
        <v>68.305999999999997</v>
      </c>
      <c r="F247" s="247">
        <f t="shared" si="247"/>
        <v>32.833333333333336</v>
      </c>
      <c r="G247" s="247">
        <f t="shared" si="248"/>
        <v>68.333333333333329</v>
      </c>
      <c r="H247" s="247">
        <f t="shared" si="249"/>
        <v>91.43</v>
      </c>
      <c r="I247" s="247">
        <f t="shared" si="250"/>
        <v>1080.9026666666668</v>
      </c>
      <c r="J247" s="247"/>
      <c r="K247" s="359">
        <f t="shared" si="251"/>
        <v>1080.9026666666668</v>
      </c>
      <c r="L247" s="351"/>
      <c r="M247" s="345">
        <f t="shared" si="252"/>
        <v>13.731560448867246</v>
      </c>
      <c r="N247" s="249">
        <f t="shared" si="253"/>
        <v>39.794062180817278</v>
      </c>
      <c r="O247" s="249">
        <f t="shared" si="254"/>
        <v>49.466628287241164</v>
      </c>
      <c r="P247" s="249">
        <f t="shared" si="255"/>
        <v>71.884153099677064</v>
      </c>
      <c r="Q247" s="249">
        <f t="shared" si="256"/>
        <v>78.283529932377263</v>
      </c>
      <c r="R247" s="249">
        <f t="shared" si="257"/>
        <v>98.202846145284013</v>
      </c>
      <c r="S247" s="249">
        <f t="shared" si="258"/>
        <v>103.21785972378527</v>
      </c>
      <c r="T247" s="249">
        <f t="shared" si="259"/>
        <v>122.24720800086516</v>
      </c>
      <c r="U247" s="249" t="e">
        <f t="shared" si="260"/>
        <v>#REF!</v>
      </c>
      <c r="V247" s="251">
        <f t="shared" si="261"/>
        <v>0</v>
      </c>
    </row>
    <row r="248" spans="1:24" x14ac:dyDescent="0.3">
      <c r="A248" s="1025"/>
      <c r="B248" s="237">
        <v>1</v>
      </c>
      <c r="C248" s="247">
        <v>700</v>
      </c>
      <c r="D248" s="51"/>
      <c r="E248" s="247">
        <f t="shared" si="246"/>
        <v>58.31</v>
      </c>
      <c r="F248" s="247">
        <f t="shared" si="247"/>
        <v>32.833333333333336</v>
      </c>
      <c r="G248" s="247">
        <f t="shared" si="248"/>
        <v>58.333333333333336</v>
      </c>
      <c r="H248" s="247">
        <f t="shared" si="249"/>
        <v>78.05</v>
      </c>
      <c r="I248" s="247">
        <f t="shared" si="250"/>
        <v>927.52666666666664</v>
      </c>
      <c r="J248" s="247"/>
      <c r="K248" s="359">
        <f t="shared" si="251"/>
        <v>927.52666666666664</v>
      </c>
      <c r="L248" s="351"/>
      <c r="M248" s="345">
        <f t="shared" si="252"/>
        <v>11.783103959347873</v>
      </c>
      <c r="N248" s="249">
        <f t="shared" si="253"/>
        <v>34.14743527419013</v>
      </c>
      <c r="O248" s="249">
        <f t="shared" si="254"/>
        <v>42.447500835570615</v>
      </c>
      <c r="P248" s="249">
        <f t="shared" si="255"/>
        <v>61.68406366903816</v>
      </c>
      <c r="Q248" s="249">
        <f t="shared" si="256"/>
        <v>67.175393134144144</v>
      </c>
      <c r="R248" s="249">
        <f t="shared" si="257"/>
        <v>84.268233719145968</v>
      </c>
      <c r="S248" s="249">
        <f t="shared" si="258"/>
        <v>88.571635839616278</v>
      </c>
      <c r="T248" s="249">
        <f t="shared" si="259"/>
        <v>104.90079157267549</v>
      </c>
      <c r="U248" s="249" t="e">
        <f t="shared" si="260"/>
        <v>#REF!</v>
      </c>
      <c r="V248" s="251">
        <f t="shared" si="261"/>
        <v>0</v>
      </c>
    </row>
    <row r="249" spans="1:24" x14ac:dyDescent="0.3">
      <c r="A249" s="1025"/>
      <c r="B249" s="237">
        <v>1</v>
      </c>
      <c r="C249" s="247">
        <v>650</v>
      </c>
      <c r="D249" s="51"/>
      <c r="E249" s="247">
        <f t="shared" si="246"/>
        <v>54.144999999999996</v>
      </c>
      <c r="F249" s="247">
        <f t="shared" si="247"/>
        <v>32.833333333333336</v>
      </c>
      <c r="G249" s="247">
        <f t="shared" si="248"/>
        <v>54.166666666666664</v>
      </c>
      <c r="H249" s="247">
        <f t="shared" si="249"/>
        <v>72.474999999999994</v>
      </c>
      <c r="I249" s="247">
        <f t="shared" si="250"/>
        <v>863.62</v>
      </c>
      <c r="J249" s="247"/>
      <c r="K249" s="359">
        <f t="shared" si="251"/>
        <v>863.62</v>
      </c>
      <c r="L249" s="351"/>
      <c r="M249" s="345">
        <f t="shared" si="252"/>
        <v>10.971247088714799</v>
      </c>
      <c r="N249" s="249">
        <f t="shared" si="253"/>
        <v>31.794674063095485</v>
      </c>
      <c r="O249" s="249">
        <f t="shared" si="254"/>
        <v>39.522864397374548</v>
      </c>
      <c r="P249" s="249">
        <f t="shared" si="255"/>
        <v>57.434026406271954</v>
      </c>
      <c r="Q249" s="249">
        <f t="shared" si="256"/>
        <v>62.547002801547016</v>
      </c>
      <c r="R249" s="249">
        <f t="shared" si="257"/>
        <v>78.462145208255109</v>
      </c>
      <c r="S249" s="249">
        <f t="shared" si="258"/>
        <v>82.469042554545851</v>
      </c>
      <c r="T249" s="249">
        <f t="shared" si="259"/>
        <v>97.673118060929767</v>
      </c>
      <c r="U249" s="249" t="e">
        <f t="shared" si="260"/>
        <v>#REF!</v>
      </c>
      <c r="V249" s="251">
        <f t="shared" si="261"/>
        <v>0</v>
      </c>
    </row>
    <row r="250" spans="1:24" x14ac:dyDescent="0.3">
      <c r="A250" s="1025"/>
      <c r="B250" s="237"/>
      <c r="C250" s="247"/>
      <c r="D250" s="51"/>
      <c r="E250" s="247">
        <f t="shared" si="246"/>
        <v>0</v>
      </c>
      <c r="F250" s="247"/>
      <c r="G250" s="247">
        <f t="shared" si="248"/>
        <v>0</v>
      </c>
      <c r="H250" s="247">
        <f t="shared" si="249"/>
        <v>0</v>
      </c>
      <c r="I250" s="247">
        <f t="shared" si="250"/>
        <v>0</v>
      </c>
      <c r="J250" s="247"/>
      <c r="K250" s="359">
        <f t="shared" si="251"/>
        <v>0</v>
      </c>
      <c r="L250" s="351"/>
      <c r="M250" s="345">
        <f t="shared" si="252"/>
        <v>0</v>
      </c>
      <c r="N250" s="249">
        <f t="shared" si="253"/>
        <v>0</v>
      </c>
      <c r="O250" s="249">
        <f t="shared" si="254"/>
        <v>0</v>
      </c>
      <c r="P250" s="249">
        <f t="shared" si="255"/>
        <v>0</v>
      </c>
      <c r="Q250" s="249">
        <f t="shared" si="256"/>
        <v>0</v>
      </c>
      <c r="R250" s="249">
        <f t="shared" si="257"/>
        <v>0</v>
      </c>
      <c r="S250" s="249">
        <f t="shared" si="258"/>
        <v>0</v>
      </c>
      <c r="T250" s="249">
        <f t="shared" si="259"/>
        <v>0</v>
      </c>
      <c r="U250" s="249" t="e">
        <f t="shared" si="260"/>
        <v>#REF!</v>
      </c>
      <c r="V250" s="251">
        <f t="shared" si="261"/>
        <v>0</v>
      </c>
    </row>
    <row r="251" spans="1:24" x14ac:dyDescent="0.3">
      <c r="A251" s="1025"/>
      <c r="B251" s="237"/>
      <c r="C251" s="247"/>
      <c r="D251" s="51"/>
      <c r="E251" s="247">
        <f t="shared" si="246"/>
        <v>0</v>
      </c>
      <c r="F251" s="247"/>
      <c r="G251" s="247">
        <f t="shared" si="248"/>
        <v>0</v>
      </c>
      <c r="H251" s="247">
        <f t="shared" si="249"/>
        <v>0</v>
      </c>
      <c r="I251" s="247">
        <f t="shared" si="250"/>
        <v>0</v>
      </c>
      <c r="J251" s="247"/>
      <c r="K251" s="359">
        <f t="shared" si="251"/>
        <v>0</v>
      </c>
      <c r="L251" s="351"/>
      <c r="M251" s="345">
        <f t="shared" si="252"/>
        <v>0</v>
      </c>
      <c r="N251" s="249">
        <f t="shared" si="253"/>
        <v>0</v>
      </c>
      <c r="O251" s="249">
        <f t="shared" si="254"/>
        <v>0</v>
      </c>
      <c r="P251" s="249">
        <f t="shared" si="255"/>
        <v>0</v>
      </c>
      <c r="Q251" s="249">
        <f t="shared" si="256"/>
        <v>0</v>
      </c>
      <c r="R251" s="249">
        <f t="shared" si="257"/>
        <v>0</v>
      </c>
      <c r="S251" s="249">
        <f t="shared" si="258"/>
        <v>0</v>
      </c>
      <c r="T251" s="249">
        <f t="shared" si="259"/>
        <v>0</v>
      </c>
      <c r="U251" s="249" t="e">
        <f t="shared" si="260"/>
        <v>#REF!</v>
      </c>
      <c r="V251" s="251">
        <f t="shared" si="261"/>
        <v>0</v>
      </c>
    </row>
    <row r="252" spans="1:24" ht="10.8" thickBot="1" x14ac:dyDescent="0.35">
      <c r="A252" s="1031"/>
      <c r="B252" s="252"/>
      <c r="C252" s="253"/>
      <c r="D252" s="254"/>
      <c r="E252" s="253">
        <f t="shared" si="246"/>
        <v>0</v>
      </c>
      <c r="F252" s="253"/>
      <c r="G252" s="253">
        <f t="shared" si="248"/>
        <v>0</v>
      </c>
      <c r="H252" s="253">
        <f t="shared" si="249"/>
        <v>0</v>
      </c>
      <c r="I252" s="253">
        <f t="shared" si="250"/>
        <v>0</v>
      </c>
      <c r="J252" s="253"/>
      <c r="K252" s="361">
        <f t="shared" si="251"/>
        <v>0</v>
      </c>
      <c r="L252" s="351"/>
      <c r="M252" s="346">
        <f t="shared" si="252"/>
        <v>0</v>
      </c>
      <c r="N252" s="347">
        <f t="shared" si="253"/>
        <v>0</v>
      </c>
      <c r="O252" s="347">
        <f t="shared" si="254"/>
        <v>0</v>
      </c>
      <c r="P252" s="347">
        <f t="shared" si="255"/>
        <v>0</v>
      </c>
      <c r="Q252" s="347">
        <f t="shared" si="256"/>
        <v>0</v>
      </c>
      <c r="R252" s="347">
        <f t="shared" si="257"/>
        <v>0</v>
      </c>
      <c r="S252" s="347">
        <f t="shared" si="258"/>
        <v>0</v>
      </c>
      <c r="T252" s="347">
        <f t="shared" si="259"/>
        <v>0</v>
      </c>
      <c r="U252" s="347" t="e">
        <f t="shared" si="260"/>
        <v>#REF!</v>
      </c>
      <c r="V252" s="348">
        <f t="shared" si="261"/>
        <v>0</v>
      </c>
    </row>
    <row r="253" spans="1:24" x14ac:dyDescent="0.3">
      <c r="A253" s="1024" t="s">
        <v>255</v>
      </c>
      <c r="B253" s="236"/>
      <c r="C253" s="245"/>
      <c r="D253" s="255"/>
      <c r="E253" s="245">
        <f t="shared" ref="E253:E261" si="262">+C253*0.0833</f>
        <v>0</v>
      </c>
      <c r="F253" s="245"/>
      <c r="G253" s="245">
        <f t="shared" ref="G253:G261" si="263">+C253/12</f>
        <v>0</v>
      </c>
      <c r="H253" s="245">
        <f t="shared" ref="H253:H261" si="264">+C253*0.1115</f>
        <v>0</v>
      </c>
      <c r="I253" s="245">
        <f t="shared" ref="I253:I261" si="265">SUM(C253:H253)</f>
        <v>0</v>
      </c>
      <c r="J253" s="245"/>
      <c r="K253" s="362">
        <f t="shared" ref="K253:K261" si="266">SUM(I253:J253)</f>
        <v>0</v>
      </c>
      <c r="L253" s="351"/>
      <c r="M253" s="366">
        <f t="shared" ref="M253:M267" si="267">+(K253/$B$2)*$M$2*6</f>
        <v>0</v>
      </c>
      <c r="N253" s="245">
        <f t="shared" ref="N253:N267" si="268">+(K253/$B$2)*$N$2*6</f>
        <v>0</v>
      </c>
      <c r="O253" s="245">
        <f t="shared" ref="O253:O267" si="269">+(K253/$B$2)*$O$2*6</f>
        <v>0</v>
      </c>
      <c r="P253" s="245">
        <f t="shared" ref="P253:P267" si="270">+(K253/$B$2)*$P$2*6</f>
        <v>0</v>
      </c>
      <c r="Q253" s="245">
        <f t="shared" ref="Q253:Q267" si="271">+(K253/$B$2)*$Q$2*6</f>
        <v>0</v>
      </c>
      <c r="R253" s="245">
        <f t="shared" ref="R253:R267" si="272">+(K253/$B$2)*$R$2*6</f>
        <v>0</v>
      </c>
      <c r="S253" s="245">
        <f t="shared" ref="S253:S267" si="273">+(K253/$B$2)*$S$2*6</f>
        <v>0</v>
      </c>
      <c r="T253" s="245">
        <f t="shared" ref="T253:T267" si="274">+(K253/$B$2)*$T$2*6</f>
        <v>0</v>
      </c>
      <c r="U253" s="245" t="e">
        <f t="shared" ref="U253:U267" si="275">+(K253/$B$2)*$U$2*6</f>
        <v>#REF!</v>
      </c>
      <c r="V253" s="246">
        <f t="shared" ref="V253:V267" si="276">+(K253/$B$2)*$V$2*6</f>
        <v>0</v>
      </c>
    </row>
    <row r="254" spans="1:24" x14ac:dyDescent="0.3">
      <c r="A254" s="1025"/>
      <c r="B254" s="237"/>
      <c r="C254" s="247"/>
      <c r="D254" s="51"/>
      <c r="E254" s="247">
        <f t="shared" si="262"/>
        <v>0</v>
      </c>
      <c r="F254" s="247"/>
      <c r="G254" s="247">
        <f t="shared" si="263"/>
        <v>0</v>
      </c>
      <c r="H254" s="247">
        <f t="shared" si="264"/>
        <v>0</v>
      </c>
      <c r="I254" s="247">
        <f t="shared" si="265"/>
        <v>0</v>
      </c>
      <c r="J254" s="247"/>
      <c r="K254" s="359">
        <f t="shared" si="266"/>
        <v>0</v>
      </c>
      <c r="L254" s="351"/>
      <c r="M254" s="345">
        <f t="shared" si="267"/>
        <v>0</v>
      </c>
      <c r="N254" s="249">
        <f t="shared" si="268"/>
        <v>0</v>
      </c>
      <c r="O254" s="249">
        <f t="shared" si="269"/>
        <v>0</v>
      </c>
      <c r="P254" s="249">
        <f t="shared" si="270"/>
        <v>0</v>
      </c>
      <c r="Q254" s="249">
        <f t="shared" si="271"/>
        <v>0</v>
      </c>
      <c r="R254" s="249">
        <f t="shared" si="272"/>
        <v>0</v>
      </c>
      <c r="S254" s="249">
        <f t="shared" si="273"/>
        <v>0</v>
      </c>
      <c r="T254" s="249">
        <f t="shared" si="274"/>
        <v>0</v>
      </c>
      <c r="U254" s="249" t="e">
        <f t="shared" si="275"/>
        <v>#REF!</v>
      </c>
      <c r="V254" s="251">
        <f t="shared" si="276"/>
        <v>0</v>
      </c>
      <c r="X254" s="48">
        <f>240000/4750</f>
        <v>50.526315789473685</v>
      </c>
    </row>
    <row r="255" spans="1:24" x14ac:dyDescent="0.3">
      <c r="A255" s="1025"/>
      <c r="B255" s="237"/>
      <c r="C255" s="247"/>
      <c r="D255" s="51"/>
      <c r="E255" s="247">
        <f t="shared" si="262"/>
        <v>0</v>
      </c>
      <c r="F255" s="247"/>
      <c r="G255" s="247">
        <f t="shared" si="263"/>
        <v>0</v>
      </c>
      <c r="H255" s="247">
        <f t="shared" si="264"/>
        <v>0</v>
      </c>
      <c r="I255" s="247">
        <f t="shared" si="265"/>
        <v>0</v>
      </c>
      <c r="J255" s="247"/>
      <c r="K255" s="359">
        <f t="shared" si="266"/>
        <v>0</v>
      </c>
      <c r="L255" s="351"/>
      <c r="M255" s="345">
        <f t="shared" si="267"/>
        <v>0</v>
      </c>
      <c r="N255" s="249">
        <f t="shared" si="268"/>
        <v>0</v>
      </c>
      <c r="O255" s="249">
        <f t="shared" si="269"/>
        <v>0</v>
      </c>
      <c r="P255" s="249">
        <f t="shared" si="270"/>
        <v>0</v>
      </c>
      <c r="Q255" s="249">
        <f t="shared" si="271"/>
        <v>0</v>
      </c>
      <c r="R255" s="249">
        <f t="shared" si="272"/>
        <v>0</v>
      </c>
      <c r="S255" s="249">
        <f t="shared" si="273"/>
        <v>0</v>
      </c>
      <c r="T255" s="249">
        <f t="shared" si="274"/>
        <v>0</v>
      </c>
      <c r="U255" s="249" t="e">
        <f t="shared" si="275"/>
        <v>#REF!</v>
      </c>
      <c r="V255" s="251">
        <f t="shared" si="276"/>
        <v>0</v>
      </c>
    </row>
    <row r="256" spans="1:24" ht="10.8" thickBot="1" x14ac:dyDescent="0.35">
      <c r="A256" s="1026"/>
      <c r="B256" s="239"/>
      <c r="C256" s="233"/>
      <c r="D256" s="139"/>
      <c r="E256" s="233">
        <f t="shared" si="262"/>
        <v>0</v>
      </c>
      <c r="F256" s="233"/>
      <c r="G256" s="233">
        <f t="shared" si="263"/>
        <v>0</v>
      </c>
      <c r="H256" s="233">
        <f t="shared" si="264"/>
        <v>0</v>
      </c>
      <c r="I256" s="233">
        <f t="shared" si="265"/>
        <v>0</v>
      </c>
      <c r="J256" s="233"/>
      <c r="K256" s="360">
        <f t="shared" si="266"/>
        <v>0</v>
      </c>
      <c r="L256" s="351"/>
      <c r="M256" s="346">
        <f t="shared" si="267"/>
        <v>0</v>
      </c>
      <c r="N256" s="347">
        <f t="shared" si="268"/>
        <v>0</v>
      </c>
      <c r="O256" s="347">
        <f t="shared" si="269"/>
        <v>0</v>
      </c>
      <c r="P256" s="347">
        <f t="shared" si="270"/>
        <v>0</v>
      </c>
      <c r="Q256" s="347">
        <f t="shared" si="271"/>
        <v>0</v>
      </c>
      <c r="R256" s="347">
        <f t="shared" si="272"/>
        <v>0</v>
      </c>
      <c r="S256" s="347">
        <f t="shared" si="273"/>
        <v>0</v>
      </c>
      <c r="T256" s="347">
        <f t="shared" si="274"/>
        <v>0</v>
      </c>
      <c r="U256" s="347" t="e">
        <f t="shared" si="275"/>
        <v>#REF!</v>
      </c>
      <c r="V256" s="348">
        <f t="shared" si="276"/>
        <v>0</v>
      </c>
    </row>
    <row r="257" spans="1:22" x14ac:dyDescent="0.3">
      <c r="A257" s="1033" t="s">
        <v>256</v>
      </c>
      <c r="B257" s="240"/>
      <c r="C257" s="249"/>
      <c r="D257" s="202"/>
      <c r="E257" s="249">
        <f t="shared" si="262"/>
        <v>0</v>
      </c>
      <c r="F257" s="249"/>
      <c r="G257" s="249">
        <f t="shared" si="263"/>
        <v>0</v>
      </c>
      <c r="H257" s="249">
        <f t="shared" si="264"/>
        <v>0</v>
      </c>
      <c r="I257" s="249">
        <f t="shared" si="265"/>
        <v>0</v>
      </c>
      <c r="J257" s="249"/>
      <c r="K257" s="368">
        <f t="shared" si="266"/>
        <v>0</v>
      </c>
      <c r="L257" s="351"/>
      <c r="M257" s="345">
        <f t="shared" si="267"/>
        <v>0</v>
      </c>
      <c r="N257" s="249">
        <f t="shared" si="268"/>
        <v>0</v>
      </c>
      <c r="O257" s="249">
        <f t="shared" si="269"/>
        <v>0</v>
      </c>
      <c r="P257" s="249">
        <f t="shared" si="270"/>
        <v>0</v>
      </c>
      <c r="Q257" s="249">
        <f t="shared" si="271"/>
        <v>0</v>
      </c>
      <c r="R257" s="249">
        <f t="shared" si="272"/>
        <v>0</v>
      </c>
      <c r="S257" s="249">
        <f t="shared" si="273"/>
        <v>0</v>
      </c>
      <c r="T257" s="249">
        <f t="shared" si="274"/>
        <v>0</v>
      </c>
      <c r="U257" s="249" t="e">
        <f t="shared" si="275"/>
        <v>#REF!</v>
      </c>
      <c r="V257" s="251">
        <f t="shared" si="276"/>
        <v>0</v>
      </c>
    </row>
    <row r="258" spans="1:22" x14ac:dyDescent="0.3">
      <c r="A258" s="1019"/>
      <c r="B258" s="237"/>
      <c r="C258" s="247"/>
      <c r="D258" s="51"/>
      <c r="E258" s="247">
        <f t="shared" si="262"/>
        <v>0</v>
      </c>
      <c r="F258" s="247"/>
      <c r="G258" s="247">
        <f t="shared" si="263"/>
        <v>0</v>
      </c>
      <c r="H258" s="247">
        <f t="shared" si="264"/>
        <v>0</v>
      </c>
      <c r="I258" s="247">
        <f t="shared" si="265"/>
        <v>0</v>
      </c>
      <c r="J258" s="247"/>
      <c r="K258" s="359">
        <f t="shared" si="266"/>
        <v>0</v>
      </c>
      <c r="L258" s="351"/>
      <c r="M258" s="345">
        <f t="shared" si="267"/>
        <v>0</v>
      </c>
      <c r="N258" s="249">
        <f t="shared" si="268"/>
        <v>0</v>
      </c>
      <c r="O258" s="249">
        <f t="shared" si="269"/>
        <v>0</v>
      </c>
      <c r="P258" s="249">
        <f t="shared" si="270"/>
        <v>0</v>
      </c>
      <c r="Q258" s="249">
        <f t="shared" si="271"/>
        <v>0</v>
      </c>
      <c r="R258" s="249">
        <f t="shared" si="272"/>
        <v>0</v>
      </c>
      <c r="S258" s="249">
        <f t="shared" si="273"/>
        <v>0</v>
      </c>
      <c r="T258" s="249">
        <f t="shared" si="274"/>
        <v>0</v>
      </c>
      <c r="U258" s="249" t="e">
        <f t="shared" si="275"/>
        <v>#REF!</v>
      </c>
      <c r="V258" s="251">
        <f t="shared" si="276"/>
        <v>0</v>
      </c>
    </row>
    <row r="259" spans="1:22" x14ac:dyDescent="0.3">
      <c r="A259" s="1019"/>
      <c r="B259" s="237"/>
      <c r="C259" s="247"/>
      <c r="D259" s="51"/>
      <c r="E259" s="247">
        <f t="shared" si="262"/>
        <v>0</v>
      </c>
      <c r="F259" s="247"/>
      <c r="G259" s="247">
        <f t="shared" si="263"/>
        <v>0</v>
      </c>
      <c r="H259" s="247">
        <f t="shared" si="264"/>
        <v>0</v>
      </c>
      <c r="I259" s="247">
        <f t="shared" si="265"/>
        <v>0</v>
      </c>
      <c r="J259" s="247"/>
      <c r="K259" s="359">
        <f t="shared" si="266"/>
        <v>0</v>
      </c>
      <c r="L259" s="351"/>
      <c r="M259" s="345">
        <f t="shared" si="267"/>
        <v>0</v>
      </c>
      <c r="N259" s="249">
        <f t="shared" si="268"/>
        <v>0</v>
      </c>
      <c r="O259" s="249">
        <f t="shared" si="269"/>
        <v>0</v>
      </c>
      <c r="P259" s="249">
        <f t="shared" si="270"/>
        <v>0</v>
      </c>
      <c r="Q259" s="249">
        <f t="shared" si="271"/>
        <v>0</v>
      </c>
      <c r="R259" s="249">
        <f t="shared" si="272"/>
        <v>0</v>
      </c>
      <c r="S259" s="249">
        <f t="shared" si="273"/>
        <v>0</v>
      </c>
      <c r="T259" s="249">
        <f t="shared" si="274"/>
        <v>0</v>
      </c>
      <c r="U259" s="249" t="e">
        <f t="shared" si="275"/>
        <v>#REF!</v>
      </c>
      <c r="V259" s="251">
        <f t="shared" si="276"/>
        <v>0</v>
      </c>
    </row>
    <row r="260" spans="1:22" x14ac:dyDescent="0.3">
      <c r="A260" s="1019"/>
      <c r="B260" s="237"/>
      <c r="C260" s="247"/>
      <c r="D260" s="51"/>
      <c r="E260" s="247">
        <f t="shared" si="262"/>
        <v>0</v>
      </c>
      <c r="F260" s="247"/>
      <c r="G260" s="247">
        <f t="shared" si="263"/>
        <v>0</v>
      </c>
      <c r="H260" s="247">
        <f t="shared" si="264"/>
        <v>0</v>
      </c>
      <c r="I260" s="247">
        <f t="shared" si="265"/>
        <v>0</v>
      </c>
      <c r="J260" s="247"/>
      <c r="K260" s="359">
        <f t="shared" si="266"/>
        <v>0</v>
      </c>
      <c r="L260" s="351"/>
      <c r="M260" s="345">
        <f t="shared" si="267"/>
        <v>0</v>
      </c>
      <c r="N260" s="249">
        <f t="shared" si="268"/>
        <v>0</v>
      </c>
      <c r="O260" s="249">
        <f t="shared" si="269"/>
        <v>0</v>
      </c>
      <c r="P260" s="249">
        <f t="shared" si="270"/>
        <v>0</v>
      </c>
      <c r="Q260" s="249">
        <f t="shared" si="271"/>
        <v>0</v>
      </c>
      <c r="R260" s="249">
        <f t="shared" si="272"/>
        <v>0</v>
      </c>
      <c r="S260" s="249">
        <f t="shared" si="273"/>
        <v>0</v>
      </c>
      <c r="T260" s="249">
        <f t="shared" si="274"/>
        <v>0</v>
      </c>
      <c r="U260" s="249" t="e">
        <f t="shared" si="275"/>
        <v>#REF!</v>
      </c>
      <c r="V260" s="251">
        <f t="shared" si="276"/>
        <v>0</v>
      </c>
    </row>
    <row r="261" spans="1:22" ht="10.8" thickBot="1" x14ac:dyDescent="0.35">
      <c r="A261" s="1031"/>
      <c r="B261" s="252"/>
      <c r="C261" s="253"/>
      <c r="D261" s="254"/>
      <c r="E261" s="253">
        <f t="shared" si="262"/>
        <v>0</v>
      </c>
      <c r="F261" s="253"/>
      <c r="G261" s="253">
        <f t="shared" si="263"/>
        <v>0</v>
      </c>
      <c r="H261" s="253">
        <f t="shared" si="264"/>
        <v>0</v>
      </c>
      <c r="I261" s="253">
        <f t="shared" si="265"/>
        <v>0</v>
      </c>
      <c r="J261" s="253"/>
      <c r="K261" s="361">
        <f t="shared" si="266"/>
        <v>0</v>
      </c>
      <c r="L261" s="351"/>
      <c r="M261" s="364">
        <f t="shared" si="267"/>
        <v>0</v>
      </c>
      <c r="N261" s="363">
        <f t="shared" si="268"/>
        <v>0</v>
      </c>
      <c r="O261" s="363">
        <f t="shared" si="269"/>
        <v>0</v>
      </c>
      <c r="P261" s="363">
        <f t="shared" si="270"/>
        <v>0</v>
      </c>
      <c r="Q261" s="363">
        <f t="shared" si="271"/>
        <v>0</v>
      </c>
      <c r="R261" s="363">
        <f t="shared" si="272"/>
        <v>0</v>
      </c>
      <c r="S261" s="363">
        <f t="shared" si="273"/>
        <v>0</v>
      </c>
      <c r="T261" s="363">
        <f t="shared" si="274"/>
        <v>0</v>
      </c>
      <c r="U261" s="363" t="e">
        <f t="shared" si="275"/>
        <v>#REF!</v>
      </c>
      <c r="V261" s="365">
        <f t="shared" si="276"/>
        <v>0</v>
      </c>
    </row>
    <row r="262" spans="1:22" x14ac:dyDescent="0.3">
      <c r="A262" s="1024" t="s">
        <v>257</v>
      </c>
      <c r="B262" s="236">
        <v>1</v>
      </c>
      <c r="C262" s="511">
        <v>750</v>
      </c>
      <c r="D262" s="255"/>
      <c r="E262" s="245">
        <f t="shared" ref="E262:E277" si="277">+C262*0.0833</f>
        <v>62.475000000000001</v>
      </c>
      <c r="F262" s="245">
        <v>32.833333333333336</v>
      </c>
      <c r="G262" s="245">
        <f t="shared" ref="G262:G277" si="278">+C262/12</f>
        <v>62.5</v>
      </c>
      <c r="H262" s="245">
        <f t="shared" ref="H262:H277" si="279">+C262*0.1115</f>
        <v>83.625</v>
      </c>
      <c r="I262" s="245">
        <f t="shared" ref="I262:I277" si="280">SUM(C262:H262)</f>
        <v>991.43333333333339</v>
      </c>
      <c r="J262" s="245"/>
      <c r="K262" s="362">
        <f t="shared" ref="K262:K277" si="281">SUM(I262:J262)</f>
        <v>991.43333333333339</v>
      </c>
      <c r="L262" s="351"/>
      <c r="M262" s="366">
        <f t="shared" si="267"/>
        <v>12.594960829980945</v>
      </c>
      <c r="N262" s="245">
        <f t="shared" si="268"/>
        <v>36.500196485284775</v>
      </c>
      <c r="O262" s="245">
        <f t="shared" si="269"/>
        <v>45.372137273766675</v>
      </c>
      <c r="P262" s="245">
        <f t="shared" si="270"/>
        <v>65.934100931804366</v>
      </c>
      <c r="Q262" s="245">
        <f t="shared" si="271"/>
        <v>71.80378346674128</v>
      </c>
      <c r="R262" s="245">
        <f t="shared" si="272"/>
        <v>90.074322230036813</v>
      </c>
      <c r="S262" s="245">
        <f t="shared" si="273"/>
        <v>94.67422912468669</v>
      </c>
      <c r="T262" s="245">
        <f t="shared" si="274"/>
        <v>112.12846508442118</v>
      </c>
      <c r="U262" s="245" t="e">
        <f t="shared" si="275"/>
        <v>#REF!</v>
      </c>
      <c r="V262" s="246">
        <f t="shared" si="276"/>
        <v>0</v>
      </c>
    </row>
    <row r="263" spans="1:22" x14ac:dyDescent="0.3">
      <c r="A263" s="1025"/>
      <c r="B263" s="237">
        <v>1</v>
      </c>
      <c r="C263" s="512">
        <v>510</v>
      </c>
      <c r="D263" s="51"/>
      <c r="E263" s="249">
        <f t="shared" si="277"/>
        <v>42.482999999999997</v>
      </c>
      <c r="F263" s="249">
        <f t="shared" ref="F263:F280" si="282">(394/12)</f>
        <v>32.833333333333336</v>
      </c>
      <c r="G263" s="249">
        <f t="shared" si="278"/>
        <v>42.5</v>
      </c>
      <c r="H263" s="249">
        <f t="shared" si="279"/>
        <v>56.865000000000002</v>
      </c>
      <c r="I263" s="249">
        <f t="shared" si="280"/>
        <v>684.68133333333333</v>
      </c>
      <c r="J263" s="249"/>
      <c r="K263" s="368">
        <f t="shared" si="281"/>
        <v>684.68133333333333</v>
      </c>
      <c r="L263" s="351"/>
      <c r="M263" s="345">
        <f t="shared" si="267"/>
        <v>8.6980478509421975</v>
      </c>
      <c r="N263" s="249">
        <f t="shared" si="268"/>
        <v>25.206942672030486</v>
      </c>
      <c r="O263" s="249">
        <f t="shared" si="269"/>
        <v>31.333882370425577</v>
      </c>
      <c r="P263" s="249">
        <f t="shared" si="270"/>
        <v>45.533922070526572</v>
      </c>
      <c r="Q263" s="249">
        <f t="shared" si="271"/>
        <v>49.587509870275056</v>
      </c>
      <c r="R263" s="249">
        <f t="shared" si="272"/>
        <v>62.205097377760737</v>
      </c>
      <c r="S263" s="249">
        <f t="shared" si="273"/>
        <v>65.381781356348696</v>
      </c>
      <c r="T263" s="249">
        <f t="shared" si="274"/>
        <v>77.435632228041825</v>
      </c>
      <c r="U263" s="249" t="e">
        <f t="shared" si="275"/>
        <v>#REF!</v>
      </c>
      <c r="V263" s="251">
        <f t="shared" si="276"/>
        <v>0</v>
      </c>
    </row>
    <row r="264" spans="1:22" x14ac:dyDescent="0.3">
      <c r="A264" s="1025"/>
      <c r="B264" s="237">
        <v>1</v>
      </c>
      <c r="C264" s="247">
        <v>1950</v>
      </c>
      <c r="D264" s="51"/>
      <c r="E264" s="249">
        <f t="shared" si="277"/>
        <v>162.435</v>
      </c>
      <c r="F264" s="249">
        <f t="shared" si="282"/>
        <v>32.833333333333336</v>
      </c>
      <c r="G264" s="249">
        <f t="shared" si="278"/>
        <v>162.5</v>
      </c>
      <c r="H264" s="249">
        <f t="shared" si="279"/>
        <v>217.42500000000001</v>
      </c>
      <c r="I264" s="249">
        <f t="shared" si="280"/>
        <v>2525.1933333333336</v>
      </c>
      <c r="J264" s="249"/>
      <c r="K264" s="368">
        <f t="shared" si="281"/>
        <v>2525.1933333333336</v>
      </c>
      <c r="L264" s="351"/>
      <c r="M264" s="345">
        <f t="shared" si="267"/>
        <v>32.079525725174683</v>
      </c>
      <c r="N264" s="249">
        <f t="shared" si="268"/>
        <v>92.966465551556226</v>
      </c>
      <c r="O264" s="249">
        <f t="shared" si="269"/>
        <v>115.56341179047217</v>
      </c>
      <c r="P264" s="249">
        <f t="shared" si="270"/>
        <v>167.93499523819338</v>
      </c>
      <c r="Q264" s="249">
        <f t="shared" si="271"/>
        <v>182.88515144907234</v>
      </c>
      <c r="R264" s="249">
        <f t="shared" si="272"/>
        <v>229.42044649141727</v>
      </c>
      <c r="S264" s="249">
        <f t="shared" si="273"/>
        <v>241.13646796637667</v>
      </c>
      <c r="T264" s="249">
        <f t="shared" si="274"/>
        <v>285.59262936631796</v>
      </c>
      <c r="U264" s="249" t="e">
        <f t="shared" si="275"/>
        <v>#REF!</v>
      </c>
      <c r="V264" s="251">
        <f t="shared" si="276"/>
        <v>0</v>
      </c>
    </row>
    <row r="265" spans="1:22" x14ac:dyDescent="0.3">
      <c r="A265" s="1025"/>
      <c r="B265" s="237">
        <v>1</v>
      </c>
      <c r="C265" s="247">
        <v>820</v>
      </c>
      <c r="D265" s="51"/>
      <c r="E265" s="249">
        <f t="shared" si="277"/>
        <v>68.305999999999997</v>
      </c>
      <c r="F265" s="249">
        <f t="shared" si="282"/>
        <v>32.833333333333336</v>
      </c>
      <c r="G265" s="249">
        <f t="shared" si="278"/>
        <v>68.333333333333329</v>
      </c>
      <c r="H265" s="249">
        <f t="shared" si="279"/>
        <v>91.43</v>
      </c>
      <c r="I265" s="249">
        <f t="shared" si="280"/>
        <v>1080.9026666666668</v>
      </c>
      <c r="J265" s="249"/>
      <c r="K265" s="368">
        <f t="shared" si="281"/>
        <v>1080.9026666666668</v>
      </c>
      <c r="L265" s="351"/>
      <c r="M265" s="345">
        <f t="shared" si="267"/>
        <v>13.731560448867246</v>
      </c>
      <c r="N265" s="249">
        <f t="shared" si="268"/>
        <v>39.794062180817278</v>
      </c>
      <c r="O265" s="249">
        <f t="shared" si="269"/>
        <v>49.466628287241164</v>
      </c>
      <c r="P265" s="249">
        <f t="shared" si="270"/>
        <v>71.884153099677064</v>
      </c>
      <c r="Q265" s="249">
        <f t="shared" si="271"/>
        <v>78.283529932377263</v>
      </c>
      <c r="R265" s="249">
        <f t="shared" si="272"/>
        <v>98.202846145284013</v>
      </c>
      <c r="S265" s="249">
        <f t="shared" si="273"/>
        <v>103.21785972378527</v>
      </c>
      <c r="T265" s="249">
        <f t="shared" si="274"/>
        <v>122.24720800086516</v>
      </c>
      <c r="U265" s="249" t="e">
        <f t="shared" si="275"/>
        <v>#REF!</v>
      </c>
      <c r="V265" s="251">
        <f t="shared" si="276"/>
        <v>0</v>
      </c>
    </row>
    <row r="266" spans="1:22" x14ac:dyDescent="0.3">
      <c r="A266" s="1025"/>
      <c r="B266" s="237">
        <v>1</v>
      </c>
      <c r="C266" s="247">
        <v>820</v>
      </c>
      <c r="D266" s="51"/>
      <c r="E266" s="249">
        <f t="shared" si="277"/>
        <v>68.305999999999997</v>
      </c>
      <c r="F266" s="249">
        <f t="shared" si="282"/>
        <v>32.833333333333336</v>
      </c>
      <c r="G266" s="249">
        <f t="shared" si="278"/>
        <v>68.333333333333329</v>
      </c>
      <c r="H266" s="249">
        <f t="shared" si="279"/>
        <v>91.43</v>
      </c>
      <c r="I266" s="249">
        <f t="shared" si="280"/>
        <v>1080.9026666666668</v>
      </c>
      <c r="J266" s="249"/>
      <c r="K266" s="368">
        <f t="shared" si="281"/>
        <v>1080.9026666666668</v>
      </c>
      <c r="L266" s="351"/>
      <c r="M266" s="345">
        <f t="shared" si="267"/>
        <v>13.731560448867246</v>
      </c>
      <c r="N266" s="249">
        <f t="shared" si="268"/>
        <v>39.794062180817278</v>
      </c>
      <c r="O266" s="249">
        <f t="shared" si="269"/>
        <v>49.466628287241164</v>
      </c>
      <c r="P266" s="249">
        <f t="shared" si="270"/>
        <v>71.884153099677064</v>
      </c>
      <c r="Q266" s="249">
        <f t="shared" si="271"/>
        <v>78.283529932377263</v>
      </c>
      <c r="R266" s="249">
        <f t="shared" si="272"/>
        <v>98.202846145284013</v>
      </c>
      <c r="S266" s="249">
        <f t="shared" si="273"/>
        <v>103.21785972378527</v>
      </c>
      <c r="T266" s="249">
        <f t="shared" si="274"/>
        <v>122.24720800086516</v>
      </c>
      <c r="U266" s="249" t="e">
        <f t="shared" si="275"/>
        <v>#REF!</v>
      </c>
      <c r="V266" s="251">
        <f t="shared" si="276"/>
        <v>0</v>
      </c>
    </row>
    <row r="267" spans="1:22" x14ac:dyDescent="0.3">
      <c r="A267" s="1025"/>
      <c r="B267" s="237">
        <v>1</v>
      </c>
      <c r="C267" s="247">
        <v>1850</v>
      </c>
      <c r="D267" s="51"/>
      <c r="E267" s="249">
        <f t="shared" si="277"/>
        <v>154.10499999999999</v>
      </c>
      <c r="F267" s="249">
        <f t="shared" si="282"/>
        <v>32.833333333333336</v>
      </c>
      <c r="G267" s="249">
        <f t="shared" si="278"/>
        <v>154.16666666666666</v>
      </c>
      <c r="H267" s="249">
        <f t="shared" si="279"/>
        <v>206.27500000000001</v>
      </c>
      <c r="I267" s="249">
        <f t="shared" si="280"/>
        <v>2397.38</v>
      </c>
      <c r="J267" s="249"/>
      <c r="K267" s="368">
        <f t="shared" si="281"/>
        <v>2397.38</v>
      </c>
      <c r="L267" s="351"/>
      <c r="M267" s="345">
        <f t="shared" si="267"/>
        <v>30.455811983908532</v>
      </c>
      <c r="N267" s="249">
        <f t="shared" si="268"/>
        <v>88.260943129366922</v>
      </c>
      <c r="O267" s="249">
        <f t="shared" si="269"/>
        <v>109.71413891408002</v>
      </c>
      <c r="P267" s="249">
        <f t="shared" si="270"/>
        <v>159.43492071266095</v>
      </c>
      <c r="Q267" s="249">
        <f t="shared" si="271"/>
        <v>173.62837078387807</v>
      </c>
      <c r="R267" s="249">
        <f t="shared" si="272"/>
        <v>217.80826946963555</v>
      </c>
      <c r="S267" s="249">
        <f t="shared" si="273"/>
        <v>228.93128139623582</v>
      </c>
      <c r="T267" s="249">
        <f t="shared" si="274"/>
        <v>271.1372823428265</v>
      </c>
      <c r="U267" s="249" t="e">
        <f t="shared" si="275"/>
        <v>#REF!</v>
      </c>
      <c r="V267" s="251">
        <f t="shared" si="276"/>
        <v>0</v>
      </c>
    </row>
    <row r="268" spans="1:22" x14ac:dyDescent="0.3">
      <c r="A268" s="1025"/>
      <c r="B268" s="237">
        <v>1</v>
      </c>
      <c r="C268" s="247">
        <v>650</v>
      </c>
      <c r="D268" s="51"/>
      <c r="E268" s="249">
        <f t="shared" si="277"/>
        <v>54.144999999999996</v>
      </c>
      <c r="F268" s="249">
        <f t="shared" si="282"/>
        <v>32.833333333333336</v>
      </c>
      <c r="G268" s="249">
        <f t="shared" si="278"/>
        <v>54.166666666666664</v>
      </c>
      <c r="H268" s="249">
        <f t="shared" si="279"/>
        <v>72.474999999999994</v>
      </c>
      <c r="I268" s="249">
        <f t="shared" si="280"/>
        <v>863.62</v>
      </c>
      <c r="J268" s="249"/>
      <c r="K268" s="368">
        <f t="shared" si="281"/>
        <v>863.62</v>
      </c>
      <c r="L268" s="351"/>
      <c r="M268" s="345">
        <f t="shared" ref="M268:M276" si="283">+(K268/$B$2)*$M$2*6</f>
        <v>10.971247088714799</v>
      </c>
      <c r="N268" s="249">
        <f t="shared" ref="N268:N276" si="284">+(K268/$B$2)*$N$2*6</f>
        <v>31.794674063095485</v>
      </c>
      <c r="O268" s="249">
        <f t="shared" ref="O268:O276" si="285">+(K268/$B$2)*$O$2*6</f>
        <v>39.522864397374548</v>
      </c>
      <c r="P268" s="249">
        <f t="shared" ref="P268:P276" si="286">+(K268/$B$2)*$P$2*6</f>
        <v>57.434026406271954</v>
      </c>
      <c r="Q268" s="249">
        <f t="shared" ref="Q268:Q276" si="287">+(K268/$B$2)*$Q$2*6</f>
        <v>62.547002801547016</v>
      </c>
      <c r="R268" s="249">
        <f t="shared" ref="R268:R276" si="288">+(K268/$B$2)*$R$2*6</f>
        <v>78.462145208255109</v>
      </c>
      <c r="S268" s="249">
        <f t="shared" ref="S268:S276" si="289">+(K268/$B$2)*$S$2*6</f>
        <v>82.469042554545851</v>
      </c>
      <c r="T268" s="249">
        <f t="shared" ref="T268:T276" si="290">+(K268/$B$2)*$T$2*6</f>
        <v>97.673118060929767</v>
      </c>
      <c r="U268" s="249" t="e">
        <f t="shared" ref="U268:U276" si="291">+(K268/$B$2)*$U$2*6</f>
        <v>#REF!</v>
      </c>
      <c r="V268" s="251">
        <f t="shared" ref="V268:V276" si="292">+(K268/$B$2)*$V$2*6</f>
        <v>0</v>
      </c>
    </row>
    <row r="269" spans="1:22" x14ac:dyDescent="0.3">
      <c r="A269" s="1025"/>
      <c r="B269" s="237">
        <v>1</v>
      </c>
      <c r="C269" s="247">
        <v>650</v>
      </c>
      <c r="D269" s="51"/>
      <c r="E269" s="249">
        <f t="shared" si="277"/>
        <v>54.144999999999996</v>
      </c>
      <c r="F269" s="249">
        <f t="shared" si="282"/>
        <v>32.833333333333336</v>
      </c>
      <c r="G269" s="249">
        <f t="shared" si="278"/>
        <v>54.166666666666664</v>
      </c>
      <c r="H269" s="249">
        <f t="shared" si="279"/>
        <v>72.474999999999994</v>
      </c>
      <c r="I269" s="249">
        <f t="shared" si="280"/>
        <v>863.62</v>
      </c>
      <c r="J269" s="249"/>
      <c r="K269" s="368">
        <f t="shared" si="281"/>
        <v>863.62</v>
      </c>
      <c r="L269" s="351"/>
      <c r="M269" s="345">
        <f t="shared" si="283"/>
        <v>10.971247088714799</v>
      </c>
      <c r="N269" s="249">
        <f t="shared" si="284"/>
        <v>31.794674063095485</v>
      </c>
      <c r="O269" s="249">
        <f t="shared" si="285"/>
        <v>39.522864397374548</v>
      </c>
      <c r="P269" s="249">
        <f t="shared" si="286"/>
        <v>57.434026406271954</v>
      </c>
      <c r="Q269" s="249">
        <f t="shared" si="287"/>
        <v>62.547002801547016</v>
      </c>
      <c r="R269" s="249">
        <f t="shared" si="288"/>
        <v>78.462145208255109</v>
      </c>
      <c r="S269" s="249">
        <f t="shared" si="289"/>
        <v>82.469042554545851</v>
      </c>
      <c r="T269" s="249">
        <f t="shared" si="290"/>
        <v>97.673118060929767</v>
      </c>
      <c r="U269" s="249" t="e">
        <f t="shared" si="291"/>
        <v>#REF!</v>
      </c>
      <c r="V269" s="251">
        <f t="shared" si="292"/>
        <v>0</v>
      </c>
    </row>
    <row r="270" spans="1:22" x14ac:dyDescent="0.3">
      <c r="A270" s="1025"/>
      <c r="B270" s="237">
        <v>1</v>
      </c>
      <c r="C270" s="247">
        <v>675</v>
      </c>
      <c r="D270" s="51"/>
      <c r="E270" s="249">
        <f t="shared" si="277"/>
        <v>56.227499999999999</v>
      </c>
      <c r="F270" s="249">
        <f t="shared" si="282"/>
        <v>32.833333333333336</v>
      </c>
      <c r="G270" s="249">
        <f t="shared" si="278"/>
        <v>56.25</v>
      </c>
      <c r="H270" s="249">
        <f t="shared" si="279"/>
        <v>75.262500000000003</v>
      </c>
      <c r="I270" s="249">
        <f t="shared" si="280"/>
        <v>895.57333333333338</v>
      </c>
      <c r="J270" s="249"/>
      <c r="K270" s="368">
        <f t="shared" si="281"/>
        <v>895.57333333333338</v>
      </c>
      <c r="L270" s="351"/>
      <c r="M270" s="345">
        <f t="shared" si="283"/>
        <v>11.377175524031337</v>
      </c>
      <c r="N270" s="249">
        <f t="shared" si="284"/>
        <v>32.971054668642815</v>
      </c>
      <c r="O270" s="249">
        <f t="shared" si="285"/>
        <v>40.985182616472585</v>
      </c>
      <c r="P270" s="249">
        <f t="shared" si="286"/>
        <v>59.559045037655061</v>
      </c>
      <c r="Q270" s="249">
        <f t="shared" si="287"/>
        <v>64.861197967845584</v>
      </c>
      <c r="R270" s="249">
        <f t="shared" si="288"/>
        <v>81.365189463700546</v>
      </c>
      <c r="S270" s="249">
        <f t="shared" si="289"/>
        <v>85.520339197081071</v>
      </c>
      <c r="T270" s="249">
        <f t="shared" si="290"/>
        <v>101.28695481680265</v>
      </c>
      <c r="U270" s="249" t="e">
        <f t="shared" si="291"/>
        <v>#REF!</v>
      </c>
      <c r="V270" s="251">
        <f t="shared" si="292"/>
        <v>0</v>
      </c>
    </row>
    <row r="271" spans="1:22" x14ac:dyDescent="0.3">
      <c r="A271" s="1025"/>
      <c r="B271" s="237">
        <v>1</v>
      </c>
      <c r="C271" s="247">
        <v>700</v>
      </c>
      <c r="D271" s="51"/>
      <c r="E271" s="249">
        <f t="shared" si="277"/>
        <v>58.31</v>
      </c>
      <c r="F271" s="249">
        <f t="shared" si="282"/>
        <v>32.833333333333336</v>
      </c>
      <c r="G271" s="249">
        <f t="shared" si="278"/>
        <v>58.333333333333336</v>
      </c>
      <c r="H271" s="249">
        <f t="shared" si="279"/>
        <v>78.05</v>
      </c>
      <c r="I271" s="249">
        <f t="shared" si="280"/>
        <v>927.52666666666664</v>
      </c>
      <c r="J271" s="249"/>
      <c r="K271" s="368">
        <f t="shared" si="281"/>
        <v>927.52666666666664</v>
      </c>
      <c r="L271" s="351"/>
      <c r="M271" s="345">
        <f t="shared" si="283"/>
        <v>11.783103959347873</v>
      </c>
      <c r="N271" s="249">
        <f t="shared" si="284"/>
        <v>34.14743527419013</v>
      </c>
      <c r="O271" s="249">
        <f t="shared" si="285"/>
        <v>42.447500835570615</v>
      </c>
      <c r="P271" s="249">
        <f t="shared" si="286"/>
        <v>61.68406366903816</v>
      </c>
      <c r="Q271" s="249">
        <f t="shared" si="287"/>
        <v>67.175393134144144</v>
      </c>
      <c r="R271" s="249">
        <f t="shared" si="288"/>
        <v>84.268233719145968</v>
      </c>
      <c r="S271" s="249">
        <f t="shared" si="289"/>
        <v>88.571635839616278</v>
      </c>
      <c r="T271" s="249">
        <f t="shared" si="290"/>
        <v>104.90079157267549</v>
      </c>
      <c r="U271" s="249" t="e">
        <f t="shared" si="291"/>
        <v>#REF!</v>
      </c>
      <c r="V271" s="251">
        <f t="shared" si="292"/>
        <v>0</v>
      </c>
    </row>
    <row r="272" spans="1:22" x14ac:dyDescent="0.3">
      <c r="A272" s="1025"/>
      <c r="B272" s="237">
        <v>1</v>
      </c>
      <c r="C272" s="247">
        <v>500</v>
      </c>
      <c r="D272" s="51"/>
      <c r="E272" s="249">
        <f t="shared" si="277"/>
        <v>41.65</v>
      </c>
      <c r="F272" s="249">
        <f t="shared" si="282"/>
        <v>32.833333333333336</v>
      </c>
      <c r="G272" s="249">
        <f t="shared" si="278"/>
        <v>41.666666666666664</v>
      </c>
      <c r="H272" s="249">
        <f t="shared" si="279"/>
        <v>55.75</v>
      </c>
      <c r="I272" s="249">
        <f t="shared" si="280"/>
        <v>671.9</v>
      </c>
      <c r="J272" s="249"/>
      <c r="K272" s="368">
        <f t="shared" si="281"/>
        <v>671.9</v>
      </c>
      <c r="L272" s="351"/>
      <c r="M272" s="345">
        <f t="shared" si="283"/>
        <v>8.5356764768155831</v>
      </c>
      <c r="N272" s="249">
        <f t="shared" si="284"/>
        <v>24.736390429811564</v>
      </c>
      <c r="O272" s="249">
        <f t="shared" si="285"/>
        <v>30.748955082786367</v>
      </c>
      <c r="P272" s="249">
        <f t="shared" si="286"/>
        <v>44.683914617973329</v>
      </c>
      <c r="Q272" s="249">
        <f t="shared" si="287"/>
        <v>48.661831803755632</v>
      </c>
      <c r="R272" s="249">
        <f t="shared" si="288"/>
        <v>61.043879675582559</v>
      </c>
      <c r="S272" s="249">
        <f t="shared" si="289"/>
        <v>64.161262699334614</v>
      </c>
      <c r="T272" s="249">
        <f t="shared" si="290"/>
        <v>75.99009752569269</v>
      </c>
      <c r="U272" s="249" t="e">
        <f t="shared" si="291"/>
        <v>#REF!</v>
      </c>
      <c r="V272" s="251">
        <f t="shared" si="292"/>
        <v>0</v>
      </c>
    </row>
    <row r="273" spans="1:22" x14ac:dyDescent="0.3">
      <c r="A273" s="1025"/>
      <c r="B273" s="237">
        <v>1</v>
      </c>
      <c r="C273" s="247">
        <v>820</v>
      </c>
      <c r="D273" s="51"/>
      <c r="E273" s="249">
        <f t="shared" si="277"/>
        <v>68.305999999999997</v>
      </c>
      <c r="F273" s="249">
        <f t="shared" si="282"/>
        <v>32.833333333333336</v>
      </c>
      <c r="G273" s="249">
        <f t="shared" si="278"/>
        <v>68.333333333333329</v>
      </c>
      <c r="H273" s="249">
        <f t="shared" si="279"/>
        <v>91.43</v>
      </c>
      <c r="I273" s="249">
        <f t="shared" si="280"/>
        <v>1080.9026666666668</v>
      </c>
      <c r="J273" s="249"/>
      <c r="K273" s="368">
        <f t="shared" si="281"/>
        <v>1080.9026666666668</v>
      </c>
      <c r="L273" s="351"/>
      <c r="M273" s="345">
        <f t="shared" si="283"/>
        <v>13.731560448867246</v>
      </c>
      <c r="N273" s="249">
        <f t="shared" si="284"/>
        <v>39.794062180817278</v>
      </c>
      <c r="O273" s="249">
        <f t="shared" si="285"/>
        <v>49.466628287241164</v>
      </c>
      <c r="P273" s="249">
        <f t="shared" si="286"/>
        <v>71.884153099677064</v>
      </c>
      <c r="Q273" s="249">
        <f t="shared" si="287"/>
        <v>78.283529932377263</v>
      </c>
      <c r="R273" s="249">
        <f t="shared" si="288"/>
        <v>98.202846145284013</v>
      </c>
      <c r="S273" s="249">
        <f t="shared" si="289"/>
        <v>103.21785972378527</v>
      </c>
      <c r="T273" s="249">
        <f t="shared" si="290"/>
        <v>122.24720800086516</v>
      </c>
      <c r="U273" s="249" t="e">
        <f t="shared" si="291"/>
        <v>#REF!</v>
      </c>
      <c r="V273" s="251">
        <f t="shared" si="292"/>
        <v>0</v>
      </c>
    </row>
    <row r="274" spans="1:22" x14ac:dyDescent="0.3">
      <c r="A274" s="1025"/>
      <c r="B274" s="237">
        <v>1</v>
      </c>
      <c r="C274" s="247">
        <v>820</v>
      </c>
      <c r="D274" s="51"/>
      <c r="E274" s="249">
        <f t="shared" si="277"/>
        <v>68.305999999999997</v>
      </c>
      <c r="F274" s="249">
        <f t="shared" si="282"/>
        <v>32.833333333333336</v>
      </c>
      <c r="G274" s="249">
        <f t="shared" si="278"/>
        <v>68.333333333333329</v>
      </c>
      <c r="H274" s="249">
        <f t="shared" si="279"/>
        <v>91.43</v>
      </c>
      <c r="I274" s="249">
        <f t="shared" si="280"/>
        <v>1080.9026666666668</v>
      </c>
      <c r="J274" s="249"/>
      <c r="K274" s="368">
        <f t="shared" si="281"/>
        <v>1080.9026666666668</v>
      </c>
      <c r="L274" s="351"/>
      <c r="M274" s="345">
        <f t="shared" si="283"/>
        <v>13.731560448867246</v>
      </c>
      <c r="N274" s="249">
        <f t="shared" si="284"/>
        <v>39.794062180817278</v>
      </c>
      <c r="O274" s="249">
        <f t="shared" si="285"/>
        <v>49.466628287241164</v>
      </c>
      <c r="P274" s="249">
        <f t="shared" si="286"/>
        <v>71.884153099677064</v>
      </c>
      <c r="Q274" s="249">
        <f t="shared" si="287"/>
        <v>78.283529932377263</v>
      </c>
      <c r="R274" s="249">
        <f t="shared" si="288"/>
        <v>98.202846145284013</v>
      </c>
      <c r="S274" s="249">
        <f t="shared" si="289"/>
        <v>103.21785972378527</v>
      </c>
      <c r="T274" s="249">
        <f t="shared" si="290"/>
        <v>122.24720800086516</v>
      </c>
      <c r="U274" s="249" t="e">
        <f t="shared" si="291"/>
        <v>#REF!</v>
      </c>
      <c r="V274" s="251">
        <f t="shared" si="292"/>
        <v>0</v>
      </c>
    </row>
    <row r="275" spans="1:22" x14ac:dyDescent="0.3">
      <c r="A275" s="1025"/>
      <c r="B275" s="237">
        <v>1</v>
      </c>
      <c r="C275" s="247">
        <v>650</v>
      </c>
      <c r="D275" s="51"/>
      <c r="E275" s="249">
        <f t="shared" si="277"/>
        <v>54.144999999999996</v>
      </c>
      <c r="F275" s="249">
        <f t="shared" si="282"/>
        <v>32.833333333333336</v>
      </c>
      <c r="G275" s="249">
        <f t="shared" si="278"/>
        <v>54.166666666666664</v>
      </c>
      <c r="H275" s="249">
        <f t="shared" si="279"/>
        <v>72.474999999999994</v>
      </c>
      <c r="I275" s="249">
        <f t="shared" si="280"/>
        <v>863.62</v>
      </c>
      <c r="J275" s="249"/>
      <c r="K275" s="368">
        <f t="shared" si="281"/>
        <v>863.62</v>
      </c>
      <c r="L275" s="351"/>
      <c r="M275" s="345">
        <f t="shared" si="283"/>
        <v>10.971247088714799</v>
      </c>
      <c r="N275" s="249">
        <f t="shared" si="284"/>
        <v>31.794674063095485</v>
      </c>
      <c r="O275" s="249">
        <f t="shared" si="285"/>
        <v>39.522864397374548</v>
      </c>
      <c r="P275" s="249">
        <f t="shared" si="286"/>
        <v>57.434026406271954</v>
      </c>
      <c r="Q275" s="249">
        <f t="shared" si="287"/>
        <v>62.547002801547016</v>
      </c>
      <c r="R275" s="249">
        <f t="shared" si="288"/>
        <v>78.462145208255109</v>
      </c>
      <c r="S275" s="249">
        <f t="shared" si="289"/>
        <v>82.469042554545851</v>
      </c>
      <c r="T275" s="249">
        <f t="shared" si="290"/>
        <v>97.673118060929767</v>
      </c>
      <c r="U275" s="249" t="e">
        <f t="shared" si="291"/>
        <v>#REF!</v>
      </c>
      <c r="V275" s="251">
        <f t="shared" si="292"/>
        <v>0</v>
      </c>
    </row>
    <row r="276" spans="1:22" x14ac:dyDescent="0.3">
      <c r="A276" s="1025"/>
      <c r="B276" s="237">
        <v>1</v>
      </c>
      <c r="C276" s="247">
        <v>900</v>
      </c>
      <c r="D276" s="51"/>
      <c r="E276" s="249">
        <f t="shared" si="277"/>
        <v>74.97</v>
      </c>
      <c r="F276" s="249">
        <f t="shared" si="282"/>
        <v>32.833333333333336</v>
      </c>
      <c r="G276" s="249">
        <f t="shared" si="278"/>
        <v>75</v>
      </c>
      <c r="H276" s="249">
        <f t="shared" si="279"/>
        <v>100.35000000000001</v>
      </c>
      <c r="I276" s="249">
        <f t="shared" si="280"/>
        <v>1183.1533333333332</v>
      </c>
      <c r="J276" s="249"/>
      <c r="K276" s="368">
        <f t="shared" si="281"/>
        <v>1183.1533333333332</v>
      </c>
      <c r="L276" s="351"/>
      <c r="M276" s="345">
        <f t="shared" si="283"/>
        <v>15.030531441880157</v>
      </c>
      <c r="N276" s="249">
        <f t="shared" si="284"/>
        <v>43.558480118568703</v>
      </c>
      <c r="O276" s="249">
        <f t="shared" si="285"/>
        <v>54.146046588354849</v>
      </c>
      <c r="P276" s="249">
        <f t="shared" si="286"/>
        <v>78.684212720102977</v>
      </c>
      <c r="Q276" s="249">
        <f t="shared" si="287"/>
        <v>85.688954464532642</v>
      </c>
      <c r="R276" s="249">
        <f t="shared" si="288"/>
        <v>107.49258776270935</v>
      </c>
      <c r="S276" s="249">
        <f t="shared" si="289"/>
        <v>112.9820089798979</v>
      </c>
      <c r="T276" s="249">
        <f t="shared" si="290"/>
        <v>133.81148561965824</v>
      </c>
      <c r="U276" s="249" t="e">
        <f t="shared" si="291"/>
        <v>#REF!</v>
      </c>
      <c r="V276" s="251">
        <f t="shared" si="292"/>
        <v>0</v>
      </c>
    </row>
    <row r="277" spans="1:22" x14ac:dyDescent="0.3">
      <c r="A277" s="1025"/>
      <c r="B277" s="237">
        <v>1</v>
      </c>
      <c r="C277" s="247">
        <v>500</v>
      </c>
      <c r="D277" s="51"/>
      <c r="E277" s="249">
        <f t="shared" si="277"/>
        <v>41.65</v>
      </c>
      <c r="F277" s="249">
        <f t="shared" si="282"/>
        <v>32.833333333333336</v>
      </c>
      <c r="G277" s="249">
        <f t="shared" si="278"/>
        <v>41.666666666666664</v>
      </c>
      <c r="H277" s="249">
        <f t="shared" si="279"/>
        <v>55.75</v>
      </c>
      <c r="I277" s="249">
        <f t="shared" si="280"/>
        <v>671.9</v>
      </c>
      <c r="J277" s="249"/>
      <c r="K277" s="368">
        <f t="shared" si="281"/>
        <v>671.9</v>
      </c>
      <c r="L277" s="351"/>
      <c r="M277" s="345">
        <f t="shared" ref="M277:M288" si="293">+(K277/$B$2)*$M$2*6</f>
        <v>8.5356764768155831</v>
      </c>
      <c r="N277" s="249">
        <f t="shared" ref="N277:N288" si="294">+(K277/$B$2)*$N$2*6</f>
        <v>24.736390429811564</v>
      </c>
      <c r="O277" s="249">
        <f t="shared" ref="O277:O288" si="295">+(K277/$B$2)*$O$2*6</f>
        <v>30.748955082786367</v>
      </c>
      <c r="P277" s="249">
        <f t="shared" ref="P277:P288" si="296">+(K277/$B$2)*$P$2*6</f>
        <v>44.683914617973329</v>
      </c>
      <c r="Q277" s="249">
        <f t="shared" ref="Q277:Q288" si="297">+(K277/$B$2)*$Q$2*6</f>
        <v>48.661831803755632</v>
      </c>
      <c r="R277" s="249">
        <f t="shared" ref="R277:R288" si="298">+(K277/$B$2)*$R$2*6</f>
        <v>61.043879675582559</v>
      </c>
      <c r="S277" s="249">
        <f t="shared" ref="S277:S288" si="299">+(K277/$B$2)*$S$2*6</f>
        <v>64.161262699334614</v>
      </c>
      <c r="T277" s="249">
        <f t="shared" ref="T277:T288" si="300">+(K277/$B$2)*$T$2*6</f>
        <v>75.99009752569269</v>
      </c>
      <c r="U277" s="249" t="e">
        <f t="shared" ref="U277:U288" si="301">+(K277/$B$2)*$U$2*6</f>
        <v>#REF!</v>
      </c>
      <c r="V277" s="251">
        <f t="shared" ref="V277:V288" si="302">+(K277/$B$2)*$V$2*6</f>
        <v>0</v>
      </c>
    </row>
    <row r="278" spans="1:22" x14ac:dyDescent="0.3">
      <c r="A278" s="1031"/>
      <c r="B278" s="252">
        <v>1</v>
      </c>
      <c r="C278" s="253">
        <v>900</v>
      </c>
      <c r="D278" s="254"/>
      <c r="E278" s="249">
        <f>+C278*0.0833</f>
        <v>74.97</v>
      </c>
      <c r="F278" s="249">
        <f t="shared" si="282"/>
        <v>32.833333333333336</v>
      </c>
      <c r="G278" s="249">
        <f>+C278/12</f>
        <v>75</v>
      </c>
      <c r="H278" s="249">
        <f>+C278*0.1115</f>
        <v>100.35000000000001</v>
      </c>
      <c r="I278" s="249">
        <f>SUM(C278:H278)</f>
        <v>1183.1533333333332</v>
      </c>
      <c r="J278" s="249"/>
      <c r="K278" s="368">
        <f>SUM(I278:J278)</f>
        <v>1183.1533333333332</v>
      </c>
      <c r="L278" s="351"/>
      <c r="M278" s="345">
        <f t="shared" si="293"/>
        <v>15.030531441880157</v>
      </c>
      <c r="N278" s="249">
        <f t="shared" si="294"/>
        <v>43.558480118568703</v>
      </c>
      <c r="O278" s="249">
        <f t="shared" si="295"/>
        <v>54.146046588354849</v>
      </c>
      <c r="P278" s="249">
        <f t="shared" si="296"/>
        <v>78.684212720102977</v>
      </c>
      <c r="Q278" s="249">
        <f t="shared" si="297"/>
        <v>85.688954464532642</v>
      </c>
      <c r="R278" s="249">
        <f t="shared" si="298"/>
        <v>107.49258776270935</v>
      </c>
      <c r="S278" s="249">
        <f t="shared" si="299"/>
        <v>112.9820089798979</v>
      </c>
      <c r="T278" s="249">
        <f t="shared" si="300"/>
        <v>133.81148561965824</v>
      </c>
      <c r="U278" s="249" t="e">
        <f t="shared" si="301"/>
        <v>#REF!</v>
      </c>
      <c r="V278" s="251">
        <f t="shared" si="302"/>
        <v>0</v>
      </c>
    </row>
    <row r="279" spans="1:22" x14ac:dyDescent="0.3">
      <c r="A279" s="1031"/>
      <c r="B279" s="252">
        <v>1</v>
      </c>
      <c r="C279" s="253">
        <v>650</v>
      </c>
      <c r="D279" s="254"/>
      <c r="E279" s="249">
        <f>+C279*0.0833</f>
        <v>54.144999999999996</v>
      </c>
      <c r="F279" s="249">
        <f t="shared" si="282"/>
        <v>32.833333333333336</v>
      </c>
      <c r="G279" s="249">
        <f>+C279/12</f>
        <v>54.166666666666664</v>
      </c>
      <c r="H279" s="249">
        <f>+C279*0.1115</f>
        <v>72.474999999999994</v>
      </c>
      <c r="I279" s="249">
        <f>SUM(C279:H279)</f>
        <v>863.62</v>
      </c>
      <c r="J279" s="249"/>
      <c r="K279" s="368">
        <f>SUM(I279:J279)</f>
        <v>863.62</v>
      </c>
      <c r="L279" s="351"/>
      <c r="M279" s="345">
        <f t="shared" si="293"/>
        <v>10.971247088714799</v>
      </c>
      <c r="N279" s="249">
        <f t="shared" si="294"/>
        <v>31.794674063095485</v>
      </c>
      <c r="O279" s="249">
        <f t="shared" si="295"/>
        <v>39.522864397374548</v>
      </c>
      <c r="P279" s="249">
        <f t="shared" si="296"/>
        <v>57.434026406271954</v>
      </c>
      <c r="Q279" s="249">
        <f t="shared" si="297"/>
        <v>62.547002801547016</v>
      </c>
      <c r="R279" s="249">
        <f t="shared" si="298"/>
        <v>78.462145208255109</v>
      </c>
      <c r="S279" s="249">
        <f t="shared" si="299"/>
        <v>82.469042554545851</v>
      </c>
      <c r="T279" s="249">
        <f t="shared" si="300"/>
        <v>97.673118060929767</v>
      </c>
      <c r="U279" s="249" t="e">
        <f t="shared" si="301"/>
        <v>#REF!</v>
      </c>
      <c r="V279" s="251">
        <f t="shared" si="302"/>
        <v>0</v>
      </c>
    </row>
    <row r="280" spans="1:22" x14ac:dyDescent="0.3">
      <c r="A280" s="1031"/>
      <c r="B280" s="252">
        <v>1</v>
      </c>
      <c r="C280" s="253">
        <v>820</v>
      </c>
      <c r="D280" s="254"/>
      <c r="E280" s="249">
        <f>+C280*0.0833</f>
        <v>68.305999999999997</v>
      </c>
      <c r="F280" s="249">
        <f t="shared" si="282"/>
        <v>32.833333333333336</v>
      </c>
      <c r="G280" s="249">
        <f>+C280/12</f>
        <v>68.333333333333329</v>
      </c>
      <c r="H280" s="249">
        <f>+C280*0.1115</f>
        <v>91.43</v>
      </c>
      <c r="I280" s="249">
        <f>SUM(C280:H280)</f>
        <v>1080.9026666666668</v>
      </c>
      <c r="J280" s="249"/>
      <c r="K280" s="368">
        <f>SUM(I280:J280)</f>
        <v>1080.9026666666668</v>
      </c>
      <c r="L280" s="351"/>
      <c r="M280" s="345">
        <f t="shared" si="293"/>
        <v>13.731560448867246</v>
      </c>
      <c r="N280" s="249">
        <f t="shared" si="294"/>
        <v>39.794062180817278</v>
      </c>
      <c r="O280" s="249">
        <f t="shared" si="295"/>
        <v>49.466628287241164</v>
      </c>
      <c r="P280" s="249">
        <f t="shared" si="296"/>
        <v>71.884153099677064</v>
      </c>
      <c r="Q280" s="249">
        <f t="shared" si="297"/>
        <v>78.283529932377263</v>
      </c>
      <c r="R280" s="249">
        <f t="shared" si="298"/>
        <v>98.202846145284013</v>
      </c>
      <c r="S280" s="249">
        <f t="shared" si="299"/>
        <v>103.21785972378527</v>
      </c>
      <c r="T280" s="249">
        <f t="shared" si="300"/>
        <v>122.24720800086516</v>
      </c>
      <c r="U280" s="249" t="e">
        <f t="shared" si="301"/>
        <v>#REF!</v>
      </c>
      <c r="V280" s="251">
        <f t="shared" si="302"/>
        <v>0</v>
      </c>
    </row>
    <row r="281" spans="1:22" x14ac:dyDescent="0.3">
      <c r="A281" s="1031"/>
      <c r="B281" s="252"/>
      <c r="C281" s="253"/>
      <c r="D281" s="254"/>
      <c r="E281" s="249">
        <f>+C281*0.0833</f>
        <v>0</v>
      </c>
      <c r="F281" s="249"/>
      <c r="G281" s="249">
        <f>+C281/12</f>
        <v>0</v>
      </c>
      <c r="H281" s="249">
        <f>+C281*0.1115</f>
        <v>0</v>
      </c>
      <c r="I281" s="249">
        <f>SUM(C281:H281)</f>
        <v>0</v>
      </c>
      <c r="J281" s="249"/>
      <c r="K281" s="368">
        <f>SUM(I281:J281)</f>
        <v>0</v>
      </c>
      <c r="L281" s="351"/>
      <c r="M281" s="345">
        <f t="shared" si="293"/>
        <v>0</v>
      </c>
      <c r="N281" s="249">
        <f t="shared" si="294"/>
        <v>0</v>
      </c>
      <c r="O281" s="249">
        <f t="shared" si="295"/>
        <v>0</v>
      </c>
      <c r="P281" s="249">
        <f t="shared" si="296"/>
        <v>0</v>
      </c>
      <c r="Q281" s="249">
        <f t="shared" si="297"/>
        <v>0</v>
      </c>
      <c r="R281" s="249">
        <f t="shared" si="298"/>
        <v>0</v>
      </c>
      <c r="S281" s="249">
        <f t="shared" si="299"/>
        <v>0</v>
      </c>
      <c r="T281" s="249">
        <f t="shared" si="300"/>
        <v>0</v>
      </c>
      <c r="U281" s="249" t="e">
        <f t="shared" si="301"/>
        <v>#REF!</v>
      </c>
      <c r="V281" s="251">
        <f t="shared" si="302"/>
        <v>0</v>
      </c>
    </row>
    <row r="282" spans="1:22" ht="10.8" thickBot="1" x14ac:dyDescent="0.35">
      <c r="A282" s="1026"/>
      <c r="B282" s="239"/>
      <c r="C282" s="233"/>
      <c r="D282" s="139"/>
      <c r="E282" s="347">
        <f>+C282*0.0833</f>
        <v>0</v>
      </c>
      <c r="F282" s="347"/>
      <c r="G282" s="347">
        <f>+C282/12</f>
        <v>0</v>
      </c>
      <c r="H282" s="347">
        <f>+C282*0.1115</f>
        <v>0</v>
      </c>
      <c r="I282" s="347">
        <f>SUM(C282:H282)</f>
        <v>0</v>
      </c>
      <c r="J282" s="347"/>
      <c r="K282" s="369">
        <f>SUM(I282:J282)</f>
        <v>0</v>
      </c>
      <c r="L282" s="351"/>
      <c r="M282" s="346">
        <f t="shared" si="293"/>
        <v>0</v>
      </c>
      <c r="N282" s="347">
        <f t="shared" si="294"/>
        <v>0</v>
      </c>
      <c r="O282" s="347">
        <f t="shared" si="295"/>
        <v>0</v>
      </c>
      <c r="P282" s="347">
        <f t="shared" si="296"/>
        <v>0</v>
      </c>
      <c r="Q282" s="347">
        <f t="shared" si="297"/>
        <v>0</v>
      </c>
      <c r="R282" s="347">
        <f t="shared" si="298"/>
        <v>0</v>
      </c>
      <c r="S282" s="347">
        <f t="shared" si="299"/>
        <v>0</v>
      </c>
      <c r="T282" s="347">
        <f t="shared" si="300"/>
        <v>0</v>
      </c>
      <c r="U282" s="347" t="e">
        <f t="shared" si="301"/>
        <v>#REF!</v>
      </c>
      <c r="V282" s="348">
        <f t="shared" si="302"/>
        <v>0</v>
      </c>
    </row>
    <row r="283" spans="1:22" x14ac:dyDescent="0.3">
      <c r="A283" s="1024" t="s">
        <v>258</v>
      </c>
      <c r="B283" s="252">
        <v>1</v>
      </c>
      <c r="C283" s="253">
        <v>1500</v>
      </c>
      <c r="D283" s="254"/>
      <c r="E283" s="249">
        <f t="shared" ref="E283:E309" si="303">+C283*0.0833</f>
        <v>124.95</v>
      </c>
      <c r="F283" s="249">
        <f t="shared" ref="F283:F299" si="304">(394/12)</f>
        <v>32.833333333333336</v>
      </c>
      <c r="G283" s="249">
        <f t="shared" ref="G283:G309" si="305">+C283/12</f>
        <v>125</v>
      </c>
      <c r="H283" s="249">
        <f t="shared" ref="H283:H309" si="306">+C283*0.1115</f>
        <v>167.25</v>
      </c>
      <c r="I283" s="249">
        <f t="shared" ref="I283:I309" si="307">SUM(C283:H283)</f>
        <v>1950.0333333333333</v>
      </c>
      <c r="J283" s="249"/>
      <c r="K283" s="368">
        <f t="shared" ref="K283:K309" si="308">SUM(I283:J283)</f>
        <v>1950.0333333333333</v>
      </c>
      <c r="L283" s="351"/>
      <c r="M283" s="366">
        <f t="shared" si="293"/>
        <v>24.772813889477025</v>
      </c>
      <c r="N283" s="245">
        <f t="shared" si="294"/>
        <v>71.791614651704407</v>
      </c>
      <c r="O283" s="245">
        <f t="shared" si="295"/>
        <v>89.241683846707588</v>
      </c>
      <c r="P283" s="245">
        <f t="shared" si="296"/>
        <v>129.68465987329748</v>
      </c>
      <c r="Q283" s="245">
        <f t="shared" si="297"/>
        <v>141.22963845569819</v>
      </c>
      <c r="R283" s="245">
        <f t="shared" si="298"/>
        <v>177.16564989339955</v>
      </c>
      <c r="S283" s="245">
        <f t="shared" si="299"/>
        <v>186.21312840074287</v>
      </c>
      <c r="T283" s="245">
        <f t="shared" si="300"/>
        <v>220.54356776060663</v>
      </c>
      <c r="U283" s="245" t="e">
        <f t="shared" si="301"/>
        <v>#REF!</v>
      </c>
      <c r="V283" s="246">
        <f t="shared" si="302"/>
        <v>0</v>
      </c>
    </row>
    <row r="284" spans="1:22" x14ac:dyDescent="0.3">
      <c r="A284" s="1025"/>
      <c r="B284" s="252">
        <v>1</v>
      </c>
      <c r="C284" s="253">
        <v>1500</v>
      </c>
      <c r="D284" s="254"/>
      <c r="E284" s="249">
        <f t="shared" si="303"/>
        <v>124.95</v>
      </c>
      <c r="F284" s="249">
        <f t="shared" si="304"/>
        <v>32.833333333333336</v>
      </c>
      <c r="G284" s="249">
        <f t="shared" si="305"/>
        <v>125</v>
      </c>
      <c r="H284" s="249">
        <f t="shared" si="306"/>
        <v>167.25</v>
      </c>
      <c r="I284" s="249">
        <f t="shared" si="307"/>
        <v>1950.0333333333333</v>
      </c>
      <c r="J284" s="249"/>
      <c r="K284" s="368">
        <f t="shared" si="308"/>
        <v>1950.0333333333333</v>
      </c>
      <c r="L284" s="351"/>
      <c r="M284" s="345">
        <f t="shared" si="293"/>
        <v>24.772813889477025</v>
      </c>
      <c r="N284" s="249">
        <f t="shared" si="294"/>
        <v>71.791614651704407</v>
      </c>
      <c r="O284" s="249">
        <f t="shared" si="295"/>
        <v>89.241683846707588</v>
      </c>
      <c r="P284" s="249">
        <f t="shared" si="296"/>
        <v>129.68465987329748</v>
      </c>
      <c r="Q284" s="249">
        <f t="shared" si="297"/>
        <v>141.22963845569819</v>
      </c>
      <c r="R284" s="249">
        <f t="shared" si="298"/>
        <v>177.16564989339955</v>
      </c>
      <c r="S284" s="249">
        <f t="shared" si="299"/>
        <v>186.21312840074287</v>
      </c>
      <c r="T284" s="249">
        <f t="shared" si="300"/>
        <v>220.54356776060663</v>
      </c>
      <c r="U284" s="249" t="e">
        <f t="shared" si="301"/>
        <v>#REF!</v>
      </c>
      <c r="V284" s="251">
        <f t="shared" si="302"/>
        <v>0</v>
      </c>
    </row>
    <row r="285" spans="1:22" x14ac:dyDescent="0.3">
      <c r="A285" s="1025"/>
      <c r="B285" s="252">
        <v>1</v>
      </c>
      <c r="C285" s="253">
        <v>800</v>
      </c>
      <c r="D285" s="254"/>
      <c r="E285" s="249">
        <f t="shared" si="303"/>
        <v>66.64</v>
      </c>
      <c r="F285" s="249">
        <f t="shared" si="304"/>
        <v>32.833333333333336</v>
      </c>
      <c r="G285" s="249">
        <f t="shared" si="305"/>
        <v>66.666666666666671</v>
      </c>
      <c r="H285" s="249">
        <f t="shared" si="306"/>
        <v>89.2</v>
      </c>
      <c r="I285" s="249">
        <f t="shared" si="307"/>
        <v>1055.3399999999999</v>
      </c>
      <c r="J285" s="249"/>
      <c r="K285" s="368">
        <f t="shared" si="308"/>
        <v>1055.3399999999999</v>
      </c>
      <c r="L285" s="351"/>
      <c r="M285" s="345">
        <f t="shared" si="293"/>
        <v>13.406817700614017</v>
      </c>
      <c r="N285" s="249">
        <f t="shared" si="294"/>
        <v>38.85295769637942</v>
      </c>
      <c r="O285" s="249">
        <f t="shared" si="295"/>
        <v>48.296773711962729</v>
      </c>
      <c r="P285" s="249">
        <f t="shared" si="296"/>
        <v>70.184138194570565</v>
      </c>
      <c r="Q285" s="249">
        <f t="shared" si="297"/>
        <v>76.432173799338386</v>
      </c>
      <c r="R285" s="249">
        <f t="shared" si="298"/>
        <v>95.880410740927658</v>
      </c>
      <c r="S285" s="249">
        <f t="shared" si="299"/>
        <v>100.77682240975707</v>
      </c>
      <c r="T285" s="249">
        <f t="shared" si="300"/>
        <v>119.35613859616686</v>
      </c>
      <c r="U285" s="249" t="e">
        <f t="shared" si="301"/>
        <v>#REF!</v>
      </c>
      <c r="V285" s="251">
        <f t="shared" si="302"/>
        <v>0</v>
      </c>
    </row>
    <row r="286" spans="1:22" x14ac:dyDescent="0.3">
      <c r="A286" s="1025"/>
      <c r="B286" s="252">
        <v>1</v>
      </c>
      <c r="C286" s="253">
        <v>900</v>
      </c>
      <c r="D286" s="254"/>
      <c r="E286" s="249">
        <f t="shared" si="303"/>
        <v>74.97</v>
      </c>
      <c r="F286" s="249">
        <f t="shared" si="304"/>
        <v>32.833333333333336</v>
      </c>
      <c r="G286" s="249">
        <f t="shared" si="305"/>
        <v>75</v>
      </c>
      <c r="H286" s="249">
        <f t="shared" si="306"/>
        <v>100.35000000000001</v>
      </c>
      <c r="I286" s="249">
        <f t="shared" si="307"/>
        <v>1183.1533333333332</v>
      </c>
      <c r="J286" s="249"/>
      <c r="K286" s="368">
        <f t="shared" si="308"/>
        <v>1183.1533333333332</v>
      </c>
      <c r="L286" s="351"/>
      <c r="M286" s="345">
        <f t="shared" si="293"/>
        <v>15.030531441880157</v>
      </c>
      <c r="N286" s="249">
        <f t="shared" si="294"/>
        <v>43.558480118568703</v>
      </c>
      <c r="O286" s="249">
        <f t="shared" si="295"/>
        <v>54.146046588354849</v>
      </c>
      <c r="P286" s="249">
        <f t="shared" si="296"/>
        <v>78.684212720102977</v>
      </c>
      <c r="Q286" s="249">
        <f t="shared" si="297"/>
        <v>85.688954464532642</v>
      </c>
      <c r="R286" s="249">
        <f t="shared" si="298"/>
        <v>107.49258776270935</v>
      </c>
      <c r="S286" s="249">
        <f t="shared" si="299"/>
        <v>112.9820089798979</v>
      </c>
      <c r="T286" s="249">
        <f t="shared" si="300"/>
        <v>133.81148561965824</v>
      </c>
      <c r="U286" s="249" t="e">
        <f t="shared" si="301"/>
        <v>#REF!</v>
      </c>
      <c r="V286" s="251">
        <f t="shared" si="302"/>
        <v>0</v>
      </c>
    </row>
    <row r="287" spans="1:22" x14ac:dyDescent="0.3">
      <c r="A287" s="1025"/>
      <c r="B287" s="252">
        <v>1</v>
      </c>
      <c r="C287" s="253">
        <v>1500</v>
      </c>
      <c r="D287" s="254"/>
      <c r="E287" s="249">
        <f t="shared" si="303"/>
        <v>124.95</v>
      </c>
      <c r="F287" s="249">
        <f t="shared" si="304"/>
        <v>32.833333333333336</v>
      </c>
      <c r="G287" s="249">
        <f t="shared" si="305"/>
        <v>125</v>
      </c>
      <c r="H287" s="249">
        <f t="shared" si="306"/>
        <v>167.25</v>
      </c>
      <c r="I287" s="249">
        <f t="shared" si="307"/>
        <v>1950.0333333333333</v>
      </c>
      <c r="J287" s="249"/>
      <c r="K287" s="368">
        <f t="shared" si="308"/>
        <v>1950.0333333333333</v>
      </c>
      <c r="L287" s="351"/>
      <c r="M287" s="345">
        <f t="shared" si="293"/>
        <v>24.772813889477025</v>
      </c>
      <c r="N287" s="249">
        <f t="shared" si="294"/>
        <v>71.791614651704407</v>
      </c>
      <c r="O287" s="249">
        <f t="shared" si="295"/>
        <v>89.241683846707588</v>
      </c>
      <c r="P287" s="249">
        <f t="shared" si="296"/>
        <v>129.68465987329748</v>
      </c>
      <c r="Q287" s="249">
        <f t="shared" si="297"/>
        <v>141.22963845569819</v>
      </c>
      <c r="R287" s="249">
        <f t="shared" si="298"/>
        <v>177.16564989339955</v>
      </c>
      <c r="S287" s="249">
        <f t="shared" si="299"/>
        <v>186.21312840074287</v>
      </c>
      <c r="T287" s="249">
        <f t="shared" si="300"/>
        <v>220.54356776060663</v>
      </c>
      <c r="U287" s="249" t="e">
        <f t="shared" si="301"/>
        <v>#REF!</v>
      </c>
      <c r="V287" s="251">
        <f t="shared" si="302"/>
        <v>0</v>
      </c>
    </row>
    <row r="288" spans="1:22" x14ac:dyDescent="0.3">
      <c r="A288" s="1025"/>
      <c r="B288" s="252">
        <v>1</v>
      </c>
      <c r="C288" s="253">
        <v>1500</v>
      </c>
      <c r="D288" s="254"/>
      <c r="E288" s="249">
        <f t="shared" si="303"/>
        <v>124.95</v>
      </c>
      <c r="F288" s="249">
        <f t="shared" si="304"/>
        <v>32.833333333333336</v>
      </c>
      <c r="G288" s="249">
        <f t="shared" si="305"/>
        <v>125</v>
      </c>
      <c r="H288" s="249">
        <f t="shared" si="306"/>
        <v>167.25</v>
      </c>
      <c r="I288" s="249">
        <f t="shared" si="307"/>
        <v>1950.0333333333333</v>
      </c>
      <c r="J288" s="249"/>
      <c r="K288" s="368">
        <f t="shared" si="308"/>
        <v>1950.0333333333333</v>
      </c>
      <c r="L288" s="351"/>
      <c r="M288" s="345">
        <f t="shared" si="293"/>
        <v>24.772813889477025</v>
      </c>
      <c r="N288" s="249">
        <f t="shared" si="294"/>
        <v>71.791614651704407</v>
      </c>
      <c r="O288" s="249">
        <f t="shared" si="295"/>
        <v>89.241683846707588</v>
      </c>
      <c r="P288" s="249">
        <f t="shared" si="296"/>
        <v>129.68465987329748</v>
      </c>
      <c r="Q288" s="249">
        <f t="shared" si="297"/>
        <v>141.22963845569819</v>
      </c>
      <c r="R288" s="249">
        <f t="shared" si="298"/>
        <v>177.16564989339955</v>
      </c>
      <c r="S288" s="249">
        <f t="shared" si="299"/>
        <v>186.21312840074287</v>
      </c>
      <c r="T288" s="249">
        <f t="shared" si="300"/>
        <v>220.54356776060663</v>
      </c>
      <c r="U288" s="249" t="e">
        <f t="shared" si="301"/>
        <v>#REF!</v>
      </c>
      <c r="V288" s="251">
        <f t="shared" si="302"/>
        <v>0</v>
      </c>
    </row>
    <row r="289" spans="1:22" x14ac:dyDescent="0.3">
      <c r="A289" s="1025"/>
      <c r="B289" s="252">
        <v>1</v>
      </c>
      <c r="C289" s="253">
        <v>900</v>
      </c>
      <c r="D289" s="254"/>
      <c r="E289" s="249">
        <f t="shared" si="303"/>
        <v>74.97</v>
      </c>
      <c r="F289" s="249">
        <f t="shared" si="304"/>
        <v>32.833333333333336</v>
      </c>
      <c r="G289" s="249">
        <f t="shared" si="305"/>
        <v>75</v>
      </c>
      <c r="H289" s="249">
        <f t="shared" si="306"/>
        <v>100.35000000000001</v>
      </c>
      <c r="I289" s="249">
        <f t="shared" si="307"/>
        <v>1183.1533333333332</v>
      </c>
      <c r="J289" s="249"/>
      <c r="K289" s="368">
        <f t="shared" si="308"/>
        <v>1183.1533333333332</v>
      </c>
      <c r="L289" s="351"/>
      <c r="M289" s="345">
        <f t="shared" ref="M289:M304" si="309">+(K289/$B$2)*$M$2*6</f>
        <v>15.030531441880157</v>
      </c>
      <c r="N289" s="249">
        <f t="shared" ref="N289:N304" si="310">+(K289/$B$2)*$N$2*6</f>
        <v>43.558480118568703</v>
      </c>
      <c r="O289" s="249">
        <f t="shared" ref="O289:O304" si="311">+(K289/$B$2)*$O$2*6</f>
        <v>54.146046588354849</v>
      </c>
      <c r="P289" s="249">
        <f t="shared" ref="P289:P304" si="312">+(K289/$B$2)*$P$2*6</f>
        <v>78.684212720102977</v>
      </c>
      <c r="Q289" s="249">
        <f t="shared" ref="Q289:Q304" si="313">+(K289/$B$2)*$Q$2*6</f>
        <v>85.688954464532642</v>
      </c>
      <c r="R289" s="249">
        <f t="shared" ref="R289:R304" si="314">+(K289/$B$2)*$R$2*6</f>
        <v>107.49258776270935</v>
      </c>
      <c r="S289" s="249">
        <f t="shared" ref="S289:S304" si="315">+(K289/$B$2)*$S$2*6</f>
        <v>112.9820089798979</v>
      </c>
      <c r="T289" s="249">
        <f t="shared" ref="T289:T304" si="316">+(K289/$B$2)*$T$2*6</f>
        <v>133.81148561965824</v>
      </c>
      <c r="U289" s="249" t="e">
        <f t="shared" ref="U289:U304" si="317">+(K289/$B$2)*$U$2*6</f>
        <v>#REF!</v>
      </c>
      <c r="V289" s="251">
        <f t="shared" ref="V289:V304" si="318">+(K289/$B$2)*$V$2*6</f>
        <v>0</v>
      </c>
    </row>
    <row r="290" spans="1:22" x14ac:dyDescent="0.3">
      <c r="A290" s="1025"/>
      <c r="B290" s="252">
        <v>1</v>
      </c>
      <c r="C290" s="253">
        <v>1500</v>
      </c>
      <c r="D290" s="254"/>
      <c r="E290" s="249">
        <f t="shared" si="303"/>
        <v>124.95</v>
      </c>
      <c r="F290" s="249">
        <f t="shared" si="304"/>
        <v>32.833333333333336</v>
      </c>
      <c r="G290" s="249">
        <f t="shared" si="305"/>
        <v>125</v>
      </c>
      <c r="H290" s="249">
        <f t="shared" si="306"/>
        <v>167.25</v>
      </c>
      <c r="I290" s="249">
        <f t="shared" si="307"/>
        <v>1950.0333333333333</v>
      </c>
      <c r="J290" s="249"/>
      <c r="K290" s="368">
        <f t="shared" si="308"/>
        <v>1950.0333333333333</v>
      </c>
      <c r="L290" s="351"/>
      <c r="M290" s="345">
        <f t="shared" si="309"/>
        <v>24.772813889477025</v>
      </c>
      <c r="N290" s="249">
        <f t="shared" si="310"/>
        <v>71.791614651704407</v>
      </c>
      <c r="O290" s="249">
        <f t="shared" si="311"/>
        <v>89.241683846707588</v>
      </c>
      <c r="P290" s="249">
        <f t="shared" si="312"/>
        <v>129.68465987329748</v>
      </c>
      <c r="Q290" s="249">
        <f t="shared" si="313"/>
        <v>141.22963845569819</v>
      </c>
      <c r="R290" s="249">
        <f t="shared" si="314"/>
        <v>177.16564989339955</v>
      </c>
      <c r="S290" s="249">
        <f t="shared" si="315"/>
        <v>186.21312840074287</v>
      </c>
      <c r="T290" s="249">
        <f t="shared" si="316"/>
        <v>220.54356776060663</v>
      </c>
      <c r="U290" s="249" t="e">
        <f t="shared" si="317"/>
        <v>#REF!</v>
      </c>
      <c r="V290" s="251">
        <f t="shared" si="318"/>
        <v>0</v>
      </c>
    </row>
    <row r="291" spans="1:22" x14ac:dyDescent="0.3">
      <c r="A291" s="1025"/>
      <c r="B291" s="252">
        <v>1</v>
      </c>
      <c r="C291" s="253">
        <v>1300</v>
      </c>
      <c r="D291" s="254"/>
      <c r="E291" s="249">
        <f t="shared" si="303"/>
        <v>108.28999999999999</v>
      </c>
      <c r="F291" s="249">
        <f t="shared" si="304"/>
        <v>32.833333333333336</v>
      </c>
      <c r="G291" s="249">
        <f t="shared" si="305"/>
        <v>108.33333333333333</v>
      </c>
      <c r="H291" s="249">
        <f t="shared" si="306"/>
        <v>144.94999999999999</v>
      </c>
      <c r="I291" s="249">
        <f t="shared" si="307"/>
        <v>1694.4066666666665</v>
      </c>
      <c r="J291" s="249"/>
      <c r="K291" s="368">
        <f t="shared" si="308"/>
        <v>1694.4066666666665</v>
      </c>
      <c r="L291" s="351"/>
      <c r="M291" s="345">
        <f t="shared" si="309"/>
        <v>21.525386406944737</v>
      </c>
      <c r="N291" s="249">
        <f t="shared" si="310"/>
        <v>62.380569807325841</v>
      </c>
      <c r="O291" s="249">
        <f t="shared" si="311"/>
        <v>77.543138093923346</v>
      </c>
      <c r="P291" s="249">
        <f t="shared" si="312"/>
        <v>112.68451082223265</v>
      </c>
      <c r="Q291" s="249">
        <f t="shared" si="313"/>
        <v>122.71607712530965</v>
      </c>
      <c r="R291" s="249">
        <f t="shared" si="314"/>
        <v>153.94129584983617</v>
      </c>
      <c r="S291" s="249">
        <f t="shared" si="315"/>
        <v>161.80275526046123</v>
      </c>
      <c r="T291" s="249">
        <f t="shared" si="316"/>
        <v>191.63287371362381</v>
      </c>
      <c r="U291" s="249" t="e">
        <f t="shared" si="317"/>
        <v>#REF!</v>
      </c>
      <c r="V291" s="251">
        <f t="shared" si="318"/>
        <v>0</v>
      </c>
    </row>
    <row r="292" spans="1:22" x14ac:dyDescent="0.3">
      <c r="A292" s="1025"/>
      <c r="B292" s="252">
        <v>1</v>
      </c>
      <c r="C292" s="253">
        <v>900</v>
      </c>
      <c r="D292" s="254"/>
      <c r="E292" s="249">
        <f t="shared" si="303"/>
        <v>74.97</v>
      </c>
      <c r="F292" s="249">
        <f t="shared" si="304"/>
        <v>32.833333333333336</v>
      </c>
      <c r="G292" s="249">
        <f t="shared" si="305"/>
        <v>75</v>
      </c>
      <c r="H292" s="249">
        <f t="shared" si="306"/>
        <v>100.35000000000001</v>
      </c>
      <c r="I292" s="249">
        <f t="shared" si="307"/>
        <v>1183.1533333333332</v>
      </c>
      <c r="J292" s="249"/>
      <c r="K292" s="368">
        <f t="shared" si="308"/>
        <v>1183.1533333333332</v>
      </c>
      <c r="L292" s="351"/>
      <c r="M292" s="345">
        <f t="shared" si="309"/>
        <v>15.030531441880157</v>
      </c>
      <c r="N292" s="249">
        <f t="shared" si="310"/>
        <v>43.558480118568703</v>
      </c>
      <c r="O292" s="249">
        <f t="shared" si="311"/>
        <v>54.146046588354849</v>
      </c>
      <c r="P292" s="249">
        <f t="shared" si="312"/>
        <v>78.684212720102977</v>
      </c>
      <c r="Q292" s="249">
        <f t="shared" si="313"/>
        <v>85.688954464532642</v>
      </c>
      <c r="R292" s="249">
        <f t="shared" si="314"/>
        <v>107.49258776270935</v>
      </c>
      <c r="S292" s="249">
        <f t="shared" si="315"/>
        <v>112.9820089798979</v>
      </c>
      <c r="T292" s="249">
        <f t="shared" si="316"/>
        <v>133.81148561965824</v>
      </c>
      <c r="U292" s="249" t="e">
        <f t="shared" si="317"/>
        <v>#REF!</v>
      </c>
      <c r="V292" s="251">
        <f t="shared" si="318"/>
        <v>0</v>
      </c>
    </row>
    <row r="293" spans="1:22" x14ac:dyDescent="0.3">
      <c r="A293" s="1025"/>
      <c r="B293" s="252">
        <v>1</v>
      </c>
      <c r="C293" s="253">
        <v>820</v>
      </c>
      <c r="D293" s="254"/>
      <c r="E293" s="249">
        <f t="shared" si="303"/>
        <v>68.305999999999997</v>
      </c>
      <c r="F293" s="249">
        <f t="shared" si="304"/>
        <v>32.833333333333336</v>
      </c>
      <c r="G293" s="249">
        <f t="shared" si="305"/>
        <v>68.333333333333329</v>
      </c>
      <c r="H293" s="249">
        <f t="shared" si="306"/>
        <v>91.43</v>
      </c>
      <c r="I293" s="249">
        <f t="shared" si="307"/>
        <v>1080.9026666666668</v>
      </c>
      <c r="J293" s="249"/>
      <c r="K293" s="368">
        <f t="shared" si="308"/>
        <v>1080.9026666666668</v>
      </c>
      <c r="L293" s="351"/>
      <c r="M293" s="345">
        <f t="shared" si="309"/>
        <v>13.731560448867246</v>
      </c>
      <c r="N293" s="249">
        <f t="shared" si="310"/>
        <v>39.794062180817278</v>
      </c>
      <c r="O293" s="249">
        <f t="shared" si="311"/>
        <v>49.466628287241164</v>
      </c>
      <c r="P293" s="249">
        <f t="shared" si="312"/>
        <v>71.884153099677064</v>
      </c>
      <c r="Q293" s="249">
        <f t="shared" si="313"/>
        <v>78.283529932377263</v>
      </c>
      <c r="R293" s="249">
        <f t="shared" si="314"/>
        <v>98.202846145284013</v>
      </c>
      <c r="S293" s="249">
        <f t="shared" si="315"/>
        <v>103.21785972378527</v>
      </c>
      <c r="T293" s="249">
        <f t="shared" si="316"/>
        <v>122.24720800086516</v>
      </c>
      <c r="U293" s="249" t="e">
        <f t="shared" si="317"/>
        <v>#REF!</v>
      </c>
      <c r="V293" s="251">
        <f t="shared" si="318"/>
        <v>0</v>
      </c>
    </row>
    <row r="294" spans="1:22" x14ac:dyDescent="0.3">
      <c r="A294" s="1025"/>
      <c r="B294" s="252">
        <v>1</v>
      </c>
      <c r="C294" s="253">
        <v>820</v>
      </c>
      <c r="D294" s="254"/>
      <c r="E294" s="249">
        <f t="shared" si="303"/>
        <v>68.305999999999997</v>
      </c>
      <c r="F294" s="249">
        <f t="shared" si="304"/>
        <v>32.833333333333336</v>
      </c>
      <c r="G294" s="249">
        <f t="shared" si="305"/>
        <v>68.333333333333329</v>
      </c>
      <c r="H294" s="249">
        <f t="shared" si="306"/>
        <v>91.43</v>
      </c>
      <c r="I294" s="249">
        <f t="shared" si="307"/>
        <v>1080.9026666666668</v>
      </c>
      <c r="J294" s="249"/>
      <c r="K294" s="368">
        <f t="shared" si="308"/>
        <v>1080.9026666666668</v>
      </c>
      <c r="L294" s="351"/>
      <c r="M294" s="345">
        <f t="shared" si="309"/>
        <v>13.731560448867246</v>
      </c>
      <c r="N294" s="249">
        <f t="shared" si="310"/>
        <v>39.794062180817278</v>
      </c>
      <c r="O294" s="249">
        <f t="shared" si="311"/>
        <v>49.466628287241164</v>
      </c>
      <c r="P294" s="249">
        <f t="shared" si="312"/>
        <v>71.884153099677064</v>
      </c>
      <c r="Q294" s="249">
        <f t="shared" si="313"/>
        <v>78.283529932377263</v>
      </c>
      <c r="R294" s="249">
        <f t="shared" si="314"/>
        <v>98.202846145284013</v>
      </c>
      <c r="S294" s="249">
        <f t="shared" si="315"/>
        <v>103.21785972378527</v>
      </c>
      <c r="T294" s="249">
        <f t="shared" si="316"/>
        <v>122.24720800086516</v>
      </c>
      <c r="U294" s="249" t="e">
        <f t="shared" si="317"/>
        <v>#REF!</v>
      </c>
      <c r="V294" s="251">
        <f t="shared" si="318"/>
        <v>0</v>
      </c>
    </row>
    <row r="295" spans="1:22" x14ac:dyDescent="0.3">
      <c r="A295" s="1025"/>
      <c r="B295" s="252">
        <v>1</v>
      </c>
      <c r="C295" s="253">
        <v>900</v>
      </c>
      <c r="D295" s="254"/>
      <c r="E295" s="249">
        <f t="shared" si="303"/>
        <v>74.97</v>
      </c>
      <c r="F295" s="249">
        <f t="shared" si="304"/>
        <v>32.833333333333336</v>
      </c>
      <c r="G295" s="249">
        <f t="shared" si="305"/>
        <v>75</v>
      </c>
      <c r="H295" s="249">
        <f t="shared" si="306"/>
        <v>100.35000000000001</v>
      </c>
      <c r="I295" s="249">
        <f t="shared" si="307"/>
        <v>1183.1533333333332</v>
      </c>
      <c r="J295" s="249"/>
      <c r="K295" s="368">
        <f t="shared" si="308"/>
        <v>1183.1533333333332</v>
      </c>
      <c r="L295" s="351"/>
      <c r="M295" s="345">
        <f t="shared" si="309"/>
        <v>15.030531441880157</v>
      </c>
      <c r="N295" s="249">
        <f t="shared" si="310"/>
        <v>43.558480118568703</v>
      </c>
      <c r="O295" s="249">
        <f t="shared" si="311"/>
        <v>54.146046588354849</v>
      </c>
      <c r="P295" s="249">
        <f t="shared" si="312"/>
        <v>78.684212720102977</v>
      </c>
      <c r="Q295" s="249">
        <f t="shared" si="313"/>
        <v>85.688954464532642</v>
      </c>
      <c r="R295" s="249">
        <f t="shared" si="314"/>
        <v>107.49258776270935</v>
      </c>
      <c r="S295" s="249">
        <f t="shared" si="315"/>
        <v>112.9820089798979</v>
      </c>
      <c r="T295" s="249">
        <f t="shared" si="316"/>
        <v>133.81148561965824</v>
      </c>
      <c r="U295" s="249" t="e">
        <f t="shared" si="317"/>
        <v>#REF!</v>
      </c>
      <c r="V295" s="251">
        <f t="shared" si="318"/>
        <v>0</v>
      </c>
    </row>
    <row r="296" spans="1:22" x14ac:dyDescent="0.3">
      <c r="A296" s="1025"/>
      <c r="B296" s="252">
        <v>1</v>
      </c>
      <c r="C296" s="253">
        <v>1500</v>
      </c>
      <c r="D296" s="254"/>
      <c r="E296" s="249">
        <f t="shared" si="303"/>
        <v>124.95</v>
      </c>
      <c r="F296" s="249">
        <f t="shared" si="304"/>
        <v>32.833333333333336</v>
      </c>
      <c r="G296" s="249">
        <f t="shared" si="305"/>
        <v>125</v>
      </c>
      <c r="H296" s="249">
        <f t="shared" si="306"/>
        <v>167.25</v>
      </c>
      <c r="I296" s="249">
        <f t="shared" si="307"/>
        <v>1950.0333333333333</v>
      </c>
      <c r="J296" s="249"/>
      <c r="K296" s="368">
        <f t="shared" si="308"/>
        <v>1950.0333333333333</v>
      </c>
      <c r="L296" s="351"/>
      <c r="M296" s="345">
        <f t="shared" si="309"/>
        <v>24.772813889477025</v>
      </c>
      <c r="N296" s="249">
        <f t="shared" si="310"/>
        <v>71.791614651704407</v>
      </c>
      <c r="O296" s="249">
        <f t="shared" si="311"/>
        <v>89.241683846707588</v>
      </c>
      <c r="P296" s="249">
        <f t="shared" si="312"/>
        <v>129.68465987329748</v>
      </c>
      <c r="Q296" s="249">
        <f t="shared" si="313"/>
        <v>141.22963845569819</v>
      </c>
      <c r="R296" s="249">
        <f t="shared" si="314"/>
        <v>177.16564989339955</v>
      </c>
      <c r="S296" s="249">
        <f t="shared" si="315"/>
        <v>186.21312840074287</v>
      </c>
      <c r="T296" s="249">
        <f t="shared" si="316"/>
        <v>220.54356776060663</v>
      </c>
      <c r="U296" s="249" t="e">
        <f t="shared" si="317"/>
        <v>#REF!</v>
      </c>
      <c r="V296" s="251">
        <f t="shared" si="318"/>
        <v>0</v>
      </c>
    </row>
    <row r="297" spans="1:22" x14ac:dyDescent="0.3">
      <c r="A297" s="1025"/>
      <c r="B297" s="252">
        <v>1</v>
      </c>
      <c r="C297" s="253">
        <v>900</v>
      </c>
      <c r="D297" s="254"/>
      <c r="E297" s="249">
        <f t="shared" si="303"/>
        <v>74.97</v>
      </c>
      <c r="F297" s="249">
        <f t="shared" si="304"/>
        <v>32.833333333333336</v>
      </c>
      <c r="G297" s="249">
        <f t="shared" si="305"/>
        <v>75</v>
      </c>
      <c r="H297" s="249">
        <f t="shared" si="306"/>
        <v>100.35000000000001</v>
      </c>
      <c r="I297" s="249">
        <f t="shared" si="307"/>
        <v>1183.1533333333332</v>
      </c>
      <c r="J297" s="249"/>
      <c r="K297" s="368">
        <f t="shared" si="308"/>
        <v>1183.1533333333332</v>
      </c>
      <c r="L297" s="351"/>
      <c r="M297" s="345">
        <f t="shared" si="309"/>
        <v>15.030531441880157</v>
      </c>
      <c r="N297" s="249">
        <f t="shared" si="310"/>
        <v>43.558480118568703</v>
      </c>
      <c r="O297" s="249">
        <f t="shared" si="311"/>
        <v>54.146046588354849</v>
      </c>
      <c r="P297" s="249">
        <f t="shared" si="312"/>
        <v>78.684212720102977</v>
      </c>
      <c r="Q297" s="249">
        <f t="shared" si="313"/>
        <v>85.688954464532642</v>
      </c>
      <c r="R297" s="249">
        <f t="shared" si="314"/>
        <v>107.49258776270935</v>
      </c>
      <c r="S297" s="249">
        <f t="shared" si="315"/>
        <v>112.9820089798979</v>
      </c>
      <c r="T297" s="249">
        <f t="shared" si="316"/>
        <v>133.81148561965824</v>
      </c>
      <c r="U297" s="249" t="e">
        <f t="shared" si="317"/>
        <v>#REF!</v>
      </c>
      <c r="V297" s="251">
        <f t="shared" si="318"/>
        <v>0</v>
      </c>
    </row>
    <row r="298" spans="1:22" x14ac:dyDescent="0.3">
      <c r="A298" s="1025"/>
      <c r="B298" s="252">
        <v>1</v>
      </c>
      <c r="C298" s="253">
        <v>1460.13</v>
      </c>
      <c r="D298" s="254"/>
      <c r="E298" s="249">
        <f t="shared" si="303"/>
        <v>121.62882900000001</v>
      </c>
      <c r="F298" s="249">
        <f t="shared" si="304"/>
        <v>32.833333333333336</v>
      </c>
      <c r="G298" s="249">
        <f t="shared" si="305"/>
        <v>121.67750000000001</v>
      </c>
      <c r="H298" s="249">
        <f t="shared" si="306"/>
        <v>162.804495</v>
      </c>
      <c r="I298" s="249">
        <f t="shared" si="307"/>
        <v>1899.0741573333335</v>
      </c>
      <c r="J298" s="249"/>
      <c r="K298" s="368">
        <f t="shared" si="308"/>
        <v>1899.0741573333335</v>
      </c>
      <c r="L298" s="351"/>
      <c r="M298" s="345">
        <f t="shared" si="309"/>
        <v>24.125439220834217</v>
      </c>
      <c r="N298" s="249">
        <f t="shared" si="310"/>
        <v>69.915522861977564</v>
      </c>
      <c r="O298" s="249">
        <f t="shared" si="311"/>
        <v>86.909578750890063</v>
      </c>
      <c r="P298" s="249">
        <f t="shared" si="312"/>
        <v>126.29568015996772</v>
      </c>
      <c r="Q298" s="249">
        <f t="shared" si="313"/>
        <v>137.53896000448523</v>
      </c>
      <c r="R298" s="249">
        <f t="shared" si="314"/>
        <v>172.53587491481522</v>
      </c>
      <c r="S298" s="249">
        <f t="shared" si="315"/>
        <v>181.34692051522777</v>
      </c>
      <c r="T298" s="249">
        <f t="shared" si="316"/>
        <v>214.78022090234066</v>
      </c>
      <c r="U298" s="249" t="e">
        <f t="shared" si="317"/>
        <v>#REF!</v>
      </c>
      <c r="V298" s="251">
        <f t="shared" si="318"/>
        <v>0</v>
      </c>
    </row>
    <row r="299" spans="1:22" x14ac:dyDescent="0.3">
      <c r="A299" s="1025"/>
      <c r="B299" s="252">
        <v>1</v>
      </c>
      <c r="C299" s="253">
        <v>1300</v>
      </c>
      <c r="D299" s="254"/>
      <c r="E299" s="249">
        <f t="shared" si="303"/>
        <v>108.28999999999999</v>
      </c>
      <c r="F299" s="249">
        <f t="shared" si="304"/>
        <v>32.833333333333336</v>
      </c>
      <c r="G299" s="249">
        <f t="shared" si="305"/>
        <v>108.33333333333333</v>
      </c>
      <c r="H299" s="249">
        <f t="shared" si="306"/>
        <v>144.94999999999999</v>
      </c>
      <c r="I299" s="249">
        <f t="shared" si="307"/>
        <v>1694.4066666666665</v>
      </c>
      <c r="J299" s="249"/>
      <c r="K299" s="368">
        <f t="shared" si="308"/>
        <v>1694.4066666666665</v>
      </c>
      <c r="L299" s="351"/>
      <c r="M299" s="345">
        <f t="shared" si="309"/>
        <v>21.525386406944737</v>
      </c>
      <c r="N299" s="249">
        <f t="shared" si="310"/>
        <v>62.380569807325841</v>
      </c>
      <c r="O299" s="249">
        <f t="shared" si="311"/>
        <v>77.543138093923346</v>
      </c>
      <c r="P299" s="249">
        <f t="shared" si="312"/>
        <v>112.68451082223265</v>
      </c>
      <c r="Q299" s="249">
        <f t="shared" si="313"/>
        <v>122.71607712530965</v>
      </c>
      <c r="R299" s="249">
        <f t="shared" si="314"/>
        <v>153.94129584983617</v>
      </c>
      <c r="S299" s="249">
        <f t="shared" si="315"/>
        <v>161.80275526046123</v>
      </c>
      <c r="T299" s="249">
        <f t="shared" si="316"/>
        <v>191.63287371362381</v>
      </c>
      <c r="U299" s="249" t="e">
        <f t="shared" si="317"/>
        <v>#REF!</v>
      </c>
      <c r="V299" s="251">
        <f t="shared" si="318"/>
        <v>0</v>
      </c>
    </row>
    <row r="300" spans="1:22" x14ac:dyDescent="0.3">
      <c r="A300" s="1025"/>
      <c r="B300" s="252"/>
      <c r="C300" s="253"/>
      <c r="D300" s="254"/>
      <c r="E300" s="249">
        <f t="shared" si="303"/>
        <v>0</v>
      </c>
      <c r="F300" s="249"/>
      <c r="G300" s="249">
        <f t="shared" si="305"/>
        <v>0</v>
      </c>
      <c r="H300" s="249">
        <f t="shared" si="306"/>
        <v>0</v>
      </c>
      <c r="I300" s="249">
        <f t="shared" si="307"/>
        <v>0</v>
      </c>
      <c r="J300" s="249"/>
      <c r="K300" s="368">
        <f t="shared" si="308"/>
        <v>0</v>
      </c>
      <c r="L300" s="351"/>
      <c r="M300" s="345">
        <f t="shared" si="309"/>
        <v>0</v>
      </c>
      <c r="N300" s="249">
        <f t="shared" si="310"/>
        <v>0</v>
      </c>
      <c r="O300" s="249">
        <f t="shared" si="311"/>
        <v>0</v>
      </c>
      <c r="P300" s="249">
        <f t="shared" si="312"/>
        <v>0</v>
      </c>
      <c r="Q300" s="249">
        <f t="shared" si="313"/>
        <v>0</v>
      </c>
      <c r="R300" s="249">
        <f t="shared" si="314"/>
        <v>0</v>
      </c>
      <c r="S300" s="249">
        <f t="shared" si="315"/>
        <v>0</v>
      </c>
      <c r="T300" s="249">
        <f t="shared" si="316"/>
        <v>0</v>
      </c>
      <c r="U300" s="249" t="e">
        <f t="shared" si="317"/>
        <v>#REF!</v>
      </c>
      <c r="V300" s="251">
        <f t="shared" si="318"/>
        <v>0</v>
      </c>
    </row>
    <row r="301" spans="1:22" x14ac:dyDescent="0.3">
      <c r="A301" s="1025"/>
      <c r="B301" s="252"/>
      <c r="C301" s="253"/>
      <c r="D301" s="254"/>
      <c r="E301" s="249">
        <f t="shared" si="303"/>
        <v>0</v>
      </c>
      <c r="F301" s="249"/>
      <c r="G301" s="249">
        <f t="shared" si="305"/>
        <v>0</v>
      </c>
      <c r="H301" s="249">
        <f t="shared" si="306"/>
        <v>0</v>
      </c>
      <c r="I301" s="249">
        <f t="shared" si="307"/>
        <v>0</v>
      </c>
      <c r="J301" s="249"/>
      <c r="K301" s="368">
        <f t="shared" si="308"/>
        <v>0</v>
      </c>
      <c r="L301" s="351"/>
      <c r="M301" s="345">
        <f t="shared" si="309"/>
        <v>0</v>
      </c>
      <c r="N301" s="249">
        <f t="shared" si="310"/>
        <v>0</v>
      </c>
      <c r="O301" s="249">
        <f t="shared" si="311"/>
        <v>0</v>
      </c>
      <c r="P301" s="249">
        <f t="shared" si="312"/>
        <v>0</v>
      </c>
      <c r="Q301" s="249">
        <f t="shared" si="313"/>
        <v>0</v>
      </c>
      <c r="R301" s="249">
        <f t="shared" si="314"/>
        <v>0</v>
      </c>
      <c r="S301" s="249">
        <f t="shared" si="315"/>
        <v>0</v>
      </c>
      <c r="T301" s="249">
        <f t="shared" si="316"/>
        <v>0</v>
      </c>
      <c r="U301" s="249" t="e">
        <f t="shared" si="317"/>
        <v>#REF!</v>
      </c>
      <c r="V301" s="251">
        <f t="shared" si="318"/>
        <v>0</v>
      </c>
    </row>
    <row r="302" spans="1:22" x14ac:dyDescent="0.3">
      <c r="A302" s="1025"/>
      <c r="B302" s="252"/>
      <c r="C302" s="253"/>
      <c r="D302" s="254"/>
      <c r="E302" s="249">
        <f t="shared" si="303"/>
        <v>0</v>
      </c>
      <c r="F302" s="249"/>
      <c r="G302" s="249">
        <f t="shared" si="305"/>
        <v>0</v>
      </c>
      <c r="H302" s="249">
        <f t="shared" si="306"/>
        <v>0</v>
      </c>
      <c r="I302" s="249">
        <f t="shared" si="307"/>
        <v>0</v>
      </c>
      <c r="J302" s="249"/>
      <c r="K302" s="368">
        <f t="shared" si="308"/>
        <v>0</v>
      </c>
      <c r="L302" s="351"/>
      <c r="M302" s="345">
        <f t="shared" si="309"/>
        <v>0</v>
      </c>
      <c r="N302" s="249">
        <f t="shared" si="310"/>
        <v>0</v>
      </c>
      <c r="O302" s="249">
        <f t="shared" si="311"/>
        <v>0</v>
      </c>
      <c r="P302" s="249">
        <f t="shared" si="312"/>
        <v>0</v>
      </c>
      <c r="Q302" s="249">
        <f t="shared" si="313"/>
        <v>0</v>
      </c>
      <c r="R302" s="249">
        <f t="shared" si="314"/>
        <v>0</v>
      </c>
      <c r="S302" s="249">
        <f t="shared" si="315"/>
        <v>0</v>
      </c>
      <c r="T302" s="249">
        <f t="shared" si="316"/>
        <v>0</v>
      </c>
      <c r="U302" s="249" t="e">
        <f t="shared" si="317"/>
        <v>#REF!</v>
      </c>
      <c r="V302" s="251">
        <f t="shared" si="318"/>
        <v>0</v>
      </c>
    </row>
    <row r="303" spans="1:22" x14ac:dyDescent="0.3">
      <c r="A303" s="1025"/>
      <c r="B303" s="252"/>
      <c r="C303" s="253"/>
      <c r="D303" s="254"/>
      <c r="E303" s="249">
        <f t="shared" si="303"/>
        <v>0</v>
      </c>
      <c r="F303" s="249"/>
      <c r="G303" s="249">
        <f t="shared" si="305"/>
        <v>0</v>
      </c>
      <c r="H303" s="249">
        <f t="shared" si="306"/>
        <v>0</v>
      </c>
      <c r="I303" s="249">
        <f t="shared" si="307"/>
        <v>0</v>
      </c>
      <c r="J303" s="249"/>
      <c r="K303" s="368">
        <f t="shared" si="308"/>
        <v>0</v>
      </c>
      <c r="L303" s="351"/>
      <c r="M303" s="345">
        <f t="shared" si="309"/>
        <v>0</v>
      </c>
      <c r="N303" s="249">
        <f t="shared" si="310"/>
        <v>0</v>
      </c>
      <c r="O303" s="249">
        <f t="shared" si="311"/>
        <v>0</v>
      </c>
      <c r="P303" s="249">
        <f t="shared" si="312"/>
        <v>0</v>
      </c>
      <c r="Q303" s="249">
        <f t="shared" si="313"/>
        <v>0</v>
      </c>
      <c r="R303" s="249">
        <f t="shared" si="314"/>
        <v>0</v>
      </c>
      <c r="S303" s="249">
        <f t="shared" si="315"/>
        <v>0</v>
      </c>
      <c r="T303" s="249">
        <f t="shared" si="316"/>
        <v>0</v>
      </c>
      <c r="U303" s="249" t="e">
        <f t="shared" si="317"/>
        <v>#REF!</v>
      </c>
      <c r="V303" s="251">
        <f t="shared" si="318"/>
        <v>0</v>
      </c>
    </row>
    <row r="304" spans="1:22" x14ac:dyDescent="0.3">
      <c r="A304" s="1025"/>
      <c r="B304" s="252"/>
      <c r="C304" s="253"/>
      <c r="D304" s="254"/>
      <c r="E304" s="249">
        <f t="shared" si="303"/>
        <v>0</v>
      </c>
      <c r="F304" s="249"/>
      <c r="G304" s="249">
        <f t="shared" si="305"/>
        <v>0</v>
      </c>
      <c r="H304" s="249">
        <f t="shared" si="306"/>
        <v>0</v>
      </c>
      <c r="I304" s="249">
        <f t="shared" si="307"/>
        <v>0</v>
      </c>
      <c r="J304" s="249"/>
      <c r="K304" s="368">
        <f t="shared" si="308"/>
        <v>0</v>
      </c>
      <c r="L304" s="351"/>
      <c r="M304" s="345">
        <f t="shared" si="309"/>
        <v>0</v>
      </c>
      <c r="N304" s="249">
        <f t="shared" si="310"/>
        <v>0</v>
      </c>
      <c r="O304" s="249">
        <f t="shared" si="311"/>
        <v>0</v>
      </c>
      <c r="P304" s="249">
        <f t="shared" si="312"/>
        <v>0</v>
      </c>
      <c r="Q304" s="249">
        <f t="shared" si="313"/>
        <v>0</v>
      </c>
      <c r="R304" s="249">
        <f t="shared" si="314"/>
        <v>0</v>
      </c>
      <c r="S304" s="249">
        <f t="shared" si="315"/>
        <v>0</v>
      </c>
      <c r="T304" s="249">
        <f t="shared" si="316"/>
        <v>0</v>
      </c>
      <c r="U304" s="249" t="e">
        <f t="shared" si="317"/>
        <v>#REF!</v>
      </c>
      <c r="V304" s="251">
        <f t="shared" si="318"/>
        <v>0</v>
      </c>
    </row>
    <row r="305" spans="1:22" x14ac:dyDescent="0.3">
      <c r="A305" s="1025"/>
      <c r="B305" s="252"/>
      <c r="C305" s="253"/>
      <c r="D305" s="254"/>
      <c r="E305" s="249">
        <f t="shared" si="303"/>
        <v>0</v>
      </c>
      <c r="F305" s="249"/>
      <c r="G305" s="249">
        <f t="shared" si="305"/>
        <v>0</v>
      </c>
      <c r="H305" s="249">
        <f t="shared" si="306"/>
        <v>0</v>
      </c>
      <c r="I305" s="249">
        <f t="shared" si="307"/>
        <v>0</v>
      </c>
      <c r="J305" s="249"/>
      <c r="K305" s="368">
        <f t="shared" si="308"/>
        <v>0</v>
      </c>
      <c r="L305" s="351"/>
      <c r="M305" s="345">
        <f t="shared" ref="M305:M328" si="319">+(K305/$B$2)*$M$2*6</f>
        <v>0</v>
      </c>
      <c r="N305" s="249">
        <f t="shared" ref="N305:N328" si="320">+(K305/$B$2)*$N$2*6</f>
        <v>0</v>
      </c>
      <c r="O305" s="249">
        <f t="shared" ref="O305:O328" si="321">+(K305/$B$2)*$O$2*6</f>
        <v>0</v>
      </c>
      <c r="P305" s="249">
        <f t="shared" ref="P305:P328" si="322">+(K305/$B$2)*$P$2*6</f>
        <v>0</v>
      </c>
      <c r="Q305" s="249">
        <f t="shared" ref="Q305:Q328" si="323">+(K305/$B$2)*$Q$2*6</f>
        <v>0</v>
      </c>
      <c r="R305" s="249">
        <f t="shared" ref="R305:R328" si="324">+(K305/$B$2)*$R$2*6</f>
        <v>0</v>
      </c>
      <c r="S305" s="249">
        <f t="shared" ref="S305:S328" si="325">+(K305/$B$2)*$S$2*6</f>
        <v>0</v>
      </c>
      <c r="T305" s="249">
        <f t="shared" ref="T305:T328" si="326">+(K305/$B$2)*$T$2*6</f>
        <v>0</v>
      </c>
      <c r="U305" s="249" t="e">
        <f t="shared" ref="U305:U328" si="327">+(K305/$B$2)*$U$2*6</f>
        <v>#REF!</v>
      </c>
      <c r="V305" s="251">
        <f t="shared" ref="V305:V328" si="328">+(K305/$B$2)*$V$2*6</f>
        <v>0</v>
      </c>
    </row>
    <row r="306" spans="1:22" x14ac:dyDescent="0.3">
      <c r="A306" s="1025"/>
      <c r="B306" s="252"/>
      <c r="C306" s="253"/>
      <c r="D306" s="254"/>
      <c r="E306" s="249">
        <f t="shared" si="303"/>
        <v>0</v>
      </c>
      <c r="F306" s="249"/>
      <c r="G306" s="249">
        <f t="shared" si="305"/>
        <v>0</v>
      </c>
      <c r="H306" s="249">
        <f t="shared" si="306"/>
        <v>0</v>
      </c>
      <c r="I306" s="249">
        <f t="shared" si="307"/>
        <v>0</v>
      </c>
      <c r="J306" s="249"/>
      <c r="K306" s="368">
        <f t="shared" si="308"/>
        <v>0</v>
      </c>
      <c r="L306" s="351"/>
      <c r="M306" s="345">
        <f t="shared" si="319"/>
        <v>0</v>
      </c>
      <c r="N306" s="249">
        <f t="shared" si="320"/>
        <v>0</v>
      </c>
      <c r="O306" s="249">
        <f t="shared" si="321"/>
        <v>0</v>
      </c>
      <c r="P306" s="249">
        <f t="shared" si="322"/>
        <v>0</v>
      </c>
      <c r="Q306" s="249">
        <f t="shared" si="323"/>
        <v>0</v>
      </c>
      <c r="R306" s="249">
        <f t="shared" si="324"/>
        <v>0</v>
      </c>
      <c r="S306" s="249">
        <f t="shared" si="325"/>
        <v>0</v>
      </c>
      <c r="T306" s="249">
        <f t="shared" si="326"/>
        <v>0</v>
      </c>
      <c r="U306" s="249" t="e">
        <f t="shared" si="327"/>
        <v>#REF!</v>
      </c>
      <c r="V306" s="251">
        <f t="shared" si="328"/>
        <v>0</v>
      </c>
    </row>
    <row r="307" spans="1:22" x14ac:dyDescent="0.3">
      <c r="A307" s="1025"/>
      <c r="B307" s="252"/>
      <c r="C307" s="253"/>
      <c r="D307" s="254"/>
      <c r="E307" s="249">
        <f t="shared" si="303"/>
        <v>0</v>
      </c>
      <c r="F307" s="249"/>
      <c r="G307" s="249">
        <f t="shared" si="305"/>
        <v>0</v>
      </c>
      <c r="H307" s="249">
        <f t="shared" si="306"/>
        <v>0</v>
      </c>
      <c r="I307" s="249">
        <f t="shared" si="307"/>
        <v>0</v>
      </c>
      <c r="J307" s="249"/>
      <c r="K307" s="368">
        <f t="shared" si="308"/>
        <v>0</v>
      </c>
      <c r="L307" s="351"/>
      <c r="M307" s="345">
        <f t="shared" si="319"/>
        <v>0</v>
      </c>
      <c r="N307" s="249">
        <f t="shared" si="320"/>
        <v>0</v>
      </c>
      <c r="O307" s="249">
        <f t="shared" si="321"/>
        <v>0</v>
      </c>
      <c r="P307" s="249">
        <f t="shared" si="322"/>
        <v>0</v>
      </c>
      <c r="Q307" s="249">
        <f t="shared" si="323"/>
        <v>0</v>
      </c>
      <c r="R307" s="249">
        <f t="shared" si="324"/>
        <v>0</v>
      </c>
      <c r="S307" s="249">
        <f t="shared" si="325"/>
        <v>0</v>
      </c>
      <c r="T307" s="249">
        <f t="shared" si="326"/>
        <v>0</v>
      </c>
      <c r="U307" s="249" t="e">
        <f t="shared" si="327"/>
        <v>#REF!</v>
      </c>
      <c r="V307" s="251">
        <f t="shared" si="328"/>
        <v>0</v>
      </c>
    </row>
    <row r="308" spans="1:22" x14ac:dyDescent="0.3">
      <c r="A308" s="1025"/>
      <c r="B308" s="252"/>
      <c r="C308" s="253"/>
      <c r="D308" s="254"/>
      <c r="E308" s="249">
        <f t="shared" si="303"/>
        <v>0</v>
      </c>
      <c r="F308" s="249"/>
      <c r="G308" s="249">
        <f t="shared" si="305"/>
        <v>0</v>
      </c>
      <c r="H308" s="249">
        <f t="shared" si="306"/>
        <v>0</v>
      </c>
      <c r="I308" s="249">
        <f t="shared" si="307"/>
        <v>0</v>
      </c>
      <c r="J308" s="249"/>
      <c r="K308" s="368">
        <f t="shared" si="308"/>
        <v>0</v>
      </c>
      <c r="L308" s="351"/>
      <c r="M308" s="345">
        <f t="shared" si="319"/>
        <v>0</v>
      </c>
      <c r="N308" s="249">
        <f t="shared" si="320"/>
        <v>0</v>
      </c>
      <c r="O308" s="249">
        <f t="shared" si="321"/>
        <v>0</v>
      </c>
      <c r="P308" s="249">
        <f t="shared" si="322"/>
        <v>0</v>
      </c>
      <c r="Q308" s="249">
        <f t="shared" si="323"/>
        <v>0</v>
      </c>
      <c r="R308" s="249">
        <f t="shared" si="324"/>
        <v>0</v>
      </c>
      <c r="S308" s="249">
        <f t="shared" si="325"/>
        <v>0</v>
      </c>
      <c r="T308" s="249">
        <f t="shared" si="326"/>
        <v>0</v>
      </c>
      <c r="U308" s="249" t="e">
        <f t="shared" si="327"/>
        <v>#REF!</v>
      </c>
      <c r="V308" s="251">
        <f t="shared" si="328"/>
        <v>0</v>
      </c>
    </row>
    <row r="309" spans="1:22" ht="10.8" thickBot="1" x14ac:dyDescent="0.35">
      <c r="A309" s="1031"/>
      <c r="B309" s="252"/>
      <c r="C309" s="253"/>
      <c r="D309" s="254"/>
      <c r="E309" s="363">
        <f t="shared" si="303"/>
        <v>0</v>
      </c>
      <c r="F309" s="363"/>
      <c r="G309" s="363">
        <f t="shared" si="305"/>
        <v>0</v>
      </c>
      <c r="H309" s="363">
        <f t="shared" si="306"/>
        <v>0</v>
      </c>
      <c r="I309" s="363">
        <f t="shared" si="307"/>
        <v>0</v>
      </c>
      <c r="J309" s="363"/>
      <c r="K309" s="370">
        <f t="shared" si="308"/>
        <v>0</v>
      </c>
      <c r="L309" s="351"/>
      <c r="M309" s="346">
        <f t="shared" si="319"/>
        <v>0</v>
      </c>
      <c r="N309" s="347">
        <f t="shared" si="320"/>
        <v>0</v>
      </c>
      <c r="O309" s="347">
        <f t="shared" si="321"/>
        <v>0</v>
      </c>
      <c r="P309" s="347">
        <f t="shared" si="322"/>
        <v>0</v>
      </c>
      <c r="Q309" s="347">
        <f t="shared" si="323"/>
        <v>0</v>
      </c>
      <c r="R309" s="347">
        <f t="shared" si="324"/>
        <v>0</v>
      </c>
      <c r="S309" s="347">
        <f t="shared" si="325"/>
        <v>0</v>
      </c>
      <c r="T309" s="347">
        <f t="shared" si="326"/>
        <v>0</v>
      </c>
      <c r="U309" s="347" t="e">
        <f t="shared" si="327"/>
        <v>#REF!</v>
      </c>
      <c r="V309" s="348">
        <f t="shared" si="328"/>
        <v>0</v>
      </c>
    </row>
    <row r="310" spans="1:22" x14ac:dyDescent="0.3">
      <c r="A310" s="1024" t="s">
        <v>259</v>
      </c>
      <c r="B310" s="256">
        <v>1</v>
      </c>
      <c r="C310" s="257">
        <v>1000</v>
      </c>
      <c r="D310" s="258"/>
      <c r="E310" s="245">
        <f t="shared" ref="E310:E327" si="329">+C310*0.0833</f>
        <v>83.3</v>
      </c>
      <c r="F310" s="245">
        <f t="shared" ref="F310:F322" si="330">(394/12)</f>
        <v>32.833333333333336</v>
      </c>
      <c r="G310" s="245">
        <f t="shared" ref="G310:G327" si="331">+C310/12</f>
        <v>83.333333333333329</v>
      </c>
      <c r="H310" s="245">
        <f t="shared" ref="H310:H327" si="332">+C310*0.1115</f>
        <v>111.5</v>
      </c>
      <c r="I310" s="245">
        <f t="shared" ref="I310:I327" si="333">SUM(C310:H310)</f>
        <v>1310.9666666666665</v>
      </c>
      <c r="J310" s="245"/>
      <c r="K310" s="362">
        <f t="shared" ref="K310:K327" si="334">SUM(I310:J310)</f>
        <v>1310.9666666666665</v>
      </c>
      <c r="L310" s="351"/>
      <c r="M310" s="366">
        <f t="shared" si="319"/>
        <v>16.654245183146301</v>
      </c>
      <c r="N310" s="245">
        <f t="shared" si="320"/>
        <v>48.264002540757986</v>
      </c>
      <c r="O310" s="245">
        <f t="shared" si="321"/>
        <v>59.99531946474697</v>
      </c>
      <c r="P310" s="245">
        <f t="shared" si="322"/>
        <v>87.184287245635389</v>
      </c>
      <c r="Q310" s="245">
        <f t="shared" si="323"/>
        <v>94.945735129726884</v>
      </c>
      <c r="R310" s="245">
        <f t="shared" si="324"/>
        <v>119.10476478449104</v>
      </c>
      <c r="S310" s="245">
        <f t="shared" si="325"/>
        <v>125.18719555003872</v>
      </c>
      <c r="T310" s="245">
        <f t="shared" si="326"/>
        <v>148.26683264314963</v>
      </c>
      <c r="U310" s="245" t="e">
        <f t="shared" si="327"/>
        <v>#REF!</v>
      </c>
      <c r="V310" s="246">
        <f t="shared" si="328"/>
        <v>0</v>
      </c>
    </row>
    <row r="311" spans="1:22" x14ac:dyDescent="0.3">
      <c r="A311" s="1025"/>
      <c r="B311" s="252">
        <v>1</v>
      </c>
      <c r="C311" s="253">
        <v>1000</v>
      </c>
      <c r="D311" s="254"/>
      <c r="E311" s="249">
        <f t="shared" si="329"/>
        <v>83.3</v>
      </c>
      <c r="F311" s="249">
        <f t="shared" si="330"/>
        <v>32.833333333333336</v>
      </c>
      <c r="G311" s="249">
        <f t="shared" si="331"/>
        <v>83.333333333333329</v>
      </c>
      <c r="H311" s="249">
        <f t="shared" si="332"/>
        <v>111.5</v>
      </c>
      <c r="I311" s="249">
        <f t="shared" si="333"/>
        <v>1310.9666666666665</v>
      </c>
      <c r="J311" s="249"/>
      <c r="K311" s="368">
        <f t="shared" si="334"/>
        <v>1310.9666666666665</v>
      </c>
      <c r="L311" s="351"/>
      <c r="M311" s="345">
        <f t="shared" si="319"/>
        <v>16.654245183146301</v>
      </c>
      <c r="N311" s="249">
        <f t="shared" si="320"/>
        <v>48.264002540757986</v>
      </c>
      <c r="O311" s="249">
        <f t="shared" si="321"/>
        <v>59.99531946474697</v>
      </c>
      <c r="P311" s="249">
        <f t="shared" si="322"/>
        <v>87.184287245635389</v>
      </c>
      <c r="Q311" s="249">
        <f t="shared" si="323"/>
        <v>94.945735129726884</v>
      </c>
      <c r="R311" s="249">
        <f t="shared" si="324"/>
        <v>119.10476478449104</v>
      </c>
      <c r="S311" s="249">
        <f t="shared" si="325"/>
        <v>125.18719555003872</v>
      </c>
      <c r="T311" s="249">
        <f t="shared" si="326"/>
        <v>148.26683264314963</v>
      </c>
      <c r="U311" s="249" t="e">
        <f t="shared" si="327"/>
        <v>#REF!</v>
      </c>
      <c r="V311" s="251">
        <f t="shared" si="328"/>
        <v>0</v>
      </c>
    </row>
    <row r="312" spans="1:22" x14ac:dyDescent="0.3">
      <c r="A312" s="1025"/>
      <c r="B312" s="252">
        <v>1</v>
      </c>
      <c r="C312" s="253">
        <v>1850</v>
      </c>
      <c r="D312" s="254"/>
      <c r="E312" s="249">
        <f t="shared" si="329"/>
        <v>154.10499999999999</v>
      </c>
      <c r="F312" s="249">
        <f t="shared" si="330"/>
        <v>32.833333333333336</v>
      </c>
      <c r="G312" s="249">
        <f t="shared" si="331"/>
        <v>154.16666666666666</v>
      </c>
      <c r="H312" s="249">
        <f t="shared" si="332"/>
        <v>206.27500000000001</v>
      </c>
      <c r="I312" s="249">
        <f t="shared" si="333"/>
        <v>2397.38</v>
      </c>
      <c r="J312" s="249"/>
      <c r="K312" s="368">
        <f t="shared" si="334"/>
        <v>2397.38</v>
      </c>
      <c r="L312" s="351"/>
      <c r="M312" s="345">
        <f t="shared" si="319"/>
        <v>30.455811983908532</v>
      </c>
      <c r="N312" s="249">
        <f t="shared" si="320"/>
        <v>88.260943129366922</v>
      </c>
      <c r="O312" s="249">
        <f t="shared" si="321"/>
        <v>109.71413891408002</v>
      </c>
      <c r="P312" s="249">
        <f t="shared" si="322"/>
        <v>159.43492071266095</v>
      </c>
      <c r="Q312" s="249">
        <f t="shared" si="323"/>
        <v>173.62837078387807</v>
      </c>
      <c r="R312" s="249">
        <f t="shared" si="324"/>
        <v>217.80826946963555</v>
      </c>
      <c r="S312" s="249">
        <f t="shared" si="325"/>
        <v>228.93128139623582</v>
      </c>
      <c r="T312" s="249">
        <f t="shared" si="326"/>
        <v>271.1372823428265</v>
      </c>
      <c r="U312" s="249" t="e">
        <f t="shared" si="327"/>
        <v>#REF!</v>
      </c>
      <c r="V312" s="251">
        <f t="shared" si="328"/>
        <v>0</v>
      </c>
    </row>
    <row r="313" spans="1:22" x14ac:dyDescent="0.3">
      <c r="A313" s="1025"/>
      <c r="B313" s="252">
        <v>1</v>
      </c>
      <c r="C313" s="253">
        <v>850</v>
      </c>
      <c r="D313" s="254"/>
      <c r="E313" s="249">
        <f t="shared" si="329"/>
        <v>70.804999999999993</v>
      </c>
      <c r="F313" s="249">
        <f t="shared" si="330"/>
        <v>32.833333333333336</v>
      </c>
      <c r="G313" s="249">
        <f t="shared" si="331"/>
        <v>70.833333333333329</v>
      </c>
      <c r="H313" s="249">
        <f t="shared" si="332"/>
        <v>94.775000000000006</v>
      </c>
      <c r="I313" s="249">
        <f t="shared" si="333"/>
        <v>1119.2466666666667</v>
      </c>
      <c r="J313" s="249"/>
      <c r="K313" s="368">
        <f t="shared" si="334"/>
        <v>1119.2466666666667</v>
      </c>
      <c r="L313" s="351"/>
      <c r="M313" s="345">
        <f t="shared" si="319"/>
        <v>14.218674571247089</v>
      </c>
      <c r="N313" s="249">
        <f t="shared" si="320"/>
        <v>41.205718907474065</v>
      </c>
      <c r="O313" s="249">
        <f t="shared" si="321"/>
        <v>51.221410150158803</v>
      </c>
      <c r="P313" s="249">
        <f t="shared" si="322"/>
        <v>74.434175457336778</v>
      </c>
      <c r="Q313" s="249">
        <f t="shared" si="323"/>
        <v>81.060564131935521</v>
      </c>
      <c r="R313" s="249">
        <f t="shared" si="324"/>
        <v>101.6864992518185</v>
      </c>
      <c r="S313" s="249">
        <f t="shared" si="325"/>
        <v>106.87941569482751</v>
      </c>
      <c r="T313" s="249">
        <f t="shared" si="326"/>
        <v>126.58381210791256</v>
      </c>
      <c r="U313" s="249" t="e">
        <f t="shared" si="327"/>
        <v>#REF!</v>
      </c>
      <c r="V313" s="251">
        <f t="shared" si="328"/>
        <v>0</v>
      </c>
    </row>
    <row r="314" spans="1:22" x14ac:dyDescent="0.3">
      <c r="A314" s="1025"/>
      <c r="B314" s="252">
        <v>1</v>
      </c>
      <c r="C314" s="253">
        <v>1800</v>
      </c>
      <c r="D314" s="254"/>
      <c r="E314" s="249">
        <f t="shared" si="329"/>
        <v>149.94</v>
      </c>
      <c r="F314" s="249">
        <f t="shared" si="330"/>
        <v>32.833333333333336</v>
      </c>
      <c r="G314" s="249">
        <f t="shared" si="331"/>
        <v>150</v>
      </c>
      <c r="H314" s="249">
        <f t="shared" si="332"/>
        <v>200.70000000000002</v>
      </c>
      <c r="I314" s="249">
        <f t="shared" si="333"/>
        <v>2333.4733333333334</v>
      </c>
      <c r="J314" s="249"/>
      <c r="K314" s="368">
        <f t="shared" si="334"/>
        <v>2333.4733333333334</v>
      </c>
      <c r="L314" s="351"/>
      <c r="M314" s="345">
        <f t="shared" si="319"/>
        <v>29.64395511327546</v>
      </c>
      <c r="N314" s="249">
        <f t="shared" si="320"/>
        <v>85.908181918272277</v>
      </c>
      <c r="O314" s="249">
        <f t="shared" si="321"/>
        <v>106.78950247588398</v>
      </c>
      <c r="P314" s="249">
        <f t="shared" si="322"/>
        <v>155.18488344989476</v>
      </c>
      <c r="Q314" s="249">
        <f t="shared" si="323"/>
        <v>168.99998045128095</v>
      </c>
      <c r="R314" s="249">
        <f t="shared" si="324"/>
        <v>212.0021809587447</v>
      </c>
      <c r="S314" s="249">
        <f t="shared" si="325"/>
        <v>222.82868811116538</v>
      </c>
      <c r="T314" s="249">
        <f t="shared" si="326"/>
        <v>263.90960883108085</v>
      </c>
      <c r="U314" s="249" t="e">
        <f t="shared" si="327"/>
        <v>#REF!</v>
      </c>
      <c r="V314" s="251">
        <f t="shared" si="328"/>
        <v>0</v>
      </c>
    </row>
    <row r="315" spans="1:22" x14ac:dyDescent="0.3">
      <c r="A315" s="1025"/>
      <c r="B315" s="252">
        <v>1</v>
      </c>
      <c r="C315" s="253">
        <v>1100</v>
      </c>
      <c r="D315" s="254"/>
      <c r="E315" s="249">
        <f t="shared" si="329"/>
        <v>91.63</v>
      </c>
      <c r="F315" s="249">
        <f t="shared" si="330"/>
        <v>32.833333333333336</v>
      </c>
      <c r="G315" s="249">
        <f t="shared" si="331"/>
        <v>91.666666666666671</v>
      </c>
      <c r="H315" s="249">
        <f t="shared" si="332"/>
        <v>122.65</v>
      </c>
      <c r="I315" s="249">
        <f t="shared" si="333"/>
        <v>1438.7800000000002</v>
      </c>
      <c r="J315" s="249"/>
      <c r="K315" s="368">
        <f t="shared" si="334"/>
        <v>1438.7800000000002</v>
      </c>
      <c r="L315" s="351"/>
      <c r="M315" s="345">
        <f t="shared" si="319"/>
        <v>18.277958924412452</v>
      </c>
      <c r="N315" s="249">
        <f t="shared" si="320"/>
        <v>52.96952496294729</v>
      </c>
      <c r="O315" s="249">
        <f t="shared" si="321"/>
        <v>65.844592341139119</v>
      </c>
      <c r="P315" s="249">
        <f t="shared" si="322"/>
        <v>95.684361771167829</v>
      </c>
      <c r="Q315" s="249">
        <f t="shared" si="323"/>
        <v>104.20251579492117</v>
      </c>
      <c r="R315" s="249">
        <f t="shared" si="324"/>
        <v>130.71694180627279</v>
      </c>
      <c r="S315" s="249">
        <f t="shared" si="325"/>
        <v>137.3923821201796</v>
      </c>
      <c r="T315" s="249">
        <f t="shared" si="326"/>
        <v>162.72217966664107</v>
      </c>
      <c r="U315" s="249" t="e">
        <f t="shared" si="327"/>
        <v>#REF!</v>
      </c>
      <c r="V315" s="251">
        <f t="shared" si="328"/>
        <v>0</v>
      </c>
    </row>
    <row r="316" spans="1:22" x14ac:dyDescent="0.3">
      <c r="A316" s="1025"/>
      <c r="B316" s="252">
        <v>1</v>
      </c>
      <c r="C316" s="253">
        <v>1950</v>
      </c>
      <c r="D316" s="254"/>
      <c r="E316" s="249">
        <f t="shared" si="329"/>
        <v>162.435</v>
      </c>
      <c r="F316" s="249">
        <f t="shared" si="330"/>
        <v>32.833333333333336</v>
      </c>
      <c r="G316" s="249">
        <f t="shared" si="331"/>
        <v>162.5</v>
      </c>
      <c r="H316" s="249">
        <f t="shared" si="332"/>
        <v>217.42500000000001</v>
      </c>
      <c r="I316" s="249">
        <f t="shared" si="333"/>
        <v>2525.1933333333336</v>
      </c>
      <c r="J316" s="249"/>
      <c r="K316" s="368">
        <f t="shared" si="334"/>
        <v>2525.1933333333336</v>
      </c>
      <c r="L316" s="351"/>
      <c r="M316" s="345">
        <f t="shared" si="319"/>
        <v>32.079525725174683</v>
      </c>
      <c r="N316" s="249">
        <f t="shared" si="320"/>
        <v>92.966465551556226</v>
      </c>
      <c r="O316" s="249">
        <f t="shared" si="321"/>
        <v>115.56341179047217</v>
      </c>
      <c r="P316" s="249">
        <f t="shared" si="322"/>
        <v>167.93499523819338</v>
      </c>
      <c r="Q316" s="249">
        <f t="shared" si="323"/>
        <v>182.88515144907234</v>
      </c>
      <c r="R316" s="249">
        <f t="shared" si="324"/>
        <v>229.42044649141727</v>
      </c>
      <c r="S316" s="249">
        <f t="shared" si="325"/>
        <v>241.13646796637667</v>
      </c>
      <c r="T316" s="249">
        <f t="shared" si="326"/>
        <v>285.59262936631796</v>
      </c>
      <c r="U316" s="249" t="e">
        <f t="shared" si="327"/>
        <v>#REF!</v>
      </c>
      <c r="V316" s="251">
        <f t="shared" si="328"/>
        <v>0</v>
      </c>
    </row>
    <row r="317" spans="1:22" x14ac:dyDescent="0.3">
      <c r="A317" s="1025"/>
      <c r="B317" s="252">
        <v>1</v>
      </c>
      <c r="C317" s="253">
        <v>850</v>
      </c>
      <c r="D317" s="254"/>
      <c r="E317" s="249">
        <f t="shared" si="329"/>
        <v>70.804999999999993</v>
      </c>
      <c r="F317" s="249">
        <f t="shared" si="330"/>
        <v>32.833333333333336</v>
      </c>
      <c r="G317" s="249">
        <f t="shared" si="331"/>
        <v>70.833333333333329</v>
      </c>
      <c r="H317" s="249">
        <f t="shared" si="332"/>
        <v>94.775000000000006</v>
      </c>
      <c r="I317" s="249">
        <f t="shared" si="333"/>
        <v>1119.2466666666667</v>
      </c>
      <c r="J317" s="249"/>
      <c r="K317" s="368">
        <f t="shared" si="334"/>
        <v>1119.2466666666667</v>
      </c>
      <c r="L317" s="351"/>
      <c r="M317" s="345">
        <f t="shared" si="319"/>
        <v>14.218674571247089</v>
      </c>
      <c r="N317" s="249">
        <f t="shared" si="320"/>
        <v>41.205718907474065</v>
      </c>
      <c r="O317" s="249">
        <f t="shared" si="321"/>
        <v>51.221410150158803</v>
      </c>
      <c r="P317" s="249">
        <f t="shared" si="322"/>
        <v>74.434175457336778</v>
      </c>
      <c r="Q317" s="249">
        <f t="shared" si="323"/>
        <v>81.060564131935521</v>
      </c>
      <c r="R317" s="249">
        <f t="shared" si="324"/>
        <v>101.6864992518185</v>
      </c>
      <c r="S317" s="249">
        <f t="shared" si="325"/>
        <v>106.87941569482751</v>
      </c>
      <c r="T317" s="249">
        <f t="shared" si="326"/>
        <v>126.58381210791256</v>
      </c>
      <c r="U317" s="249" t="e">
        <f t="shared" si="327"/>
        <v>#REF!</v>
      </c>
      <c r="V317" s="251">
        <f t="shared" si="328"/>
        <v>0</v>
      </c>
    </row>
    <row r="318" spans="1:22" x14ac:dyDescent="0.3">
      <c r="A318" s="1025"/>
      <c r="B318" s="252">
        <v>1</v>
      </c>
      <c r="C318" s="253">
        <v>3600</v>
      </c>
      <c r="D318" s="254"/>
      <c r="E318" s="249">
        <f t="shared" si="329"/>
        <v>299.88</v>
      </c>
      <c r="F318" s="249">
        <f t="shared" si="330"/>
        <v>32.833333333333336</v>
      </c>
      <c r="G318" s="249">
        <f t="shared" si="331"/>
        <v>300</v>
      </c>
      <c r="H318" s="249">
        <f t="shared" si="332"/>
        <v>401.40000000000003</v>
      </c>
      <c r="I318" s="249">
        <f t="shared" si="333"/>
        <v>4634.1133333333328</v>
      </c>
      <c r="J318" s="249"/>
      <c r="K318" s="368">
        <f t="shared" si="334"/>
        <v>4634.1133333333328</v>
      </c>
      <c r="L318" s="351"/>
      <c r="M318" s="345">
        <f t="shared" si="319"/>
        <v>58.870802456066059</v>
      </c>
      <c r="N318" s="249">
        <f t="shared" si="320"/>
        <v>170.60758551767941</v>
      </c>
      <c r="O318" s="249">
        <f t="shared" si="321"/>
        <v>212.07641425094218</v>
      </c>
      <c r="P318" s="249">
        <f t="shared" si="322"/>
        <v>308.18622490947826</v>
      </c>
      <c r="Q318" s="249">
        <f t="shared" si="323"/>
        <v>335.6220324247775</v>
      </c>
      <c r="R318" s="249">
        <f t="shared" si="324"/>
        <v>421.02136735081524</v>
      </c>
      <c r="S318" s="249">
        <f t="shared" si="325"/>
        <v>442.52204637370016</v>
      </c>
      <c r="T318" s="249">
        <f t="shared" si="326"/>
        <v>524.10585525392594</v>
      </c>
      <c r="U318" s="249" t="e">
        <f t="shared" si="327"/>
        <v>#REF!</v>
      </c>
      <c r="V318" s="251">
        <f t="shared" si="328"/>
        <v>0</v>
      </c>
    </row>
    <row r="319" spans="1:22" x14ac:dyDescent="0.3">
      <c r="A319" s="1025"/>
      <c r="B319" s="252">
        <v>1</v>
      </c>
      <c r="C319" s="253">
        <v>1800</v>
      </c>
      <c r="D319" s="254"/>
      <c r="E319" s="249">
        <f t="shared" si="329"/>
        <v>149.94</v>
      </c>
      <c r="F319" s="249">
        <f t="shared" si="330"/>
        <v>32.833333333333336</v>
      </c>
      <c r="G319" s="249">
        <f t="shared" si="331"/>
        <v>150</v>
      </c>
      <c r="H319" s="249">
        <f t="shared" si="332"/>
        <v>200.70000000000002</v>
      </c>
      <c r="I319" s="249">
        <f t="shared" si="333"/>
        <v>2333.4733333333334</v>
      </c>
      <c r="J319" s="249"/>
      <c r="K319" s="368">
        <f t="shared" si="334"/>
        <v>2333.4733333333334</v>
      </c>
      <c r="L319" s="351"/>
      <c r="M319" s="345">
        <f t="shared" si="319"/>
        <v>29.64395511327546</v>
      </c>
      <c r="N319" s="249">
        <f t="shared" si="320"/>
        <v>85.908181918272277</v>
      </c>
      <c r="O319" s="249">
        <f t="shared" si="321"/>
        <v>106.78950247588398</v>
      </c>
      <c r="P319" s="249">
        <f t="shared" si="322"/>
        <v>155.18488344989476</v>
      </c>
      <c r="Q319" s="249">
        <f t="shared" si="323"/>
        <v>168.99998045128095</v>
      </c>
      <c r="R319" s="249">
        <f t="shared" si="324"/>
        <v>212.0021809587447</v>
      </c>
      <c r="S319" s="249">
        <f t="shared" si="325"/>
        <v>222.82868811116538</v>
      </c>
      <c r="T319" s="249">
        <f t="shared" si="326"/>
        <v>263.90960883108085</v>
      </c>
      <c r="U319" s="249" t="e">
        <f t="shared" si="327"/>
        <v>#REF!</v>
      </c>
      <c r="V319" s="251">
        <f t="shared" si="328"/>
        <v>0</v>
      </c>
    </row>
    <row r="320" spans="1:22" x14ac:dyDescent="0.3">
      <c r="A320" s="1025"/>
      <c r="B320" s="252">
        <v>1</v>
      </c>
      <c r="C320" s="253">
        <v>700</v>
      </c>
      <c r="D320" s="254"/>
      <c r="E320" s="249">
        <f t="shared" si="329"/>
        <v>58.31</v>
      </c>
      <c r="F320" s="249">
        <f t="shared" si="330"/>
        <v>32.833333333333336</v>
      </c>
      <c r="G320" s="249">
        <f t="shared" si="331"/>
        <v>58.333333333333336</v>
      </c>
      <c r="H320" s="249">
        <f t="shared" si="332"/>
        <v>78.05</v>
      </c>
      <c r="I320" s="249">
        <f t="shared" si="333"/>
        <v>927.52666666666664</v>
      </c>
      <c r="J320" s="249"/>
      <c r="K320" s="368">
        <f t="shared" si="334"/>
        <v>927.52666666666664</v>
      </c>
      <c r="L320" s="351"/>
      <c r="M320" s="345">
        <f t="shared" si="319"/>
        <v>11.783103959347873</v>
      </c>
      <c r="N320" s="249">
        <f t="shared" si="320"/>
        <v>34.14743527419013</v>
      </c>
      <c r="O320" s="249">
        <f t="shared" si="321"/>
        <v>42.447500835570615</v>
      </c>
      <c r="P320" s="249">
        <f t="shared" si="322"/>
        <v>61.68406366903816</v>
      </c>
      <c r="Q320" s="249">
        <f t="shared" si="323"/>
        <v>67.175393134144144</v>
      </c>
      <c r="R320" s="249">
        <f t="shared" si="324"/>
        <v>84.268233719145968</v>
      </c>
      <c r="S320" s="249">
        <f t="shared" si="325"/>
        <v>88.571635839616278</v>
      </c>
      <c r="T320" s="249">
        <f t="shared" si="326"/>
        <v>104.90079157267549</v>
      </c>
      <c r="U320" s="249" t="e">
        <f t="shared" si="327"/>
        <v>#REF!</v>
      </c>
      <c r="V320" s="251">
        <f t="shared" si="328"/>
        <v>0</v>
      </c>
    </row>
    <row r="321" spans="1:22" x14ac:dyDescent="0.3">
      <c r="A321" s="1025"/>
      <c r="B321" s="252">
        <v>1</v>
      </c>
      <c r="C321" s="253">
        <v>820</v>
      </c>
      <c r="D321" s="254"/>
      <c r="E321" s="249">
        <f t="shared" si="329"/>
        <v>68.305999999999997</v>
      </c>
      <c r="F321" s="249">
        <f t="shared" si="330"/>
        <v>32.833333333333336</v>
      </c>
      <c r="G321" s="249">
        <f t="shared" si="331"/>
        <v>68.333333333333329</v>
      </c>
      <c r="H321" s="249">
        <f t="shared" si="332"/>
        <v>91.43</v>
      </c>
      <c r="I321" s="249">
        <f t="shared" si="333"/>
        <v>1080.9026666666668</v>
      </c>
      <c r="J321" s="249"/>
      <c r="K321" s="368">
        <f t="shared" si="334"/>
        <v>1080.9026666666668</v>
      </c>
      <c r="L321" s="351"/>
      <c r="M321" s="345">
        <f t="shared" si="319"/>
        <v>13.731560448867246</v>
      </c>
      <c r="N321" s="249">
        <f t="shared" si="320"/>
        <v>39.794062180817278</v>
      </c>
      <c r="O321" s="249">
        <f t="shared" si="321"/>
        <v>49.466628287241164</v>
      </c>
      <c r="P321" s="249">
        <f t="shared" si="322"/>
        <v>71.884153099677064</v>
      </c>
      <c r="Q321" s="249">
        <f t="shared" si="323"/>
        <v>78.283529932377263</v>
      </c>
      <c r="R321" s="249">
        <f t="shared" si="324"/>
        <v>98.202846145284013</v>
      </c>
      <c r="S321" s="249">
        <f t="shared" si="325"/>
        <v>103.21785972378527</v>
      </c>
      <c r="T321" s="249">
        <f t="shared" si="326"/>
        <v>122.24720800086516</v>
      </c>
      <c r="U321" s="249" t="e">
        <f t="shared" si="327"/>
        <v>#REF!</v>
      </c>
      <c r="V321" s="251">
        <f t="shared" si="328"/>
        <v>0</v>
      </c>
    </row>
    <row r="322" spans="1:22" x14ac:dyDescent="0.3">
      <c r="A322" s="1025"/>
      <c r="B322" s="252">
        <v>1</v>
      </c>
      <c r="C322" s="253">
        <v>820</v>
      </c>
      <c r="D322" s="254"/>
      <c r="E322" s="249">
        <f t="shared" si="329"/>
        <v>68.305999999999997</v>
      </c>
      <c r="F322" s="249">
        <f t="shared" si="330"/>
        <v>32.833333333333336</v>
      </c>
      <c r="G322" s="249">
        <f t="shared" si="331"/>
        <v>68.333333333333329</v>
      </c>
      <c r="H322" s="249">
        <f t="shared" si="332"/>
        <v>91.43</v>
      </c>
      <c r="I322" s="249">
        <f t="shared" si="333"/>
        <v>1080.9026666666668</v>
      </c>
      <c r="J322" s="249"/>
      <c r="K322" s="368">
        <f t="shared" si="334"/>
        <v>1080.9026666666668</v>
      </c>
      <c r="L322" s="351"/>
      <c r="M322" s="345">
        <f t="shared" si="319"/>
        <v>13.731560448867246</v>
      </c>
      <c r="N322" s="249">
        <f t="shared" si="320"/>
        <v>39.794062180817278</v>
      </c>
      <c r="O322" s="249">
        <f t="shared" si="321"/>
        <v>49.466628287241164</v>
      </c>
      <c r="P322" s="249">
        <f t="shared" si="322"/>
        <v>71.884153099677064</v>
      </c>
      <c r="Q322" s="249">
        <f t="shared" si="323"/>
        <v>78.283529932377263</v>
      </c>
      <c r="R322" s="249">
        <f t="shared" si="324"/>
        <v>98.202846145284013</v>
      </c>
      <c r="S322" s="249">
        <f t="shared" si="325"/>
        <v>103.21785972378527</v>
      </c>
      <c r="T322" s="249">
        <f t="shared" si="326"/>
        <v>122.24720800086516</v>
      </c>
      <c r="U322" s="249" t="e">
        <f t="shared" si="327"/>
        <v>#REF!</v>
      </c>
      <c r="V322" s="251">
        <f t="shared" si="328"/>
        <v>0</v>
      </c>
    </row>
    <row r="323" spans="1:22" x14ac:dyDescent="0.3">
      <c r="A323" s="1025"/>
      <c r="B323" s="252"/>
      <c r="C323" s="253"/>
      <c r="D323" s="254"/>
      <c r="E323" s="249">
        <f t="shared" si="329"/>
        <v>0</v>
      </c>
      <c r="F323" s="249"/>
      <c r="G323" s="249">
        <f t="shared" si="331"/>
        <v>0</v>
      </c>
      <c r="H323" s="249">
        <f t="shared" si="332"/>
        <v>0</v>
      </c>
      <c r="I323" s="249">
        <f t="shared" si="333"/>
        <v>0</v>
      </c>
      <c r="J323" s="249"/>
      <c r="K323" s="368">
        <f t="shared" si="334"/>
        <v>0</v>
      </c>
      <c r="L323" s="351"/>
      <c r="M323" s="345">
        <f t="shared" si="319"/>
        <v>0</v>
      </c>
      <c r="N323" s="249">
        <f t="shared" si="320"/>
        <v>0</v>
      </c>
      <c r="O323" s="249">
        <f t="shared" si="321"/>
        <v>0</v>
      </c>
      <c r="P323" s="249">
        <f t="shared" si="322"/>
        <v>0</v>
      </c>
      <c r="Q323" s="249">
        <f t="shared" si="323"/>
        <v>0</v>
      </c>
      <c r="R323" s="249">
        <f t="shared" si="324"/>
        <v>0</v>
      </c>
      <c r="S323" s="249">
        <f t="shared" si="325"/>
        <v>0</v>
      </c>
      <c r="T323" s="249">
        <f t="shared" si="326"/>
        <v>0</v>
      </c>
      <c r="U323" s="249" t="e">
        <f t="shared" si="327"/>
        <v>#REF!</v>
      </c>
      <c r="V323" s="251">
        <f t="shared" si="328"/>
        <v>0</v>
      </c>
    </row>
    <row r="324" spans="1:22" x14ac:dyDescent="0.3">
      <c r="A324" s="1025"/>
      <c r="B324" s="252"/>
      <c r="C324" s="253"/>
      <c r="D324" s="254"/>
      <c r="E324" s="249">
        <f t="shared" si="329"/>
        <v>0</v>
      </c>
      <c r="F324" s="249"/>
      <c r="G324" s="249">
        <f t="shared" si="331"/>
        <v>0</v>
      </c>
      <c r="H324" s="249">
        <f t="shared" si="332"/>
        <v>0</v>
      </c>
      <c r="I324" s="249">
        <f t="shared" si="333"/>
        <v>0</v>
      </c>
      <c r="J324" s="249"/>
      <c r="K324" s="368">
        <f t="shared" si="334"/>
        <v>0</v>
      </c>
      <c r="L324" s="351"/>
      <c r="M324" s="345">
        <f t="shared" si="319"/>
        <v>0</v>
      </c>
      <c r="N324" s="249">
        <f t="shared" si="320"/>
        <v>0</v>
      </c>
      <c r="O324" s="249">
        <f t="shared" si="321"/>
        <v>0</v>
      </c>
      <c r="P324" s="249">
        <f t="shared" si="322"/>
        <v>0</v>
      </c>
      <c r="Q324" s="249">
        <f t="shared" si="323"/>
        <v>0</v>
      </c>
      <c r="R324" s="249">
        <f t="shared" si="324"/>
        <v>0</v>
      </c>
      <c r="S324" s="249">
        <f t="shared" si="325"/>
        <v>0</v>
      </c>
      <c r="T324" s="249">
        <f t="shared" si="326"/>
        <v>0</v>
      </c>
      <c r="U324" s="249" t="e">
        <f t="shared" si="327"/>
        <v>#REF!</v>
      </c>
      <c r="V324" s="251">
        <f t="shared" si="328"/>
        <v>0</v>
      </c>
    </row>
    <row r="325" spans="1:22" x14ac:dyDescent="0.3">
      <c r="A325" s="1025"/>
      <c r="B325" s="252"/>
      <c r="C325" s="253"/>
      <c r="D325" s="254"/>
      <c r="E325" s="249">
        <f t="shared" si="329"/>
        <v>0</v>
      </c>
      <c r="F325" s="249"/>
      <c r="G325" s="249">
        <f t="shared" si="331"/>
        <v>0</v>
      </c>
      <c r="H325" s="249">
        <f t="shared" si="332"/>
        <v>0</v>
      </c>
      <c r="I325" s="249">
        <f t="shared" si="333"/>
        <v>0</v>
      </c>
      <c r="J325" s="249"/>
      <c r="K325" s="368">
        <f t="shared" si="334"/>
        <v>0</v>
      </c>
      <c r="L325" s="351"/>
      <c r="M325" s="345">
        <f t="shared" si="319"/>
        <v>0</v>
      </c>
      <c r="N325" s="249">
        <f t="shared" si="320"/>
        <v>0</v>
      </c>
      <c r="O325" s="249">
        <f t="shared" si="321"/>
        <v>0</v>
      </c>
      <c r="P325" s="249">
        <f t="shared" si="322"/>
        <v>0</v>
      </c>
      <c r="Q325" s="249">
        <f t="shared" si="323"/>
        <v>0</v>
      </c>
      <c r="R325" s="249">
        <f t="shared" si="324"/>
        <v>0</v>
      </c>
      <c r="S325" s="249">
        <f t="shared" si="325"/>
        <v>0</v>
      </c>
      <c r="T325" s="249">
        <f t="shared" si="326"/>
        <v>0</v>
      </c>
      <c r="U325" s="249" t="e">
        <f t="shared" si="327"/>
        <v>#REF!</v>
      </c>
      <c r="V325" s="251">
        <f t="shared" si="328"/>
        <v>0</v>
      </c>
    </row>
    <row r="326" spans="1:22" x14ac:dyDescent="0.3">
      <c r="A326" s="1025"/>
      <c r="B326" s="252"/>
      <c r="C326" s="253"/>
      <c r="D326" s="254"/>
      <c r="E326" s="249">
        <f t="shared" si="329"/>
        <v>0</v>
      </c>
      <c r="F326" s="249"/>
      <c r="G326" s="249">
        <f t="shared" si="331"/>
        <v>0</v>
      </c>
      <c r="H326" s="249">
        <f t="shared" si="332"/>
        <v>0</v>
      </c>
      <c r="I326" s="249">
        <f t="shared" si="333"/>
        <v>0</v>
      </c>
      <c r="J326" s="249"/>
      <c r="K326" s="368">
        <f t="shared" si="334"/>
        <v>0</v>
      </c>
      <c r="L326" s="351"/>
      <c r="M326" s="345">
        <f t="shared" si="319"/>
        <v>0</v>
      </c>
      <c r="N326" s="249">
        <f t="shared" si="320"/>
        <v>0</v>
      </c>
      <c r="O326" s="249">
        <f t="shared" si="321"/>
        <v>0</v>
      </c>
      <c r="P326" s="249">
        <f t="shared" si="322"/>
        <v>0</v>
      </c>
      <c r="Q326" s="249">
        <f t="shared" si="323"/>
        <v>0</v>
      </c>
      <c r="R326" s="249">
        <f t="shared" si="324"/>
        <v>0</v>
      </c>
      <c r="S326" s="249">
        <f t="shared" si="325"/>
        <v>0</v>
      </c>
      <c r="T326" s="249">
        <f t="shared" si="326"/>
        <v>0</v>
      </c>
      <c r="U326" s="249" t="e">
        <f t="shared" si="327"/>
        <v>#REF!</v>
      </c>
      <c r="V326" s="251">
        <f t="shared" si="328"/>
        <v>0</v>
      </c>
    </row>
    <row r="327" spans="1:22" ht="10.8" thickBot="1" x14ac:dyDescent="0.35">
      <c r="A327" s="1026"/>
      <c r="B327" s="239"/>
      <c r="C327" s="233"/>
      <c r="D327" s="139"/>
      <c r="E327" s="347">
        <f t="shared" si="329"/>
        <v>0</v>
      </c>
      <c r="F327" s="347"/>
      <c r="G327" s="347">
        <f t="shared" si="331"/>
        <v>0</v>
      </c>
      <c r="H327" s="347">
        <f t="shared" si="332"/>
        <v>0</v>
      </c>
      <c r="I327" s="347">
        <f t="shared" si="333"/>
        <v>0</v>
      </c>
      <c r="J327" s="347"/>
      <c r="K327" s="369">
        <f t="shared" si="334"/>
        <v>0</v>
      </c>
      <c r="L327" s="351"/>
      <c r="M327" s="346">
        <f t="shared" si="319"/>
        <v>0</v>
      </c>
      <c r="N327" s="347">
        <f t="shared" si="320"/>
        <v>0</v>
      </c>
      <c r="O327" s="347">
        <f t="shared" si="321"/>
        <v>0</v>
      </c>
      <c r="P327" s="347">
        <f t="shared" si="322"/>
        <v>0</v>
      </c>
      <c r="Q327" s="347">
        <f t="shared" si="323"/>
        <v>0</v>
      </c>
      <c r="R327" s="347">
        <f t="shared" si="324"/>
        <v>0</v>
      </c>
      <c r="S327" s="347">
        <f t="shared" si="325"/>
        <v>0</v>
      </c>
      <c r="T327" s="347">
        <f t="shared" si="326"/>
        <v>0</v>
      </c>
      <c r="U327" s="347" t="e">
        <f t="shared" si="327"/>
        <v>#REF!</v>
      </c>
      <c r="V327" s="348">
        <f t="shared" si="328"/>
        <v>0</v>
      </c>
    </row>
    <row r="328" spans="1:22" x14ac:dyDescent="0.3">
      <c r="A328" s="1024" t="s">
        <v>260</v>
      </c>
      <c r="B328" s="252">
        <v>1</v>
      </c>
      <c r="C328" s="253">
        <v>820</v>
      </c>
      <c r="D328" s="254"/>
      <c r="E328" s="249">
        <f t="shared" ref="E328:E337" si="335">+C328*0.0833</f>
        <v>68.305999999999997</v>
      </c>
      <c r="F328" s="249">
        <f>(394/12)</f>
        <v>32.833333333333336</v>
      </c>
      <c r="G328" s="249">
        <f t="shared" ref="G328:G337" si="336">+C328/12</f>
        <v>68.333333333333329</v>
      </c>
      <c r="H328" s="249">
        <f t="shared" ref="H328:H337" si="337">+C328*0.1115</f>
        <v>91.43</v>
      </c>
      <c r="I328" s="249">
        <f t="shared" ref="I328:I337" si="338">SUM(C328:H328)</f>
        <v>1080.9026666666668</v>
      </c>
      <c r="J328" s="249"/>
      <c r="K328" s="368">
        <f t="shared" ref="K328:K337" si="339">SUM(I328:J328)</f>
        <v>1080.9026666666668</v>
      </c>
      <c r="L328" s="351"/>
      <c r="M328" s="366">
        <f t="shared" si="319"/>
        <v>13.731560448867246</v>
      </c>
      <c r="N328" s="245">
        <f t="shared" si="320"/>
        <v>39.794062180817278</v>
      </c>
      <c r="O328" s="245">
        <f t="shared" si="321"/>
        <v>49.466628287241164</v>
      </c>
      <c r="P328" s="245">
        <f t="shared" si="322"/>
        <v>71.884153099677064</v>
      </c>
      <c r="Q328" s="245">
        <f t="shared" si="323"/>
        <v>78.283529932377263</v>
      </c>
      <c r="R328" s="245">
        <f t="shared" si="324"/>
        <v>98.202846145284013</v>
      </c>
      <c r="S328" s="245">
        <f t="shared" si="325"/>
        <v>103.21785972378527</v>
      </c>
      <c r="T328" s="245">
        <f t="shared" si="326"/>
        <v>122.24720800086516</v>
      </c>
      <c r="U328" s="245" t="e">
        <f t="shared" si="327"/>
        <v>#REF!</v>
      </c>
      <c r="V328" s="246">
        <f t="shared" si="328"/>
        <v>0</v>
      </c>
    </row>
    <row r="329" spans="1:22" x14ac:dyDescent="0.3">
      <c r="A329" s="1033"/>
      <c r="B329" s="252">
        <v>1</v>
      </c>
      <c r="C329" s="253">
        <v>700</v>
      </c>
      <c r="D329" s="254"/>
      <c r="E329" s="249">
        <f t="shared" si="335"/>
        <v>58.31</v>
      </c>
      <c r="F329" s="249">
        <f>(394/12)</f>
        <v>32.833333333333336</v>
      </c>
      <c r="G329" s="249">
        <f t="shared" si="336"/>
        <v>58.333333333333336</v>
      </c>
      <c r="H329" s="249">
        <f t="shared" si="337"/>
        <v>78.05</v>
      </c>
      <c r="I329" s="249">
        <f t="shared" si="338"/>
        <v>927.52666666666664</v>
      </c>
      <c r="J329" s="249"/>
      <c r="K329" s="368">
        <f t="shared" si="339"/>
        <v>927.52666666666664</v>
      </c>
      <c r="L329" s="351"/>
      <c r="M329" s="345">
        <f t="shared" ref="M329:M338" si="340">+(K329/$B$2)*$M$2*6</f>
        <v>11.783103959347873</v>
      </c>
      <c r="N329" s="249">
        <f t="shared" ref="N329:N338" si="341">+(K329/$B$2)*$N$2*6</f>
        <v>34.14743527419013</v>
      </c>
      <c r="O329" s="249">
        <f t="shared" ref="O329:O338" si="342">+(K329/$B$2)*$O$2*6</f>
        <v>42.447500835570615</v>
      </c>
      <c r="P329" s="249">
        <f t="shared" ref="P329:P338" si="343">+(K329/$B$2)*$P$2*6</f>
        <v>61.68406366903816</v>
      </c>
      <c r="Q329" s="249">
        <f t="shared" ref="Q329:Q338" si="344">+(K329/$B$2)*$Q$2*6</f>
        <v>67.175393134144144</v>
      </c>
      <c r="R329" s="249">
        <f t="shared" ref="R329:R338" si="345">+(K329/$B$2)*$R$2*6</f>
        <v>84.268233719145968</v>
      </c>
      <c r="S329" s="249">
        <f t="shared" ref="S329:S338" si="346">+(K329/$B$2)*$S$2*6</f>
        <v>88.571635839616278</v>
      </c>
      <c r="T329" s="249">
        <f t="shared" ref="T329:T338" si="347">+(K329/$B$2)*$T$2*6</f>
        <v>104.90079157267549</v>
      </c>
      <c r="U329" s="249" t="e">
        <f t="shared" ref="U329:U338" si="348">+(K329/$B$2)*$U$2*6</f>
        <v>#REF!</v>
      </c>
      <c r="V329" s="251">
        <f t="shared" ref="V329:V338" si="349">+(K329/$B$2)*$V$2*6</f>
        <v>0</v>
      </c>
    </row>
    <row r="330" spans="1:22" x14ac:dyDescent="0.3">
      <c r="A330" s="1033"/>
      <c r="B330" s="252">
        <v>1</v>
      </c>
      <c r="C330" s="253">
        <v>700</v>
      </c>
      <c r="D330" s="254"/>
      <c r="E330" s="249">
        <f t="shared" si="335"/>
        <v>58.31</v>
      </c>
      <c r="F330" s="249">
        <f>(394/12)</f>
        <v>32.833333333333336</v>
      </c>
      <c r="G330" s="249">
        <f t="shared" si="336"/>
        <v>58.333333333333336</v>
      </c>
      <c r="H330" s="249">
        <f t="shared" si="337"/>
        <v>78.05</v>
      </c>
      <c r="I330" s="249">
        <f t="shared" si="338"/>
        <v>927.52666666666664</v>
      </c>
      <c r="J330" s="249"/>
      <c r="K330" s="368">
        <f t="shared" si="339"/>
        <v>927.52666666666664</v>
      </c>
      <c r="L330" s="351"/>
      <c r="M330" s="345">
        <f t="shared" si="340"/>
        <v>11.783103959347873</v>
      </c>
      <c r="N330" s="249">
        <f t="shared" si="341"/>
        <v>34.14743527419013</v>
      </c>
      <c r="O330" s="249">
        <f t="shared" si="342"/>
        <v>42.447500835570615</v>
      </c>
      <c r="P330" s="249">
        <f t="shared" si="343"/>
        <v>61.68406366903816</v>
      </c>
      <c r="Q330" s="249">
        <f t="shared" si="344"/>
        <v>67.175393134144144</v>
      </c>
      <c r="R330" s="249">
        <f t="shared" si="345"/>
        <v>84.268233719145968</v>
      </c>
      <c r="S330" s="249">
        <f t="shared" si="346"/>
        <v>88.571635839616278</v>
      </c>
      <c r="T330" s="249">
        <f t="shared" si="347"/>
        <v>104.90079157267549</v>
      </c>
      <c r="U330" s="249" t="e">
        <f t="shared" si="348"/>
        <v>#REF!</v>
      </c>
      <c r="V330" s="251">
        <f t="shared" si="349"/>
        <v>0</v>
      </c>
    </row>
    <row r="331" spans="1:22" x14ac:dyDescent="0.3">
      <c r="A331" s="1033"/>
      <c r="B331" s="252">
        <v>1</v>
      </c>
      <c r="C331" s="253">
        <v>1350</v>
      </c>
      <c r="D331" s="254"/>
      <c r="E331" s="249">
        <f t="shared" si="335"/>
        <v>112.455</v>
      </c>
      <c r="F331" s="249">
        <f>(394/12)</f>
        <v>32.833333333333336</v>
      </c>
      <c r="G331" s="249">
        <f t="shared" si="336"/>
        <v>112.5</v>
      </c>
      <c r="H331" s="249">
        <f t="shared" si="337"/>
        <v>150.52500000000001</v>
      </c>
      <c r="I331" s="249">
        <f t="shared" si="338"/>
        <v>1758.3133333333333</v>
      </c>
      <c r="J331" s="249"/>
      <c r="K331" s="368">
        <f t="shared" si="339"/>
        <v>1758.3133333333333</v>
      </c>
      <c r="L331" s="351"/>
      <c r="M331" s="345">
        <f t="shared" si="340"/>
        <v>22.337243277577809</v>
      </c>
      <c r="N331" s="249">
        <f t="shared" si="341"/>
        <v>64.733331018420486</v>
      </c>
      <c r="O331" s="249">
        <f t="shared" si="342"/>
        <v>80.467774532119407</v>
      </c>
      <c r="P331" s="249">
        <f t="shared" si="343"/>
        <v>116.93454808499885</v>
      </c>
      <c r="Q331" s="249">
        <f t="shared" si="344"/>
        <v>127.3444674579068</v>
      </c>
      <c r="R331" s="249">
        <f t="shared" si="345"/>
        <v>159.74738436072701</v>
      </c>
      <c r="S331" s="249">
        <f t="shared" si="346"/>
        <v>167.90534854553164</v>
      </c>
      <c r="T331" s="249">
        <f t="shared" si="347"/>
        <v>198.86054722536952</v>
      </c>
      <c r="U331" s="249" t="e">
        <f t="shared" si="348"/>
        <v>#REF!</v>
      </c>
      <c r="V331" s="251">
        <f t="shared" si="349"/>
        <v>0</v>
      </c>
    </row>
    <row r="332" spans="1:22" x14ac:dyDescent="0.3">
      <c r="A332" s="1033"/>
      <c r="B332" s="252"/>
      <c r="C332" s="253"/>
      <c r="D332" s="254"/>
      <c r="E332" s="249">
        <f t="shared" si="335"/>
        <v>0</v>
      </c>
      <c r="F332" s="249"/>
      <c r="G332" s="249">
        <f t="shared" si="336"/>
        <v>0</v>
      </c>
      <c r="H332" s="249">
        <f t="shared" si="337"/>
        <v>0</v>
      </c>
      <c r="I332" s="249">
        <f t="shared" si="338"/>
        <v>0</v>
      </c>
      <c r="J332" s="249"/>
      <c r="K332" s="368">
        <f t="shared" si="339"/>
        <v>0</v>
      </c>
      <c r="L332" s="351"/>
      <c r="M332" s="345">
        <f t="shared" si="340"/>
        <v>0</v>
      </c>
      <c r="N332" s="249">
        <f t="shared" si="341"/>
        <v>0</v>
      </c>
      <c r="O332" s="249">
        <f t="shared" si="342"/>
        <v>0</v>
      </c>
      <c r="P332" s="249">
        <f t="shared" si="343"/>
        <v>0</v>
      </c>
      <c r="Q332" s="249">
        <f t="shared" si="344"/>
        <v>0</v>
      </c>
      <c r="R332" s="249">
        <f t="shared" si="345"/>
        <v>0</v>
      </c>
      <c r="S332" s="249">
        <f t="shared" si="346"/>
        <v>0</v>
      </c>
      <c r="T332" s="249">
        <f t="shared" si="347"/>
        <v>0</v>
      </c>
      <c r="U332" s="249" t="e">
        <f t="shared" si="348"/>
        <v>#REF!</v>
      </c>
      <c r="V332" s="251">
        <f t="shared" si="349"/>
        <v>0</v>
      </c>
    </row>
    <row r="333" spans="1:22" x14ac:dyDescent="0.3">
      <c r="A333" s="1033"/>
      <c r="B333" s="252"/>
      <c r="C333" s="253"/>
      <c r="D333" s="254"/>
      <c r="E333" s="249">
        <f t="shared" si="335"/>
        <v>0</v>
      </c>
      <c r="F333" s="249"/>
      <c r="G333" s="249">
        <f t="shared" si="336"/>
        <v>0</v>
      </c>
      <c r="H333" s="249">
        <f t="shared" si="337"/>
        <v>0</v>
      </c>
      <c r="I333" s="249">
        <f t="shared" si="338"/>
        <v>0</v>
      </c>
      <c r="J333" s="249"/>
      <c r="K333" s="368">
        <f t="shared" si="339"/>
        <v>0</v>
      </c>
      <c r="L333" s="351"/>
      <c r="M333" s="345">
        <f t="shared" si="340"/>
        <v>0</v>
      </c>
      <c r="N333" s="249">
        <f t="shared" si="341"/>
        <v>0</v>
      </c>
      <c r="O333" s="249">
        <f t="shared" si="342"/>
        <v>0</v>
      </c>
      <c r="P333" s="249">
        <f t="shared" si="343"/>
        <v>0</v>
      </c>
      <c r="Q333" s="249">
        <f t="shared" si="344"/>
        <v>0</v>
      </c>
      <c r="R333" s="249">
        <f t="shared" si="345"/>
        <v>0</v>
      </c>
      <c r="S333" s="249">
        <f t="shared" si="346"/>
        <v>0</v>
      </c>
      <c r="T333" s="249">
        <f t="shared" si="347"/>
        <v>0</v>
      </c>
      <c r="U333" s="249" t="e">
        <f t="shared" si="348"/>
        <v>#REF!</v>
      </c>
      <c r="V333" s="251">
        <f t="shared" si="349"/>
        <v>0</v>
      </c>
    </row>
    <row r="334" spans="1:22" x14ac:dyDescent="0.3">
      <c r="A334" s="1033"/>
      <c r="B334" s="252"/>
      <c r="C334" s="253"/>
      <c r="D334" s="254"/>
      <c r="E334" s="249">
        <f t="shared" si="335"/>
        <v>0</v>
      </c>
      <c r="F334" s="249"/>
      <c r="G334" s="249">
        <f t="shared" si="336"/>
        <v>0</v>
      </c>
      <c r="H334" s="249">
        <f t="shared" si="337"/>
        <v>0</v>
      </c>
      <c r="I334" s="249">
        <f t="shared" si="338"/>
        <v>0</v>
      </c>
      <c r="J334" s="249"/>
      <c r="K334" s="368">
        <f t="shared" si="339"/>
        <v>0</v>
      </c>
      <c r="L334" s="351"/>
      <c r="M334" s="345">
        <f t="shared" si="340"/>
        <v>0</v>
      </c>
      <c r="N334" s="249">
        <f t="shared" si="341"/>
        <v>0</v>
      </c>
      <c r="O334" s="249">
        <f t="shared" si="342"/>
        <v>0</v>
      </c>
      <c r="P334" s="249">
        <f t="shared" si="343"/>
        <v>0</v>
      </c>
      <c r="Q334" s="249">
        <f t="shared" si="344"/>
        <v>0</v>
      </c>
      <c r="R334" s="249">
        <f t="shared" si="345"/>
        <v>0</v>
      </c>
      <c r="S334" s="249">
        <f t="shared" si="346"/>
        <v>0</v>
      </c>
      <c r="T334" s="249">
        <f t="shared" si="347"/>
        <v>0</v>
      </c>
      <c r="U334" s="249" t="e">
        <f t="shared" si="348"/>
        <v>#REF!</v>
      </c>
      <c r="V334" s="251">
        <f t="shared" si="349"/>
        <v>0</v>
      </c>
    </row>
    <row r="335" spans="1:22" x14ac:dyDescent="0.3">
      <c r="A335" s="1033"/>
      <c r="B335" s="252"/>
      <c r="C335" s="253"/>
      <c r="D335" s="254"/>
      <c r="E335" s="249">
        <f t="shared" si="335"/>
        <v>0</v>
      </c>
      <c r="F335" s="249"/>
      <c r="G335" s="249">
        <f t="shared" si="336"/>
        <v>0</v>
      </c>
      <c r="H335" s="249">
        <f t="shared" si="337"/>
        <v>0</v>
      </c>
      <c r="I335" s="249">
        <f t="shared" si="338"/>
        <v>0</v>
      </c>
      <c r="J335" s="249"/>
      <c r="K335" s="368">
        <f t="shared" si="339"/>
        <v>0</v>
      </c>
      <c r="L335" s="351"/>
      <c r="M335" s="345">
        <f t="shared" si="340"/>
        <v>0</v>
      </c>
      <c r="N335" s="249">
        <f t="shared" si="341"/>
        <v>0</v>
      </c>
      <c r="O335" s="249">
        <f t="shared" si="342"/>
        <v>0</v>
      </c>
      <c r="P335" s="249">
        <f t="shared" si="343"/>
        <v>0</v>
      </c>
      <c r="Q335" s="249">
        <f t="shared" si="344"/>
        <v>0</v>
      </c>
      <c r="R335" s="249">
        <f t="shared" si="345"/>
        <v>0</v>
      </c>
      <c r="S335" s="249">
        <f t="shared" si="346"/>
        <v>0</v>
      </c>
      <c r="T335" s="249">
        <f t="shared" si="347"/>
        <v>0</v>
      </c>
      <c r="U335" s="249" t="e">
        <f t="shared" si="348"/>
        <v>#REF!</v>
      </c>
      <c r="V335" s="251">
        <f t="shared" si="349"/>
        <v>0</v>
      </c>
    </row>
    <row r="336" spans="1:22" x14ac:dyDescent="0.3">
      <c r="A336" s="1025"/>
      <c r="B336" s="252"/>
      <c r="C336" s="253"/>
      <c r="D336" s="254"/>
      <c r="E336" s="249">
        <f t="shared" si="335"/>
        <v>0</v>
      </c>
      <c r="F336" s="249"/>
      <c r="G336" s="249">
        <f t="shared" si="336"/>
        <v>0</v>
      </c>
      <c r="H336" s="249">
        <f t="shared" si="337"/>
        <v>0</v>
      </c>
      <c r="I336" s="249">
        <f t="shared" si="338"/>
        <v>0</v>
      </c>
      <c r="J336" s="249"/>
      <c r="K336" s="368">
        <f t="shared" si="339"/>
        <v>0</v>
      </c>
      <c r="L336" s="351"/>
      <c r="M336" s="345">
        <f t="shared" si="340"/>
        <v>0</v>
      </c>
      <c r="N336" s="249">
        <f t="shared" si="341"/>
        <v>0</v>
      </c>
      <c r="O336" s="249">
        <f t="shared" si="342"/>
        <v>0</v>
      </c>
      <c r="P336" s="249">
        <f t="shared" si="343"/>
        <v>0</v>
      </c>
      <c r="Q336" s="249">
        <f t="shared" si="344"/>
        <v>0</v>
      </c>
      <c r="R336" s="249">
        <f t="shared" si="345"/>
        <v>0</v>
      </c>
      <c r="S336" s="249">
        <f t="shared" si="346"/>
        <v>0</v>
      </c>
      <c r="T336" s="249">
        <f t="shared" si="347"/>
        <v>0</v>
      </c>
      <c r="U336" s="249" t="e">
        <f t="shared" si="348"/>
        <v>#REF!</v>
      </c>
      <c r="V336" s="251">
        <f t="shared" si="349"/>
        <v>0</v>
      </c>
    </row>
    <row r="337" spans="1:22" ht="10.8" thickBot="1" x14ac:dyDescent="0.35">
      <c r="A337" s="1031"/>
      <c r="B337" s="252"/>
      <c r="C337" s="253"/>
      <c r="D337" s="254"/>
      <c r="E337" s="363">
        <f t="shared" si="335"/>
        <v>0</v>
      </c>
      <c r="F337" s="363"/>
      <c r="G337" s="363">
        <f t="shared" si="336"/>
        <v>0</v>
      </c>
      <c r="H337" s="363">
        <f t="shared" si="337"/>
        <v>0</v>
      </c>
      <c r="I337" s="363">
        <f t="shared" si="338"/>
        <v>0</v>
      </c>
      <c r="J337" s="363"/>
      <c r="K337" s="370">
        <f t="shared" si="339"/>
        <v>0</v>
      </c>
      <c r="L337" s="351"/>
      <c r="M337" s="346">
        <f t="shared" si="340"/>
        <v>0</v>
      </c>
      <c r="N337" s="347">
        <f t="shared" si="341"/>
        <v>0</v>
      </c>
      <c r="O337" s="347">
        <f t="shared" si="342"/>
        <v>0</v>
      </c>
      <c r="P337" s="347">
        <f t="shared" si="343"/>
        <v>0</v>
      </c>
      <c r="Q337" s="347">
        <f t="shared" si="344"/>
        <v>0</v>
      </c>
      <c r="R337" s="347">
        <f t="shared" si="345"/>
        <v>0</v>
      </c>
      <c r="S337" s="347">
        <f t="shared" si="346"/>
        <v>0</v>
      </c>
      <c r="T337" s="347">
        <f t="shared" si="347"/>
        <v>0</v>
      </c>
      <c r="U337" s="347" t="e">
        <f t="shared" si="348"/>
        <v>#REF!</v>
      </c>
      <c r="V337" s="348">
        <f t="shared" si="349"/>
        <v>0</v>
      </c>
    </row>
    <row r="338" spans="1:22" x14ac:dyDescent="0.3">
      <c r="A338" s="1024" t="s">
        <v>261</v>
      </c>
      <c r="B338" s="256">
        <v>1</v>
      </c>
      <c r="C338" s="257">
        <v>820</v>
      </c>
      <c r="D338" s="258"/>
      <c r="E338" s="245">
        <f t="shared" ref="E338:E352" si="350">+C338*0.0833</f>
        <v>68.305999999999997</v>
      </c>
      <c r="F338" s="245">
        <f t="shared" ref="F338:F345" si="351">(394/12)</f>
        <v>32.833333333333336</v>
      </c>
      <c r="G338" s="245">
        <f t="shared" ref="G338:G352" si="352">+C338/12</f>
        <v>68.333333333333329</v>
      </c>
      <c r="H338" s="245">
        <f t="shared" ref="H338:H352" si="353">+C338*0.1115</f>
        <v>91.43</v>
      </c>
      <c r="I338" s="245">
        <f t="shared" ref="I338:I352" si="354">SUM(C338:H338)</f>
        <v>1080.9026666666668</v>
      </c>
      <c r="J338" s="245"/>
      <c r="K338" s="362">
        <f t="shared" ref="K338:K352" si="355">SUM(I338:J338)</f>
        <v>1080.9026666666668</v>
      </c>
      <c r="L338" s="351"/>
      <c r="M338" s="366">
        <f t="shared" si="340"/>
        <v>13.731560448867246</v>
      </c>
      <c r="N338" s="245">
        <f t="shared" si="341"/>
        <v>39.794062180817278</v>
      </c>
      <c r="O338" s="245">
        <f t="shared" si="342"/>
        <v>49.466628287241164</v>
      </c>
      <c r="P338" s="245">
        <f t="shared" si="343"/>
        <v>71.884153099677064</v>
      </c>
      <c r="Q338" s="245">
        <f t="shared" si="344"/>
        <v>78.283529932377263</v>
      </c>
      <c r="R338" s="245">
        <f t="shared" si="345"/>
        <v>98.202846145284013</v>
      </c>
      <c r="S338" s="245">
        <f t="shared" si="346"/>
        <v>103.21785972378527</v>
      </c>
      <c r="T338" s="245">
        <f t="shared" si="347"/>
        <v>122.24720800086516</v>
      </c>
      <c r="U338" s="245" t="e">
        <f t="shared" si="348"/>
        <v>#REF!</v>
      </c>
      <c r="V338" s="246">
        <f t="shared" si="349"/>
        <v>0</v>
      </c>
    </row>
    <row r="339" spans="1:22" x14ac:dyDescent="0.3">
      <c r="A339" s="1025"/>
      <c r="B339" s="252">
        <v>1</v>
      </c>
      <c r="C339" s="253">
        <v>820</v>
      </c>
      <c r="D339" s="254"/>
      <c r="E339" s="249">
        <f t="shared" si="350"/>
        <v>68.305999999999997</v>
      </c>
      <c r="F339" s="249">
        <f t="shared" si="351"/>
        <v>32.833333333333336</v>
      </c>
      <c r="G339" s="249">
        <f t="shared" si="352"/>
        <v>68.333333333333329</v>
      </c>
      <c r="H339" s="249">
        <f t="shared" si="353"/>
        <v>91.43</v>
      </c>
      <c r="I339" s="249">
        <f t="shared" si="354"/>
        <v>1080.9026666666668</v>
      </c>
      <c r="J339" s="249"/>
      <c r="K339" s="368">
        <f t="shared" si="355"/>
        <v>1080.9026666666668</v>
      </c>
      <c r="L339" s="351"/>
      <c r="M339" s="345">
        <f t="shared" ref="M339:M347" si="356">+(K339/$B$2)*$M$2*6</f>
        <v>13.731560448867246</v>
      </c>
      <c r="N339" s="249">
        <f t="shared" ref="N339:N347" si="357">+(K339/$B$2)*$N$2*6</f>
        <v>39.794062180817278</v>
      </c>
      <c r="O339" s="249">
        <f t="shared" ref="O339:O347" si="358">+(K339/$B$2)*$O$2*6</f>
        <v>49.466628287241164</v>
      </c>
      <c r="P339" s="249">
        <f t="shared" ref="P339:P347" si="359">+(K339/$B$2)*$P$2*6</f>
        <v>71.884153099677064</v>
      </c>
      <c r="Q339" s="249">
        <f t="shared" ref="Q339:Q347" si="360">+(K339/$B$2)*$Q$2*6</f>
        <v>78.283529932377263</v>
      </c>
      <c r="R339" s="249">
        <f t="shared" ref="R339:R347" si="361">+(K339/$B$2)*$R$2*6</f>
        <v>98.202846145284013</v>
      </c>
      <c r="S339" s="249">
        <f t="shared" ref="S339:S347" si="362">+(K339/$B$2)*$S$2*6</f>
        <v>103.21785972378527</v>
      </c>
      <c r="T339" s="249">
        <f t="shared" ref="T339:T347" si="363">+(K339/$B$2)*$T$2*6</f>
        <v>122.24720800086516</v>
      </c>
      <c r="U339" s="249" t="e">
        <f t="shared" ref="U339:U347" si="364">+(K339/$B$2)*$U$2*6</f>
        <v>#REF!</v>
      </c>
      <c r="V339" s="251">
        <f t="shared" ref="V339:V347" si="365">+(K339/$B$2)*$V$2*6</f>
        <v>0</v>
      </c>
    </row>
    <row r="340" spans="1:22" x14ac:dyDescent="0.3">
      <c r="A340" s="1025"/>
      <c r="B340" s="252">
        <v>1</v>
      </c>
      <c r="C340" s="253">
        <v>820</v>
      </c>
      <c r="D340" s="254"/>
      <c r="E340" s="249">
        <f t="shared" si="350"/>
        <v>68.305999999999997</v>
      </c>
      <c r="F340" s="249">
        <f t="shared" si="351"/>
        <v>32.833333333333336</v>
      </c>
      <c r="G340" s="249">
        <f t="shared" si="352"/>
        <v>68.333333333333329</v>
      </c>
      <c r="H340" s="249">
        <f t="shared" si="353"/>
        <v>91.43</v>
      </c>
      <c r="I340" s="249">
        <f t="shared" si="354"/>
        <v>1080.9026666666668</v>
      </c>
      <c r="J340" s="249"/>
      <c r="K340" s="368">
        <f t="shared" si="355"/>
        <v>1080.9026666666668</v>
      </c>
      <c r="L340" s="351"/>
      <c r="M340" s="345">
        <f t="shared" si="356"/>
        <v>13.731560448867246</v>
      </c>
      <c r="N340" s="249">
        <f t="shared" si="357"/>
        <v>39.794062180817278</v>
      </c>
      <c r="O340" s="249">
        <f t="shared" si="358"/>
        <v>49.466628287241164</v>
      </c>
      <c r="P340" s="249">
        <f t="shared" si="359"/>
        <v>71.884153099677064</v>
      </c>
      <c r="Q340" s="249">
        <f t="shared" si="360"/>
        <v>78.283529932377263</v>
      </c>
      <c r="R340" s="249">
        <f t="shared" si="361"/>
        <v>98.202846145284013</v>
      </c>
      <c r="S340" s="249">
        <f t="shared" si="362"/>
        <v>103.21785972378527</v>
      </c>
      <c r="T340" s="249">
        <f t="shared" si="363"/>
        <v>122.24720800086516</v>
      </c>
      <c r="U340" s="249" t="e">
        <f t="shared" si="364"/>
        <v>#REF!</v>
      </c>
      <c r="V340" s="251">
        <f t="shared" si="365"/>
        <v>0</v>
      </c>
    </row>
    <row r="341" spans="1:22" x14ac:dyDescent="0.3">
      <c r="A341" s="1025"/>
      <c r="B341" s="252">
        <v>1</v>
      </c>
      <c r="C341" s="253">
        <v>850</v>
      </c>
      <c r="D341" s="254"/>
      <c r="E341" s="249">
        <f t="shared" si="350"/>
        <v>70.804999999999993</v>
      </c>
      <c r="F341" s="249">
        <f t="shared" si="351"/>
        <v>32.833333333333336</v>
      </c>
      <c r="G341" s="249">
        <f t="shared" si="352"/>
        <v>70.833333333333329</v>
      </c>
      <c r="H341" s="249">
        <f t="shared" si="353"/>
        <v>94.775000000000006</v>
      </c>
      <c r="I341" s="249">
        <f t="shared" si="354"/>
        <v>1119.2466666666667</v>
      </c>
      <c r="J341" s="249"/>
      <c r="K341" s="368">
        <f t="shared" si="355"/>
        <v>1119.2466666666667</v>
      </c>
      <c r="L341" s="351"/>
      <c r="M341" s="345">
        <f t="shared" si="356"/>
        <v>14.218674571247089</v>
      </c>
      <c r="N341" s="249">
        <f t="shared" si="357"/>
        <v>41.205718907474065</v>
      </c>
      <c r="O341" s="249">
        <f t="shared" si="358"/>
        <v>51.221410150158803</v>
      </c>
      <c r="P341" s="249">
        <f t="shared" si="359"/>
        <v>74.434175457336778</v>
      </c>
      <c r="Q341" s="249">
        <f t="shared" si="360"/>
        <v>81.060564131935521</v>
      </c>
      <c r="R341" s="249">
        <f t="shared" si="361"/>
        <v>101.6864992518185</v>
      </c>
      <c r="S341" s="249">
        <f t="shared" si="362"/>
        <v>106.87941569482751</v>
      </c>
      <c r="T341" s="249">
        <f t="shared" si="363"/>
        <v>126.58381210791256</v>
      </c>
      <c r="U341" s="249" t="e">
        <f t="shared" si="364"/>
        <v>#REF!</v>
      </c>
      <c r="V341" s="251">
        <f t="shared" si="365"/>
        <v>0</v>
      </c>
    </row>
    <row r="342" spans="1:22" x14ac:dyDescent="0.3">
      <c r="A342" s="1025"/>
      <c r="B342" s="252">
        <v>1</v>
      </c>
      <c r="C342" s="253">
        <v>850</v>
      </c>
      <c r="D342" s="254"/>
      <c r="E342" s="249">
        <f t="shared" si="350"/>
        <v>70.804999999999993</v>
      </c>
      <c r="F342" s="249">
        <f t="shared" si="351"/>
        <v>32.833333333333336</v>
      </c>
      <c r="G342" s="249">
        <f t="shared" si="352"/>
        <v>70.833333333333329</v>
      </c>
      <c r="H342" s="249">
        <f t="shared" si="353"/>
        <v>94.775000000000006</v>
      </c>
      <c r="I342" s="249">
        <f t="shared" si="354"/>
        <v>1119.2466666666667</v>
      </c>
      <c r="J342" s="249"/>
      <c r="K342" s="368">
        <f t="shared" si="355"/>
        <v>1119.2466666666667</v>
      </c>
      <c r="L342" s="351"/>
      <c r="M342" s="345">
        <f t="shared" si="356"/>
        <v>14.218674571247089</v>
      </c>
      <c r="N342" s="249">
        <f t="shared" si="357"/>
        <v>41.205718907474065</v>
      </c>
      <c r="O342" s="249">
        <f t="shared" si="358"/>
        <v>51.221410150158803</v>
      </c>
      <c r="P342" s="249">
        <f t="shared" si="359"/>
        <v>74.434175457336778</v>
      </c>
      <c r="Q342" s="249">
        <f t="shared" si="360"/>
        <v>81.060564131935521</v>
      </c>
      <c r="R342" s="249">
        <f t="shared" si="361"/>
        <v>101.6864992518185</v>
      </c>
      <c r="S342" s="249">
        <f t="shared" si="362"/>
        <v>106.87941569482751</v>
      </c>
      <c r="T342" s="249">
        <f t="shared" si="363"/>
        <v>126.58381210791256</v>
      </c>
      <c r="U342" s="249" t="e">
        <f t="shared" si="364"/>
        <v>#REF!</v>
      </c>
      <c r="V342" s="251">
        <f t="shared" si="365"/>
        <v>0</v>
      </c>
    </row>
    <row r="343" spans="1:22" x14ac:dyDescent="0.3">
      <c r="A343" s="1025"/>
      <c r="B343" s="252">
        <v>1</v>
      </c>
      <c r="C343" s="253">
        <v>1200</v>
      </c>
      <c r="D343" s="254"/>
      <c r="E343" s="249">
        <f t="shared" si="350"/>
        <v>99.96</v>
      </c>
      <c r="F343" s="249">
        <f t="shared" si="351"/>
        <v>32.833333333333336</v>
      </c>
      <c r="G343" s="249">
        <f t="shared" si="352"/>
        <v>100</v>
      </c>
      <c r="H343" s="249">
        <f t="shared" si="353"/>
        <v>133.80000000000001</v>
      </c>
      <c r="I343" s="249">
        <f t="shared" si="354"/>
        <v>1566.5933333333332</v>
      </c>
      <c r="J343" s="249"/>
      <c r="K343" s="368">
        <f t="shared" si="355"/>
        <v>1566.5933333333332</v>
      </c>
      <c r="L343" s="351"/>
      <c r="M343" s="345">
        <f t="shared" si="356"/>
        <v>19.901672665678593</v>
      </c>
      <c r="N343" s="249">
        <f t="shared" si="357"/>
        <v>57.675047385136565</v>
      </c>
      <c r="O343" s="249">
        <f t="shared" si="358"/>
        <v>71.693865217531226</v>
      </c>
      <c r="P343" s="249">
        <f t="shared" si="359"/>
        <v>104.18443629670023</v>
      </c>
      <c r="Q343" s="249">
        <f t="shared" si="360"/>
        <v>113.45929646011541</v>
      </c>
      <c r="R343" s="249">
        <f t="shared" si="361"/>
        <v>142.32911882805445</v>
      </c>
      <c r="S343" s="249">
        <f t="shared" si="362"/>
        <v>149.5975686903204</v>
      </c>
      <c r="T343" s="249">
        <f t="shared" si="363"/>
        <v>177.17752669013242</v>
      </c>
      <c r="U343" s="249" t="e">
        <f t="shared" si="364"/>
        <v>#REF!</v>
      </c>
      <c r="V343" s="251">
        <f t="shared" si="365"/>
        <v>0</v>
      </c>
    </row>
    <row r="344" spans="1:22" x14ac:dyDescent="0.3">
      <c r="A344" s="1025"/>
      <c r="B344" s="252">
        <v>1</v>
      </c>
      <c r="C344" s="253">
        <v>1100</v>
      </c>
      <c r="D344" s="254"/>
      <c r="E344" s="249">
        <f t="shared" si="350"/>
        <v>91.63</v>
      </c>
      <c r="F344" s="249">
        <f t="shared" si="351"/>
        <v>32.833333333333336</v>
      </c>
      <c r="G344" s="249">
        <f t="shared" si="352"/>
        <v>91.666666666666671</v>
      </c>
      <c r="H344" s="249">
        <f t="shared" si="353"/>
        <v>122.65</v>
      </c>
      <c r="I344" s="249">
        <f t="shared" si="354"/>
        <v>1438.7800000000002</v>
      </c>
      <c r="J344" s="249"/>
      <c r="K344" s="368">
        <f t="shared" si="355"/>
        <v>1438.7800000000002</v>
      </c>
      <c r="L344" s="351"/>
      <c r="M344" s="345">
        <f t="shared" si="356"/>
        <v>18.277958924412452</v>
      </c>
      <c r="N344" s="249">
        <f t="shared" si="357"/>
        <v>52.96952496294729</v>
      </c>
      <c r="O344" s="249">
        <f t="shared" si="358"/>
        <v>65.844592341139119</v>
      </c>
      <c r="P344" s="249">
        <f t="shared" si="359"/>
        <v>95.684361771167829</v>
      </c>
      <c r="Q344" s="249">
        <f t="shared" si="360"/>
        <v>104.20251579492117</v>
      </c>
      <c r="R344" s="249">
        <f t="shared" si="361"/>
        <v>130.71694180627279</v>
      </c>
      <c r="S344" s="249">
        <f t="shared" si="362"/>
        <v>137.3923821201796</v>
      </c>
      <c r="T344" s="249">
        <f t="shared" si="363"/>
        <v>162.72217966664107</v>
      </c>
      <c r="U344" s="249" t="e">
        <f t="shared" si="364"/>
        <v>#REF!</v>
      </c>
      <c r="V344" s="251">
        <f t="shared" si="365"/>
        <v>0</v>
      </c>
    </row>
    <row r="345" spans="1:22" x14ac:dyDescent="0.3">
      <c r="A345" s="1025"/>
      <c r="B345" s="252">
        <v>1</v>
      </c>
      <c r="C345" s="253">
        <v>850</v>
      </c>
      <c r="D345" s="254"/>
      <c r="E345" s="249">
        <f t="shared" si="350"/>
        <v>70.804999999999993</v>
      </c>
      <c r="F345" s="249">
        <f t="shared" si="351"/>
        <v>32.833333333333336</v>
      </c>
      <c r="G345" s="249">
        <f t="shared" si="352"/>
        <v>70.833333333333329</v>
      </c>
      <c r="H345" s="249">
        <f t="shared" si="353"/>
        <v>94.775000000000006</v>
      </c>
      <c r="I345" s="249">
        <f t="shared" si="354"/>
        <v>1119.2466666666667</v>
      </c>
      <c r="J345" s="249"/>
      <c r="K345" s="368">
        <f t="shared" si="355"/>
        <v>1119.2466666666667</v>
      </c>
      <c r="L345" s="351"/>
      <c r="M345" s="345">
        <f t="shared" si="356"/>
        <v>14.218674571247089</v>
      </c>
      <c r="N345" s="249">
        <f t="shared" si="357"/>
        <v>41.205718907474065</v>
      </c>
      <c r="O345" s="249">
        <f t="shared" si="358"/>
        <v>51.221410150158803</v>
      </c>
      <c r="P345" s="249">
        <f t="shared" si="359"/>
        <v>74.434175457336778</v>
      </c>
      <c r="Q345" s="249">
        <f t="shared" si="360"/>
        <v>81.060564131935521</v>
      </c>
      <c r="R345" s="249">
        <f t="shared" si="361"/>
        <v>101.6864992518185</v>
      </c>
      <c r="S345" s="249">
        <f t="shared" si="362"/>
        <v>106.87941569482751</v>
      </c>
      <c r="T345" s="249">
        <f t="shared" si="363"/>
        <v>126.58381210791256</v>
      </c>
      <c r="U345" s="249" t="e">
        <f t="shared" si="364"/>
        <v>#REF!</v>
      </c>
      <c r="V345" s="251">
        <f t="shared" si="365"/>
        <v>0</v>
      </c>
    </row>
    <row r="346" spans="1:22" x14ac:dyDescent="0.3">
      <c r="A346" s="1025"/>
      <c r="B346" s="252"/>
      <c r="C346" s="253"/>
      <c r="D346" s="254"/>
      <c r="E346" s="249">
        <f t="shared" si="350"/>
        <v>0</v>
      </c>
      <c r="F346" s="249"/>
      <c r="G346" s="249">
        <f t="shared" si="352"/>
        <v>0</v>
      </c>
      <c r="H346" s="249">
        <f t="shared" si="353"/>
        <v>0</v>
      </c>
      <c r="I346" s="249">
        <f t="shared" si="354"/>
        <v>0</v>
      </c>
      <c r="J346" s="249"/>
      <c r="K346" s="368">
        <f t="shared" si="355"/>
        <v>0</v>
      </c>
      <c r="L346" s="351"/>
      <c r="M346" s="345">
        <f t="shared" si="356"/>
        <v>0</v>
      </c>
      <c r="N346" s="249">
        <f t="shared" si="357"/>
        <v>0</v>
      </c>
      <c r="O346" s="249">
        <f t="shared" si="358"/>
        <v>0</v>
      </c>
      <c r="P346" s="249">
        <f t="shared" si="359"/>
        <v>0</v>
      </c>
      <c r="Q346" s="249">
        <f t="shared" si="360"/>
        <v>0</v>
      </c>
      <c r="R346" s="249">
        <f t="shared" si="361"/>
        <v>0</v>
      </c>
      <c r="S346" s="249">
        <f t="shared" si="362"/>
        <v>0</v>
      </c>
      <c r="T346" s="249">
        <f t="shared" si="363"/>
        <v>0</v>
      </c>
      <c r="U346" s="249" t="e">
        <f t="shared" si="364"/>
        <v>#REF!</v>
      </c>
      <c r="V346" s="251">
        <f t="shared" si="365"/>
        <v>0</v>
      </c>
    </row>
    <row r="347" spans="1:22" x14ac:dyDescent="0.3">
      <c r="A347" s="1025"/>
      <c r="B347" s="252"/>
      <c r="C347" s="253"/>
      <c r="D347" s="254"/>
      <c r="E347" s="249">
        <f t="shared" si="350"/>
        <v>0</v>
      </c>
      <c r="F347" s="249"/>
      <c r="G347" s="249">
        <f t="shared" si="352"/>
        <v>0</v>
      </c>
      <c r="H347" s="249">
        <f t="shared" si="353"/>
        <v>0</v>
      </c>
      <c r="I347" s="249">
        <f t="shared" si="354"/>
        <v>0</v>
      </c>
      <c r="J347" s="249"/>
      <c r="K347" s="368">
        <f t="shared" si="355"/>
        <v>0</v>
      </c>
      <c r="L347" s="351"/>
      <c r="M347" s="345">
        <f t="shared" si="356"/>
        <v>0</v>
      </c>
      <c r="N347" s="249">
        <f t="shared" si="357"/>
        <v>0</v>
      </c>
      <c r="O347" s="249">
        <f t="shared" si="358"/>
        <v>0</v>
      </c>
      <c r="P347" s="249">
        <f t="shared" si="359"/>
        <v>0</v>
      </c>
      <c r="Q347" s="249">
        <f t="shared" si="360"/>
        <v>0</v>
      </c>
      <c r="R347" s="249">
        <f t="shared" si="361"/>
        <v>0</v>
      </c>
      <c r="S347" s="249">
        <f t="shared" si="362"/>
        <v>0</v>
      </c>
      <c r="T347" s="249">
        <f t="shared" si="363"/>
        <v>0</v>
      </c>
      <c r="U347" s="249" t="e">
        <f t="shared" si="364"/>
        <v>#REF!</v>
      </c>
      <c r="V347" s="251">
        <f t="shared" si="365"/>
        <v>0</v>
      </c>
    </row>
    <row r="348" spans="1:22" x14ac:dyDescent="0.3">
      <c r="A348" s="1025"/>
      <c r="B348" s="252"/>
      <c r="C348" s="253"/>
      <c r="D348" s="254"/>
      <c r="E348" s="249">
        <f t="shared" si="350"/>
        <v>0</v>
      </c>
      <c r="F348" s="249"/>
      <c r="G348" s="249">
        <f t="shared" si="352"/>
        <v>0</v>
      </c>
      <c r="H348" s="249">
        <f t="shared" si="353"/>
        <v>0</v>
      </c>
      <c r="I348" s="249">
        <f t="shared" si="354"/>
        <v>0</v>
      </c>
      <c r="J348" s="249"/>
      <c r="K348" s="368">
        <f t="shared" si="355"/>
        <v>0</v>
      </c>
      <c r="L348" s="351"/>
      <c r="M348" s="345">
        <f t="shared" ref="M348:M356" si="366">+(K348/$B$2)*$M$2*6</f>
        <v>0</v>
      </c>
      <c r="N348" s="249">
        <f t="shared" ref="N348:N356" si="367">+(K348/$B$2)*$N$2*6</f>
        <v>0</v>
      </c>
      <c r="O348" s="249">
        <f t="shared" ref="O348:O356" si="368">+(K348/$B$2)*$O$2*6</f>
        <v>0</v>
      </c>
      <c r="P348" s="249">
        <f t="shared" ref="P348:P356" si="369">+(K348/$B$2)*$P$2*6</f>
        <v>0</v>
      </c>
      <c r="Q348" s="249">
        <f t="shared" ref="Q348:Q356" si="370">+(K348/$B$2)*$Q$2*6</f>
        <v>0</v>
      </c>
      <c r="R348" s="249">
        <f t="shared" ref="R348:R356" si="371">+(K348/$B$2)*$R$2*6</f>
        <v>0</v>
      </c>
      <c r="S348" s="249">
        <f t="shared" ref="S348:S356" si="372">+(K348/$B$2)*$S$2*6</f>
        <v>0</v>
      </c>
      <c r="T348" s="249">
        <f t="shared" ref="T348:T356" si="373">+(K348/$B$2)*$T$2*6</f>
        <v>0</v>
      </c>
      <c r="U348" s="249" t="e">
        <f t="shared" ref="U348:U356" si="374">+(K348/$B$2)*$U$2*6</f>
        <v>#REF!</v>
      </c>
      <c r="V348" s="251">
        <f t="shared" ref="V348:V356" si="375">+(K348/$B$2)*$V$2*6</f>
        <v>0</v>
      </c>
    </row>
    <row r="349" spans="1:22" x14ac:dyDescent="0.3">
      <c r="A349" s="1025"/>
      <c r="B349" s="252"/>
      <c r="C349" s="253"/>
      <c r="D349" s="254"/>
      <c r="E349" s="249">
        <f t="shared" si="350"/>
        <v>0</v>
      </c>
      <c r="F349" s="249"/>
      <c r="G349" s="249">
        <f t="shared" si="352"/>
        <v>0</v>
      </c>
      <c r="H349" s="249">
        <f t="shared" si="353"/>
        <v>0</v>
      </c>
      <c r="I349" s="249">
        <f t="shared" si="354"/>
        <v>0</v>
      </c>
      <c r="J349" s="249"/>
      <c r="K349" s="368">
        <f t="shared" si="355"/>
        <v>0</v>
      </c>
      <c r="L349" s="351"/>
      <c r="M349" s="345">
        <f t="shared" si="366"/>
        <v>0</v>
      </c>
      <c r="N349" s="249">
        <f t="shared" si="367"/>
        <v>0</v>
      </c>
      <c r="O349" s="249">
        <f t="shared" si="368"/>
        <v>0</v>
      </c>
      <c r="P349" s="249">
        <f t="shared" si="369"/>
        <v>0</v>
      </c>
      <c r="Q349" s="249">
        <f t="shared" si="370"/>
        <v>0</v>
      </c>
      <c r="R349" s="249">
        <f t="shared" si="371"/>
        <v>0</v>
      </c>
      <c r="S349" s="249">
        <f t="shared" si="372"/>
        <v>0</v>
      </c>
      <c r="T349" s="249">
        <f t="shared" si="373"/>
        <v>0</v>
      </c>
      <c r="U349" s="249" t="e">
        <f t="shared" si="374"/>
        <v>#REF!</v>
      </c>
      <c r="V349" s="251">
        <f t="shared" si="375"/>
        <v>0</v>
      </c>
    </row>
    <row r="350" spans="1:22" x14ac:dyDescent="0.3">
      <c r="A350" s="1025"/>
      <c r="B350" s="252"/>
      <c r="C350" s="253"/>
      <c r="D350" s="254"/>
      <c r="E350" s="249">
        <f t="shared" si="350"/>
        <v>0</v>
      </c>
      <c r="F350" s="249"/>
      <c r="G350" s="249">
        <f t="shared" si="352"/>
        <v>0</v>
      </c>
      <c r="H350" s="249">
        <f t="shared" si="353"/>
        <v>0</v>
      </c>
      <c r="I350" s="249">
        <f t="shared" si="354"/>
        <v>0</v>
      </c>
      <c r="J350" s="249"/>
      <c r="K350" s="368">
        <f t="shared" si="355"/>
        <v>0</v>
      </c>
      <c r="L350" s="351"/>
      <c r="M350" s="345">
        <f t="shared" si="366"/>
        <v>0</v>
      </c>
      <c r="N350" s="249">
        <f t="shared" si="367"/>
        <v>0</v>
      </c>
      <c r="O350" s="249">
        <f t="shared" si="368"/>
        <v>0</v>
      </c>
      <c r="P350" s="249">
        <f t="shared" si="369"/>
        <v>0</v>
      </c>
      <c r="Q350" s="249">
        <f t="shared" si="370"/>
        <v>0</v>
      </c>
      <c r="R350" s="249">
        <f t="shared" si="371"/>
        <v>0</v>
      </c>
      <c r="S350" s="249">
        <f t="shared" si="372"/>
        <v>0</v>
      </c>
      <c r="T350" s="249">
        <f t="shared" si="373"/>
        <v>0</v>
      </c>
      <c r="U350" s="249" t="e">
        <f t="shared" si="374"/>
        <v>#REF!</v>
      </c>
      <c r="V350" s="251">
        <f t="shared" si="375"/>
        <v>0</v>
      </c>
    </row>
    <row r="351" spans="1:22" x14ac:dyDescent="0.3">
      <c r="A351" s="1025"/>
      <c r="B351" s="252"/>
      <c r="C351" s="253"/>
      <c r="D351" s="254"/>
      <c r="E351" s="249">
        <f t="shared" si="350"/>
        <v>0</v>
      </c>
      <c r="F351" s="249"/>
      <c r="G351" s="249">
        <f t="shared" si="352"/>
        <v>0</v>
      </c>
      <c r="H351" s="249">
        <f t="shared" si="353"/>
        <v>0</v>
      </c>
      <c r="I351" s="249">
        <f t="shared" si="354"/>
        <v>0</v>
      </c>
      <c r="J351" s="249"/>
      <c r="K351" s="368">
        <f t="shared" si="355"/>
        <v>0</v>
      </c>
      <c r="L351" s="351"/>
      <c r="M351" s="345">
        <f t="shared" si="366"/>
        <v>0</v>
      </c>
      <c r="N351" s="249">
        <f t="shared" si="367"/>
        <v>0</v>
      </c>
      <c r="O351" s="249">
        <f t="shared" si="368"/>
        <v>0</v>
      </c>
      <c r="P351" s="249">
        <f t="shared" si="369"/>
        <v>0</v>
      </c>
      <c r="Q351" s="249">
        <f t="shared" si="370"/>
        <v>0</v>
      </c>
      <c r="R351" s="249">
        <f t="shared" si="371"/>
        <v>0</v>
      </c>
      <c r="S351" s="249">
        <f t="shared" si="372"/>
        <v>0</v>
      </c>
      <c r="T351" s="249">
        <f t="shared" si="373"/>
        <v>0</v>
      </c>
      <c r="U351" s="249" t="e">
        <f t="shared" si="374"/>
        <v>#REF!</v>
      </c>
      <c r="V351" s="251">
        <f t="shared" si="375"/>
        <v>0</v>
      </c>
    </row>
    <row r="352" spans="1:22" ht="10.8" thickBot="1" x14ac:dyDescent="0.35">
      <c r="A352" s="1026"/>
      <c r="B352" s="239"/>
      <c r="C352" s="233"/>
      <c r="D352" s="139"/>
      <c r="E352" s="347">
        <f t="shared" si="350"/>
        <v>0</v>
      </c>
      <c r="F352" s="347"/>
      <c r="G352" s="347">
        <f t="shared" si="352"/>
        <v>0</v>
      </c>
      <c r="H352" s="347">
        <f t="shared" si="353"/>
        <v>0</v>
      </c>
      <c r="I352" s="347">
        <f t="shared" si="354"/>
        <v>0</v>
      </c>
      <c r="J352" s="347"/>
      <c r="K352" s="369">
        <f t="shared" si="355"/>
        <v>0</v>
      </c>
      <c r="L352" s="351"/>
      <c r="M352" s="346">
        <f t="shared" si="366"/>
        <v>0</v>
      </c>
      <c r="N352" s="347">
        <f t="shared" si="367"/>
        <v>0</v>
      </c>
      <c r="O352" s="347">
        <f t="shared" si="368"/>
        <v>0</v>
      </c>
      <c r="P352" s="347">
        <f t="shared" si="369"/>
        <v>0</v>
      </c>
      <c r="Q352" s="347">
        <f t="shared" si="370"/>
        <v>0</v>
      </c>
      <c r="R352" s="347">
        <f t="shared" si="371"/>
        <v>0</v>
      </c>
      <c r="S352" s="347">
        <f t="shared" si="372"/>
        <v>0</v>
      </c>
      <c r="T352" s="347">
        <f t="shared" si="373"/>
        <v>0</v>
      </c>
      <c r="U352" s="347" t="e">
        <f t="shared" si="374"/>
        <v>#REF!</v>
      </c>
      <c r="V352" s="348">
        <f t="shared" si="375"/>
        <v>0</v>
      </c>
    </row>
    <row r="353" spans="1:22" x14ac:dyDescent="0.3">
      <c r="A353" s="1024" t="s">
        <v>262</v>
      </c>
      <c r="B353" s="252">
        <v>1</v>
      </c>
      <c r="C353" s="253">
        <v>750</v>
      </c>
      <c r="D353" s="254"/>
      <c r="E353" s="249">
        <f t="shared" ref="E353:E370" si="376">+C353*0.0833</f>
        <v>62.475000000000001</v>
      </c>
      <c r="F353" s="249">
        <f t="shared" ref="F353:F367" si="377">(394/12)</f>
        <v>32.833333333333336</v>
      </c>
      <c r="G353" s="249">
        <f t="shared" ref="G353:G370" si="378">+C353/12</f>
        <v>62.5</v>
      </c>
      <c r="H353" s="249">
        <f t="shared" ref="H353:H370" si="379">+C353*0.1115</f>
        <v>83.625</v>
      </c>
      <c r="I353" s="249">
        <f t="shared" ref="I353:I370" si="380">SUM(C353:H353)</f>
        <v>991.43333333333339</v>
      </c>
      <c r="J353" s="249"/>
      <c r="K353" s="368">
        <f t="shared" ref="K353:K370" si="381">SUM(I353:J353)</f>
        <v>991.43333333333339</v>
      </c>
      <c r="L353" s="351"/>
      <c r="M353" s="366">
        <f t="shared" si="366"/>
        <v>12.594960829980945</v>
      </c>
      <c r="N353" s="245">
        <f t="shared" si="367"/>
        <v>36.500196485284775</v>
      </c>
      <c r="O353" s="245">
        <f t="shared" si="368"/>
        <v>45.372137273766675</v>
      </c>
      <c r="P353" s="245">
        <f t="shared" si="369"/>
        <v>65.934100931804366</v>
      </c>
      <c r="Q353" s="245">
        <f t="shared" si="370"/>
        <v>71.80378346674128</v>
      </c>
      <c r="R353" s="245">
        <f t="shared" si="371"/>
        <v>90.074322230036813</v>
      </c>
      <c r="S353" s="245">
        <f t="shared" si="372"/>
        <v>94.67422912468669</v>
      </c>
      <c r="T353" s="245">
        <f t="shared" si="373"/>
        <v>112.12846508442118</v>
      </c>
      <c r="U353" s="245" t="e">
        <f t="shared" si="374"/>
        <v>#REF!</v>
      </c>
      <c r="V353" s="246">
        <f t="shared" si="375"/>
        <v>0</v>
      </c>
    </row>
    <row r="354" spans="1:22" x14ac:dyDescent="0.3">
      <c r="A354" s="1025"/>
      <c r="B354" s="252">
        <v>1</v>
      </c>
      <c r="C354" s="253">
        <v>1600</v>
      </c>
      <c r="D354" s="254"/>
      <c r="E354" s="249">
        <f t="shared" si="376"/>
        <v>133.28</v>
      </c>
      <c r="F354" s="249">
        <f t="shared" si="377"/>
        <v>32.833333333333336</v>
      </c>
      <c r="G354" s="249">
        <f t="shared" si="378"/>
        <v>133.33333333333334</v>
      </c>
      <c r="H354" s="249">
        <f t="shared" si="379"/>
        <v>178.4</v>
      </c>
      <c r="I354" s="249">
        <f t="shared" si="380"/>
        <v>2077.8466666666664</v>
      </c>
      <c r="J354" s="249"/>
      <c r="K354" s="368">
        <f t="shared" si="381"/>
        <v>2077.8466666666664</v>
      </c>
      <c r="L354" s="351"/>
      <c r="M354" s="345">
        <f t="shared" si="366"/>
        <v>26.396527630743165</v>
      </c>
      <c r="N354" s="249">
        <f t="shared" si="367"/>
        <v>76.497137073893697</v>
      </c>
      <c r="O354" s="249">
        <f t="shared" si="368"/>
        <v>95.090956723099708</v>
      </c>
      <c r="P354" s="249">
        <f t="shared" si="369"/>
        <v>138.18473439882987</v>
      </c>
      <c r="Q354" s="249">
        <f t="shared" si="370"/>
        <v>150.48641912089241</v>
      </c>
      <c r="R354" s="249">
        <f t="shared" si="371"/>
        <v>188.77782691518124</v>
      </c>
      <c r="S354" s="249">
        <f t="shared" si="372"/>
        <v>198.41831497088367</v>
      </c>
      <c r="T354" s="249">
        <f t="shared" si="373"/>
        <v>234.99891478409799</v>
      </c>
      <c r="U354" s="249" t="e">
        <f t="shared" si="374"/>
        <v>#REF!</v>
      </c>
      <c r="V354" s="251">
        <f t="shared" si="375"/>
        <v>0</v>
      </c>
    </row>
    <row r="355" spans="1:22" x14ac:dyDescent="0.3">
      <c r="A355" s="1025"/>
      <c r="B355" s="252">
        <v>1</v>
      </c>
      <c r="C355" s="253">
        <v>750</v>
      </c>
      <c r="D355" s="254"/>
      <c r="E355" s="249">
        <f t="shared" si="376"/>
        <v>62.475000000000001</v>
      </c>
      <c r="F355" s="249">
        <f t="shared" si="377"/>
        <v>32.833333333333336</v>
      </c>
      <c r="G355" s="249">
        <f t="shared" si="378"/>
        <v>62.5</v>
      </c>
      <c r="H355" s="249">
        <f t="shared" si="379"/>
        <v>83.625</v>
      </c>
      <c r="I355" s="249">
        <f t="shared" si="380"/>
        <v>991.43333333333339</v>
      </c>
      <c r="J355" s="249"/>
      <c r="K355" s="368">
        <f t="shared" si="381"/>
        <v>991.43333333333339</v>
      </c>
      <c r="L355" s="351"/>
      <c r="M355" s="345">
        <f t="shared" si="366"/>
        <v>12.594960829980945</v>
      </c>
      <c r="N355" s="249">
        <f t="shared" si="367"/>
        <v>36.500196485284775</v>
      </c>
      <c r="O355" s="249">
        <f t="shared" si="368"/>
        <v>45.372137273766675</v>
      </c>
      <c r="P355" s="249">
        <f t="shared" si="369"/>
        <v>65.934100931804366</v>
      </c>
      <c r="Q355" s="249">
        <f t="shared" si="370"/>
        <v>71.80378346674128</v>
      </c>
      <c r="R355" s="249">
        <f t="shared" si="371"/>
        <v>90.074322230036813</v>
      </c>
      <c r="S355" s="249">
        <f t="shared" si="372"/>
        <v>94.67422912468669</v>
      </c>
      <c r="T355" s="249">
        <f t="shared" si="373"/>
        <v>112.12846508442118</v>
      </c>
      <c r="U355" s="249" t="e">
        <f t="shared" si="374"/>
        <v>#REF!</v>
      </c>
      <c r="V355" s="251">
        <f t="shared" si="375"/>
        <v>0</v>
      </c>
    </row>
    <row r="356" spans="1:22" x14ac:dyDescent="0.3">
      <c r="A356" s="1025"/>
      <c r="B356" s="252">
        <v>1</v>
      </c>
      <c r="C356" s="253">
        <v>750</v>
      </c>
      <c r="D356" s="254"/>
      <c r="E356" s="249">
        <f t="shared" si="376"/>
        <v>62.475000000000001</v>
      </c>
      <c r="F356" s="249">
        <f t="shared" si="377"/>
        <v>32.833333333333336</v>
      </c>
      <c r="G356" s="249">
        <f t="shared" si="378"/>
        <v>62.5</v>
      </c>
      <c r="H356" s="249">
        <f t="shared" si="379"/>
        <v>83.625</v>
      </c>
      <c r="I356" s="249">
        <f t="shared" si="380"/>
        <v>991.43333333333339</v>
      </c>
      <c r="J356" s="249"/>
      <c r="K356" s="368">
        <f t="shared" si="381"/>
        <v>991.43333333333339</v>
      </c>
      <c r="L356" s="351"/>
      <c r="M356" s="345">
        <f t="shared" si="366"/>
        <v>12.594960829980945</v>
      </c>
      <c r="N356" s="249">
        <f t="shared" si="367"/>
        <v>36.500196485284775</v>
      </c>
      <c r="O356" s="249">
        <f t="shared" si="368"/>
        <v>45.372137273766675</v>
      </c>
      <c r="P356" s="249">
        <f t="shared" si="369"/>
        <v>65.934100931804366</v>
      </c>
      <c r="Q356" s="249">
        <f t="shared" si="370"/>
        <v>71.80378346674128</v>
      </c>
      <c r="R356" s="249">
        <f t="shared" si="371"/>
        <v>90.074322230036813</v>
      </c>
      <c r="S356" s="249">
        <f t="shared" si="372"/>
        <v>94.67422912468669</v>
      </c>
      <c r="T356" s="249">
        <f t="shared" si="373"/>
        <v>112.12846508442118</v>
      </c>
      <c r="U356" s="249" t="e">
        <f t="shared" si="374"/>
        <v>#REF!</v>
      </c>
      <c r="V356" s="251">
        <f t="shared" si="375"/>
        <v>0</v>
      </c>
    </row>
    <row r="357" spans="1:22" x14ac:dyDescent="0.3">
      <c r="A357" s="1025"/>
      <c r="B357" s="252">
        <v>1</v>
      </c>
      <c r="C357" s="253">
        <v>400</v>
      </c>
      <c r="D357" s="254"/>
      <c r="E357" s="249">
        <f t="shared" si="376"/>
        <v>33.32</v>
      </c>
      <c r="F357" s="249">
        <f t="shared" si="377"/>
        <v>32.833333333333336</v>
      </c>
      <c r="G357" s="249">
        <f t="shared" si="378"/>
        <v>33.333333333333336</v>
      </c>
      <c r="H357" s="249">
        <f t="shared" si="379"/>
        <v>44.6</v>
      </c>
      <c r="I357" s="249">
        <f t="shared" si="380"/>
        <v>544.08666666666659</v>
      </c>
      <c r="J357" s="249"/>
      <c r="K357" s="368">
        <f t="shared" si="381"/>
        <v>544.08666666666659</v>
      </c>
      <c r="L357" s="351"/>
      <c r="M357" s="345">
        <f t="shared" ref="M357:M367" si="382">+(K357/$B$2)*$M$2*6</f>
        <v>6.9119627355494382</v>
      </c>
      <c r="N357" s="249">
        <f t="shared" ref="N357:N367" si="383">+(K357/$B$2)*$N$2*6</f>
        <v>20.030868007622271</v>
      </c>
      <c r="O357" s="249">
        <f t="shared" ref="O357:O367" si="384">+(K357/$B$2)*$O$2*6</f>
        <v>24.899682206394235</v>
      </c>
      <c r="P357" s="249">
        <f t="shared" ref="P357:P367" si="385">+(K357/$B$2)*$P$2*6</f>
        <v>36.183840092440903</v>
      </c>
      <c r="Q357" s="249">
        <f t="shared" ref="Q357:Q367" si="386">+(K357/$B$2)*$Q$2*6</f>
        <v>39.405051138561376</v>
      </c>
      <c r="R357" s="249">
        <f t="shared" ref="R357:R367" si="387">+(K357/$B$2)*$R$2*6</f>
        <v>49.431702653800855</v>
      </c>
      <c r="S357" s="249">
        <f t="shared" ref="S357:S367" si="388">+(K357/$B$2)*$S$2*6</f>
        <v>51.956076129193782</v>
      </c>
      <c r="T357" s="249">
        <f t="shared" ref="T357:T367" si="389">+(K357/$B$2)*$T$2*6</f>
        <v>61.534750502201277</v>
      </c>
      <c r="U357" s="249" t="e">
        <f t="shared" ref="U357:U367" si="390">+(K357/$B$2)*$U$2*6</f>
        <v>#REF!</v>
      </c>
      <c r="V357" s="251">
        <f t="shared" ref="V357:V367" si="391">+(K357/$B$2)*$V$2*6</f>
        <v>0</v>
      </c>
    </row>
    <row r="358" spans="1:22" x14ac:dyDescent="0.3">
      <c r="A358" s="1025"/>
      <c r="B358" s="252">
        <v>1</v>
      </c>
      <c r="C358" s="253">
        <v>1000</v>
      </c>
      <c r="D358" s="254"/>
      <c r="E358" s="249">
        <f t="shared" si="376"/>
        <v>83.3</v>
      </c>
      <c r="F358" s="249">
        <f t="shared" si="377"/>
        <v>32.833333333333336</v>
      </c>
      <c r="G358" s="249">
        <f t="shared" si="378"/>
        <v>83.333333333333329</v>
      </c>
      <c r="H358" s="249">
        <f t="shared" si="379"/>
        <v>111.5</v>
      </c>
      <c r="I358" s="249">
        <f t="shared" si="380"/>
        <v>1310.9666666666665</v>
      </c>
      <c r="J358" s="249"/>
      <c r="K358" s="368">
        <f t="shared" si="381"/>
        <v>1310.9666666666665</v>
      </c>
      <c r="L358" s="351"/>
      <c r="M358" s="345">
        <f t="shared" si="382"/>
        <v>16.654245183146301</v>
      </c>
      <c r="N358" s="249">
        <f t="shared" si="383"/>
        <v>48.264002540757986</v>
      </c>
      <c r="O358" s="249">
        <f t="shared" si="384"/>
        <v>59.99531946474697</v>
      </c>
      <c r="P358" s="249">
        <f t="shared" si="385"/>
        <v>87.184287245635389</v>
      </c>
      <c r="Q358" s="249">
        <f t="shared" si="386"/>
        <v>94.945735129726884</v>
      </c>
      <c r="R358" s="249">
        <f t="shared" si="387"/>
        <v>119.10476478449104</v>
      </c>
      <c r="S358" s="249">
        <f t="shared" si="388"/>
        <v>125.18719555003872</v>
      </c>
      <c r="T358" s="249">
        <f t="shared" si="389"/>
        <v>148.26683264314963</v>
      </c>
      <c r="U358" s="249" t="e">
        <f t="shared" si="390"/>
        <v>#REF!</v>
      </c>
      <c r="V358" s="251">
        <f t="shared" si="391"/>
        <v>0</v>
      </c>
    </row>
    <row r="359" spans="1:22" x14ac:dyDescent="0.3">
      <c r="A359" s="1025"/>
      <c r="B359" s="252">
        <v>1</v>
      </c>
      <c r="C359" s="253">
        <v>750</v>
      </c>
      <c r="D359" s="254"/>
      <c r="E359" s="249">
        <f t="shared" si="376"/>
        <v>62.475000000000001</v>
      </c>
      <c r="F359" s="249">
        <f t="shared" si="377"/>
        <v>32.833333333333336</v>
      </c>
      <c r="G359" s="249">
        <f t="shared" si="378"/>
        <v>62.5</v>
      </c>
      <c r="H359" s="249">
        <f t="shared" si="379"/>
        <v>83.625</v>
      </c>
      <c r="I359" s="249">
        <f t="shared" si="380"/>
        <v>991.43333333333339</v>
      </c>
      <c r="J359" s="249"/>
      <c r="K359" s="368">
        <f t="shared" si="381"/>
        <v>991.43333333333339</v>
      </c>
      <c r="L359" s="351"/>
      <c r="M359" s="345">
        <f t="shared" si="382"/>
        <v>12.594960829980945</v>
      </c>
      <c r="N359" s="249">
        <f t="shared" si="383"/>
        <v>36.500196485284775</v>
      </c>
      <c r="O359" s="249">
        <f t="shared" si="384"/>
        <v>45.372137273766675</v>
      </c>
      <c r="P359" s="249">
        <f t="shared" si="385"/>
        <v>65.934100931804366</v>
      </c>
      <c r="Q359" s="249">
        <f t="shared" si="386"/>
        <v>71.80378346674128</v>
      </c>
      <c r="R359" s="249">
        <f t="shared" si="387"/>
        <v>90.074322230036813</v>
      </c>
      <c r="S359" s="249">
        <f t="shared" si="388"/>
        <v>94.67422912468669</v>
      </c>
      <c r="T359" s="249">
        <f t="shared" si="389"/>
        <v>112.12846508442118</v>
      </c>
      <c r="U359" s="249" t="e">
        <f t="shared" si="390"/>
        <v>#REF!</v>
      </c>
      <c r="V359" s="251">
        <f t="shared" si="391"/>
        <v>0</v>
      </c>
    </row>
    <row r="360" spans="1:22" x14ac:dyDescent="0.3">
      <c r="A360" s="1025"/>
      <c r="B360" s="252">
        <v>1</v>
      </c>
      <c r="C360" s="253">
        <v>750</v>
      </c>
      <c r="D360" s="254"/>
      <c r="E360" s="249">
        <f t="shared" si="376"/>
        <v>62.475000000000001</v>
      </c>
      <c r="F360" s="249">
        <f t="shared" si="377"/>
        <v>32.833333333333336</v>
      </c>
      <c r="G360" s="249">
        <f t="shared" si="378"/>
        <v>62.5</v>
      </c>
      <c r="H360" s="249">
        <f t="shared" si="379"/>
        <v>83.625</v>
      </c>
      <c r="I360" s="249">
        <f t="shared" si="380"/>
        <v>991.43333333333339</v>
      </c>
      <c r="J360" s="249"/>
      <c r="K360" s="368">
        <f t="shared" si="381"/>
        <v>991.43333333333339</v>
      </c>
      <c r="L360" s="351"/>
      <c r="M360" s="345">
        <f t="shared" si="382"/>
        <v>12.594960829980945</v>
      </c>
      <c r="N360" s="249">
        <f t="shared" si="383"/>
        <v>36.500196485284775</v>
      </c>
      <c r="O360" s="249">
        <f t="shared" si="384"/>
        <v>45.372137273766675</v>
      </c>
      <c r="P360" s="249">
        <f t="shared" si="385"/>
        <v>65.934100931804366</v>
      </c>
      <c r="Q360" s="249">
        <f t="shared" si="386"/>
        <v>71.80378346674128</v>
      </c>
      <c r="R360" s="249">
        <f t="shared" si="387"/>
        <v>90.074322230036813</v>
      </c>
      <c r="S360" s="249">
        <f t="shared" si="388"/>
        <v>94.67422912468669</v>
      </c>
      <c r="T360" s="249">
        <f t="shared" si="389"/>
        <v>112.12846508442118</v>
      </c>
      <c r="U360" s="249" t="e">
        <f t="shared" si="390"/>
        <v>#REF!</v>
      </c>
      <c r="V360" s="251">
        <f t="shared" si="391"/>
        <v>0</v>
      </c>
    </row>
    <row r="361" spans="1:22" x14ac:dyDescent="0.3">
      <c r="A361" s="1025"/>
      <c r="B361" s="252">
        <v>1</v>
      </c>
      <c r="C361" s="253">
        <v>750</v>
      </c>
      <c r="D361" s="254"/>
      <c r="E361" s="249">
        <f t="shared" si="376"/>
        <v>62.475000000000001</v>
      </c>
      <c r="F361" s="249">
        <f t="shared" si="377"/>
        <v>32.833333333333336</v>
      </c>
      <c r="G361" s="249">
        <f t="shared" si="378"/>
        <v>62.5</v>
      </c>
      <c r="H361" s="249">
        <f t="shared" si="379"/>
        <v>83.625</v>
      </c>
      <c r="I361" s="249">
        <f t="shared" si="380"/>
        <v>991.43333333333339</v>
      </c>
      <c r="J361" s="249"/>
      <c r="K361" s="368">
        <f t="shared" si="381"/>
        <v>991.43333333333339</v>
      </c>
      <c r="L361" s="351"/>
      <c r="M361" s="345">
        <f t="shared" si="382"/>
        <v>12.594960829980945</v>
      </c>
      <c r="N361" s="249">
        <f t="shared" si="383"/>
        <v>36.500196485284775</v>
      </c>
      <c r="O361" s="249">
        <f t="shared" si="384"/>
        <v>45.372137273766675</v>
      </c>
      <c r="P361" s="249">
        <f t="shared" si="385"/>
        <v>65.934100931804366</v>
      </c>
      <c r="Q361" s="249">
        <f t="shared" si="386"/>
        <v>71.80378346674128</v>
      </c>
      <c r="R361" s="249">
        <f t="shared" si="387"/>
        <v>90.074322230036813</v>
      </c>
      <c r="S361" s="249">
        <f t="shared" si="388"/>
        <v>94.67422912468669</v>
      </c>
      <c r="T361" s="249">
        <f t="shared" si="389"/>
        <v>112.12846508442118</v>
      </c>
      <c r="U361" s="249" t="e">
        <f t="shared" si="390"/>
        <v>#REF!</v>
      </c>
      <c r="V361" s="251">
        <f t="shared" si="391"/>
        <v>0</v>
      </c>
    </row>
    <row r="362" spans="1:22" x14ac:dyDescent="0.3">
      <c r="A362" s="1025"/>
      <c r="B362" s="252">
        <v>1</v>
      </c>
      <c r="C362" s="253">
        <v>400</v>
      </c>
      <c r="D362" s="254"/>
      <c r="E362" s="249">
        <f t="shared" si="376"/>
        <v>33.32</v>
      </c>
      <c r="F362" s="249">
        <f t="shared" si="377"/>
        <v>32.833333333333336</v>
      </c>
      <c r="G362" s="249">
        <f t="shared" si="378"/>
        <v>33.333333333333336</v>
      </c>
      <c r="H362" s="249">
        <f t="shared" si="379"/>
        <v>44.6</v>
      </c>
      <c r="I362" s="249">
        <f t="shared" si="380"/>
        <v>544.08666666666659</v>
      </c>
      <c r="J362" s="249"/>
      <c r="K362" s="368">
        <f t="shared" si="381"/>
        <v>544.08666666666659</v>
      </c>
      <c r="L362" s="351"/>
      <c r="M362" s="345">
        <f t="shared" si="382"/>
        <v>6.9119627355494382</v>
      </c>
      <c r="N362" s="249">
        <f t="shared" si="383"/>
        <v>20.030868007622271</v>
      </c>
      <c r="O362" s="249">
        <f t="shared" si="384"/>
        <v>24.899682206394235</v>
      </c>
      <c r="P362" s="249">
        <f t="shared" si="385"/>
        <v>36.183840092440903</v>
      </c>
      <c r="Q362" s="249">
        <f t="shared" si="386"/>
        <v>39.405051138561376</v>
      </c>
      <c r="R362" s="249">
        <f t="shared" si="387"/>
        <v>49.431702653800855</v>
      </c>
      <c r="S362" s="249">
        <f t="shared" si="388"/>
        <v>51.956076129193782</v>
      </c>
      <c r="T362" s="249">
        <f t="shared" si="389"/>
        <v>61.534750502201277</v>
      </c>
      <c r="U362" s="249" t="e">
        <f t="shared" si="390"/>
        <v>#REF!</v>
      </c>
      <c r="V362" s="251">
        <f t="shared" si="391"/>
        <v>0</v>
      </c>
    </row>
    <row r="363" spans="1:22" x14ac:dyDescent="0.3">
      <c r="A363" s="1025"/>
      <c r="B363" s="252">
        <v>1</v>
      </c>
      <c r="C363" s="253">
        <v>750</v>
      </c>
      <c r="D363" s="254"/>
      <c r="E363" s="249">
        <f t="shared" si="376"/>
        <v>62.475000000000001</v>
      </c>
      <c r="F363" s="249">
        <f t="shared" si="377"/>
        <v>32.833333333333336</v>
      </c>
      <c r="G363" s="249">
        <f t="shared" si="378"/>
        <v>62.5</v>
      </c>
      <c r="H363" s="249">
        <f t="shared" si="379"/>
        <v>83.625</v>
      </c>
      <c r="I363" s="249">
        <f t="shared" si="380"/>
        <v>991.43333333333339</v>
      </c>
      <c r="J363" s="249"/>
      <c r="K363" s="368">
        <f t="shared" si="381"/>
        <v>991.43333333333339</v>
      </c>
      <c r="L363" s="351"/>
      <c r="M363" s="345">
        <f t="shared" si="382"/>
        <v>12.594960829980945</v>
      </c>
      <c r="N363" s="249">
        <f t="shared" si="383"/>
        <v>36.500196485284775</v>
      </c>
      <c r="O363" s="249">
        <f t="shared" si="384"/>
        <v>45.372137273766675</v>
      </c>
      <c r="P363" s="249">
        <f t="shared" si="385"/>
        <v>65.934100931804366</v>
      </c>
      <c r="Q363" s="249">
        <f t="shared" si="386"/>
        <v>71.80378346674128</v>
      </c>
      <c r="R363" s="249">
        <f t="shared" si="387"/>
        <v>90.074322230036813</v>
      </c>
      <c r="S363" s="249">
        <f t="shared" si="388"/>
        <v>94.67422912468669</v>
      </c>
      <c r="T363" s="249">
        <f t="shared" si="389"/>
        <v>112.12846508442118</v>
      </c>
      <c r="U363" s="249" t="e">
        <f t="shared" si="390"/>
        <v>#REF!</v>
      </c>
      <c r="V363" s="251">
        <f t="shared" si="391"/>
        <v>0</v>
      </c>
    </row>
    <row r="364" spans="1:22" x14ac:dyDescent="0.3">
      <c r="A364" s="1025"/>
      <c r="B364" s="252">
        <v>1</v>
      </c>
      <c r="C364" s="253">
        <v>3000</v>
      </c>
      <c r="D364" s="254"/>
      <c r="E364" s="249">
        <f t="shared" si="376"/>
        <v>249.9</v>
      </c>
      <c r="F364" s="249">
        <f t="shared" si="377"/>
        <v>32.833333333333336</v>
      </c>
      <c r="G364" s="249">
        <f t="shared" si="378"/>
        <v>250</v>
      </c>
      <c r="H364" s="249">
        <f t="shared" si="379"/>
        <v>334.5</v>
      </c>
      <c r="I364" s="249">
        <f t="shared" si="380"/>
        <v>3867.2333333333336</v>
      </c>
      <c r="J364" s="249"/>
      <c r="K364" s="368">
        <f t="shared" si="381"/>
        <v>3867.2333333333336</v>
      </c>
      <c r="L364" s="351"/>
      <c r="M364" s="345">
        <f t="shared" si="382"/>
        <v>49.128520008469195</v>
      </c>
      <c r="N364" s="249">
        <f t="shared" si="383"/>
        <v>142.37445098454373</v>
      </c>
      <c r="O364" s="249">
        <f t="shared" si="384"/>
        <v>176.98077699258948</v>
      </c>
      <c r="P364" s="249">
        <f t="shared" si="385"/>
        <v>257.18577775628376</v>
      </c>
      <c r="Q364" s="249">
        <f t="shared" si="386"/>
        <v>280.08134843361205</v>
      </c>
      <c r="R364" s="249">
        <f t="shared" si="387"/>
        <v>351.34830522012516</v>
      </c>
      <c r="S364" s="249">
        <f t="shared" si="388"/>
        <v>369.29092695285533</v>
      </c>
      <c r="T364" s="249">
        <f t="shared" si="389"/>
        <v>437.37377311297757</v>
      </c>
      <c r="U364" s="249" t="e">
        <f t="shared" si="390"/>
        <v>#REF!</v>
      </c>
      <c r="V364" s="251">
        <f t="shared" si="391"/>
        <v>0</v>
      </c>
    </row>
    <row r="365" spans="1:22" x14ac:dyDescent="0.3">
      <c r="A365" s="1025"/>
      <c r="B365" s="252">
        <v>1</v>
      </c>
      <c r="C365" s="253">
        <v>700</v>
      </c>
      <c r="D365" s="254"/>
      <c r="E365" s="249">
        <f t="shared" si="376"/>
        <v>58.31</v>
      </c>
      <c r="F365" s="249">
        <f t="shared" si="377"/>
        <v>32.833333333333336</v>
      </c>
      <c r="G365" s="249">
        <f t="shared" si="378"/>
        <v>58.333333333333336</v>
      </c>
      <c r="H365" s="249">
        <f t="shared" si="379"/>
        <v>78.05</v>
      </c>
      <c r="I365" s="249">
        <f t="shared" si="380"/>
        <v>927.52666666666664</v>
      </c>
      <c r="J365" s="249"/>
      <c r="K365" s="368">
        <f t="shared" si="381"/>
        <v>927.52666666666664</v>
      </c>
      <c r="L365" s="351"/>
      <c r="M365" s="345">
        <f t="shared" si="382"/>
        <v>11.783103959347873</v>
      </c>
      <c r="N365" s="249">
        <f t="shared" si="383"/>
        <v>34.14743527419013</v>
      </c>
      <c r="O365" s="249">
        <f t="shared" si="384"/>
        <v>42.447500835570615</v>
      </c>
      <c r="P365" s="249">
        <f t="shared" si="385"/>
        <v>61.68406366903816</v>
      </c>
      <c r="Q365" s="249">
        <f t="shared" si="386"/>
        <v>67.175393134144144</v>
      </c>
      <c r="R365" s="249">
        <f t="shared" si="387"/>
        <v>84.268233719145968</v>
      </c>
      <c r="S365" s="249">
        <f t="shared" si="388"/>
        <v>88.571635839616278</v>
      </c>
      <c r="T365" s="249">
        <f t="shared" si="389"/>
        <v>104.90079157267549</v>
      </c>
      <c r="U365" s="249" t="e">
        <f t="shared" si="390"/>
        <v>#REF!</v>
      </c>
      <c r="V365" s="251">
        <f t="shared" si="391"/>
        <v>0</v>
      </c>
    </row>
    <row r="366" spans="1:22" x14ac:dyDescent="0.3">
      <c r="A366" s="1025"/>
      <c r="B366" s="252">
        <v>1</v>
      </c>
      <c r="C366" s="253">
        <v>820</v>
      </c>
      <c r="D366" s="254"/>
      <c r="E366" s="249">
        <f t="shared" si="376"/>
        <v>68.305999999999997</v>
      </c>
      <c r="F366" s="249">
        <f t="shared" si="377"/>
        <v>32.833333333333336</v>
      </c>
      <c r="G366" s="249">
        <f t="shared" si="378"/>
        <v>68.333333333333329</v>
      </c>
      <c r="H366" s="249">
        <f t="shared" si="379"/>
        <v>91.43</v>
      </c>
      <c r="I366" s="249">
        <f t="shared" si="380"/>
        <v>1080.9026666666668</v>
      </c>
      <c r="J366" s="249"/>
      <c r="K366" s="368">
        <f t="shared" si="381"/>
        <v>1080.9026666666668</v>
      </c>
      <c r="L366" s="351"/>
      <c r="M366" s="345">
        <f t="shared" si="382"/>
        <v>13.731560448867246</v>
      </c>
      <c r="N366" s="249">
        <f t="shared" si="383"/>
        <v>39.794062180817278</v>
      </c>
      <c r="O366" s="249">
        <f t="shared" si="384"/>
        <v>49.466628287241164</v>
      </c>
      <c r="P366" s="249">
        <f t="shared" si="385"/>
        <v>71.884153099677064</v>
      </c>
      <c r="Q366" s="249">
        <f t="shared" si="386"/>
        <v>78.283529932377263</v>
      </c>
      <c r="R366" s="249">
        <f t="shared" si="387"/>
        <v>98.202846145284013</v>
      </c>
      <c r="S366" s="249">
        <f t="shared" si="388"/>
        <v>103.21785972378527</v>
      </c>
      <c r="T366" s="249">
        <f t="shared" si="389"/>
        <v>122.24720800086516</v>
      </c>
      <c r="U366" s="249" t="e">
        <f t="shared" si="390"/>
        <v>#REF!</v>
      </c>
      <c r="V366" s="251">
        <f t="shared" si="391"/>
        <v>0</v>
      </c>
    </row>
    <row r="367" spans="1:22" x14ac:dyDescent="0.3">
      <c r="A367" s="1025"/>
      <c r="B367" s="252">
        <v>1</v>
      </c>
      <c r="C367" s="253">
        <v>750</v>
      </c>
      <c r="D367" s="254"/>
      <c r="E367" s="249">
        <f t="shared" si="376"/>
        <v>62.475000000000001</v>
      </c>
      <c r="F367" s="249">
        <f t="shared" si="377"/>
        <v>32.833333333333336</v>
      </c>
      <c r="G367" s="249">
        <f t="shared" si="378"/>
        <v>62.5</v>
      </c>
      <c r="H367" s="249">
        <f t="shared" si="379"/>
        <v>83.625</v>
      </c>
      <c r="I367" s="249">
        <f t="shared" si="380"/>
        <v>991.43333333333339</v>
      </c>
      <c r="J367" s="249"/>
      <c r="K367" s="368">
        <f t="shared" si="381"/>
        <v>991.43333333333339</v>
      </c>
      <c r="L367" s="351"/>
      <c r="M367" s="345">
        <f t="shared" si="382"/>
        <v>12.594960829980945</v>
      </c>
      <c r="N367" s="249">
        <f t="shared" si="383"/>
        <v>36.500196485284775</v>
      </c>
      <c r="O367" s="249">
        <f t="shared" si="384"/>
        <v>45.372137273766675</v>
      </c>
      <c r="P367" s="249">
        <f t="shared" si="385"/>
        <v>65.934100931804366</v>
      </c>
      <c r="Q367" s="249">
        <f t="shared" si="386"/>
        <v>71.80378346674128</v>
      </c>
      <c r="R367" s="249">
        <f t="shared" si="387"/>
        <v>90.074322230036813</v>
      </c>
      <c r="S367" s="249">
        <f t="shared" si="388"/>
        <v>94.67422912468669</v>
      </c>
      <c r="T367" s="249">
        <f t="shared" si="389"/>
        <v>112.12846508442118</v>
      </c>
      <c r="U367" s="249" t="e">
        <f t="shared" si="390"/>
        <v>#REF!</v>
      </c>
      <c r="V367" s="251">
        <f t="shared" si="391"/>
        <v>0</v>
      </c>
    </row>
    <row r="368" spans="1:22" x14ac:dyDescent="0.3">
      <c r="A368" s="1025"/>
      <c r="B368" s="252"/>
      <c r="C368" s="253"/>
      <c r="D368" s="254"/>
      <c r="E368" s="249">
        <f t="shared" si="376"/>
        <v>0</v>
      </c>
      <c r="F368" s="249"/>
      <c r="G368" s="249">
        <f t="shared" si="378"/>
        <v>0</v>
      </c>
      <c r="H368" s="249">
        <f t="shared" si="379"/>
        <v>0</v>
      </c>
      <c r="I368" s="249">
        <f t="shared" si="380"/>
        <v>0</v>
      </c>
      <c r="J368" s="249"/>
      <c r="K368" s="368">
        <f t="shared" si="381"/>
        <v>0</v>
      </c>
      <c r="L368" s="351"/>
      <c r="M368" s="345">
        <f>+(K368/$B$2)*$M$2*6</f>
        <v>0</v>
      </c>
      <c r="N368" s="249">
        <f>+(K368/$B$2)*$N$2*6</f>
        <v>0</v>
      </c>
      <c r="O368" s="249">
        <f>+(K368/$B$2)*$O$2*6</f>
        <v>0</v>
      </c>
      <c r="P368" s="249">
        <f>+(K368/$B$2)*$P$2*6</f>
        <v>0</v>
      </c>
      <c r="Q368" s="249">
        <f>+(K368/$B$2)*$Q$2*6</f>
        <v>0</v>
      </c>
      <c r="R368" s="249">
        <f>+(K368/$B$2)*$R$2*6</f>
        <v>0</v>
      </c>
      <c r="S368" s="249">
        <f>+(K368/$B$2)*$S$2*6</f>
        <v>0</v>
      </c>
      <c r="T368" s="249">
        <f>+(K368/$B$2)*$T$2*6</f>
        <v>0</v>
      </c>
      <c r="U368" s="249" t="e">
        <f>+(K368/$B$2)*$U$2*6</f>
        <v>#REF!</v>
      </c>
      <c r="V368" s="251">
        <f>+(K368/$B$2)*$V$2*6</f>
        <v>0</v>
      </c>
    </row>
    <row r="369" spans="1:22" x14ac:dyDescent="0.3">
      <c r="A369" s="1025"/>
      <c r="B369" s="252"/>
      <c r="C369" s="253"/>
      <c r="D369" s="254"/>
      <c r="E369" s="249">
        <f t="shared" si="376"/>
        <v>0</v>
      </c>
      <c r="F369" s="249"/>
      <c r="G369" s="249">
        <f t="shared" si="378"/>
        <v>0</v>
      </c>
      <c r="H369" s="249">
        <f t="shared" si="379"/>
        <v>0</v>
      </c>
      <c r="I369" s="249">
        <f t="shared" si="380"/>
        <v>0</v>
      </c>
      <c r="J369" s="249"/>
      <c r="K369" s="368">
        <f t="shared" si="381"/>
        <v>0</v>
      </c>
      <c r="L369" s="351"/>
      <c r="M369" s="345">
        <f>+(K369/$B$2)*$M$2*6</f>
        <v>0</v>
      </c>
      <c r="N369" s="249">
        <f>+(K369/$B$2)*$N$2*6</f>
        <v>0</v>
      </c>
      <c r="O369" s="249">
        <f>+(K369/$B$2)*$O$2*6</f>
        <v>0</v>
      </c>
      <c r="P369" s="249">
        <f>+(K369/$B$2)*$P$2*6</f>
        <v>0</v>
      </c>
      <c r="Q369" s="249">
        <f>+(K369/$B$2)*$Q$2*6</f>
        <v>0</v>
      </c>
      <c r="R369" s="249">
        <f>+(K369/$B$2)*$R$2*6</f>
        <v>0</v>
      </c>
      <c r="S369" s="249">
        <f>+(K369/$B$2)*$S$2*6</f>
        <v>0</v>
      </c>
      <c r="T369" s="249">
        <f>+(K369/$B$2)*$T$2*6</f>
        <v>0</v>
      </c>
      <c r="U369" s="249" t="e">
        <f>+(K369/$B$2)*$U$2*6</f>
        <v>#REF!</v>
      </c>
      <c r="V369" s="251">
        <f>+(K369/$B$2)*$V$2*6</f>
        <v>0</v>
      </c>
    </row>
    <row r="370" spans="1:22" ht="10.8" thickBot="1" x14ac:dyDescent="0.35">
      <c r="A370" s="1031"/>
      <c r="B370" s="252"/>
      <c r="C370" s="253"/>
      <c r="D370" s="254"/>
      <c r="E370" s="363">
        <f t="shared" si="376"/>
        <v>0</v>
      </c>
      <c r="F370" s="363"/>
      <c r="G370" s="363">
        <f t="shared" si="378"/>
        <v>0</v>
      </c>
      <c r="H370" s="363">
        <f t="shared" si="379"/>
        <v>0</v>
      </c>
      <c r="I370" s="363">
        <f t="shared" si="380"/>
        <v>0</v>
      </c>
      <c r="J370" s="363"/>
      <c r="K370" s="370">
        <f t="shared" si="381"/>
        <v>0</v>
      </c>
      <c r="L370" s="351"/>
      <c r="M370" s="346">
        <f>+(K370/$B$2)*$M$2*6</f>
        <v>0</v>
      </c>
      <c r="N370" s="347">
        <f>+(K370/$B$2)*$N$2*6</f>
        <v>0</v>
      </c>
      <c r="O370" s="347">
        <f>+(K370/$B$2)*$O$2*6</f>
        <v>0</v>
      </c>
      <c r="P370" s="347">
        <f>+(K370/$B$2)*$P$2*6</f>
        <v>0</v>
      </c>
      <c r="Q370" s="347">
        <f>+(K370/$B$2)*$Q$2*6</f>
        <v>0</v>
      </c>
      <c r="R370" s="347">
        <f>+(K370/$B$2)*$R$2*6</f>
        <v>0</v>
      </c>
      <c r="S370" s="347">
        <f>+(K370/$B$2)*$S$2*6</f>
        <v>0</v>
      </c>
      <c r="T370" s="347">
        <f>+(K370/$B$2)*$T$2*6</f>
        <v>0</v>
      </c>
      <c r="U370" s="347" t="e">
        <f>+(K370/$B$2)*$U$2*6</f>
        <v>#REF!</v>
      </c>
      <c r="V370" s="348">
        <f>+(K370/$B$2)*$V$2*6</f>
        <v>0</v>
      </c>
    </row>
    <row r="371" spans="1:22" x14ac:dyDescent="0.3">
      <c r="A371" s="1027" t="s">
        <v>263</v>
      </c>
      <c r="B371" s="256"/>
      <c r="C371" s="257"/>
      <c r="D371" s="258"/>
      <c r="E371" s="245">
        <f t="shared" ref="E371:E434" si="392">+C371*0.0833</f>
        <v>0</v>
      </c>
      <c r="F371" s="245"/>
      <c r="G371" s="245">
        <f t="shared" ref="G371:G434" si="393">+C371/12</f>
        <v>0</v>
      </c>
      <c r="H371" s="245">
        <f t="shared" ref="H371:H434" si="394">+C371*0.1115</f>
        <v>0</v>
      </c>
      <c r="I371" s="245">
        <f t="shared" ref="I371:I434" si="395">SUM(C371:H371)</f>
        <v>0</v>
      </c>
      <c r="J371" s="245"/>
      <c r="K371" s="362">
        <f t="shared" ref="K371:K434" si="396">SUM(I371:J371)</f>
        <v>0</v>
      </c>
      <c r="L371" s="351"/>
      <c r="M371" s="366">
        <f>+(K371/$B$2)*$M$2*6</f>
        <v>0</v>
      </c>
      <c r="N371" s="245">
        <f>+(K371/$B$2)*$N$2*6</f>
        <v>0</v>
      </c>
      <c r="O371" s="245">
        <f>+(K371/$B$2)*$O$2*6</f>
        <v>0</v>
      </c>
      <c r="P371" s="245">
        <f>+(K371/$B$2)*$P$2*6</f>
        <v>0</v>
      </c>
      <c r="Q371" s="245">
        <f>+(K371/$B$2)*$Q$2*6</f>
        <v>0</v>
      </c>
      <c r="R371" s="245">
        <f>+(K371/$B$2)*$R$2*6</f>
        <v>0</v>
      </c>
      <c r="S371" s="245">
        <f>+(K371/$B$2)*$S$2*6</f>
        <v>0</v>
      </c>
      <c r="T371" s="245">
        <f>+(K371/$B$2)*$T$2*6</f>
        <v>0</v>
      </c>
      <c r="U371" s="245" t="e">
        <f>+(K371/$B$2)*$U$2*6</f>
        <v>#REF!</v>
      </c>
      <c r="V371" s="246">
        <f>+(K371/$B$2)*$V$2*6</f>
        <v>0</v>
      </c>
    </row>
    <row r="372" spans="1:22" x14ac:dyDescent="0.3">
      <c r="A372" s="1028"/>
      <c r="B372" s="252"/>
      <c r="C372" s="253"/>
      <c r="D372" s="254"/>
      <c r="E372" s="249">
        <f t="shared" si="392"/>
        <v>0</v>
      </c>
      <c r="F372" s="249"/>
      <c r="G372" s="249">
        <f t="shared" si="393"/>
        <v>0</v>
      </c>
      <c r="H372" s="249">
        <f t="shared" si="394"/>
        <v>0</v>
      </c>
      <c r="I372" s="249">
        <f t="shared" si="395"/>
        <v>0</v>
      </c>
      <c r="J372" s="249"/>
      <c r="K372" s="368">
        <f t="shared" si="396"/>
        <v>0</v>
      </c>
      <c r="L372" s="351"/>
      <c r="M372" s="345">
        <f>+(K372/$B$2)*$M$2*6</f>
        <v>0</v>
      </c>
      <c r="N372" s="249">
        <f>+(K372/$B$2)*$N$2*6</f>
        <v>0</v>
      </c>
      <c r="O372" s="249">
        <f>+(K372/$B$2)*$O$2*6</f>
        <v>0</v>
      </c>
      <c r="P372" s="249">
        <f>+(K372/$B$2)*$P$2*6</f>
        <v>0</v>
      </c>
      <c r="Q372" s="249">
        <f>+(K372/$B$2)*$Q$2*6</f>
        <v>0</v>
      </c>
      <c r="R372" s="249">
        <f>+(K372/$B$2)*$R$2*6</f>
        <v>0</v>
      </c>
      <c r="S372" s="249">
        <f>+(K372/$B$2)*$S$2*6</f>
        <v>0</v>
      </c>
      <c r="T372" s="249">
        <f>+(K372/$B$2)*$T$2*6</f>
        <v>0</v>
      </c>
      <c r="U372" s="249" t="e">
        <f>+(K372/$B$2)*$U$2*6</f>
        <v>#REF!</v>
      </c>
      <c r="V372" s="251">
        <f>+(K372/$B$2)*$V$2*6</f>
        <v>0</v>
      </c>
    </row>
    <row r="373" spans="1:22" x14ac:dyDescent="0.3">
      <c r="A373" s="1028"/>
      <c r="B373" s="252"/>
      <c r="C373" s="253"/>
      <c r="D373" s="254"/>
      <c r="E373" s="249">
        <f t="shared" si="392"/>
        <v>0</v>
      </c>
      <c r="F373" s="249"/>
      <c r="G373" s="249">
        <f t="shared" si="393"/>
        <v>0</v>
      </c>
      <c r="H373" s="249">
        <f t="shared" si="394"/>
        <v>0</v>
      </c>
      <c r="I373" s="249">
        <f t="shared" si="395"/>
        <v>0</v>
      </c>
      <c r="J373" s="249"/>
      <c r="K373" s="368">
        <f t="shared" si="396"/>
        <v>0</v>
      </c>
      <c r="L373" s="351"/>
      <c r="M373" s="345">
        <f t="shared" ref="M373:M436" si="397">+(K373/$B$2)*$M$2*6</f>
        <v>0</v>
      </c>
      <c r="N373" s="249">
        <f t="shared" ref="N373:N436" si="398">+(K373/$B$2)*$N$2*6</f>
        <v>0</v>
      </c>
      <c r="O373" s="249">
        <f t="shared" ref="O373:O436" si="399">+(K373/$B$2)*$O$2*6</f>
        <v>0</v>
      </c>
      <c r="P373" s="249">
        <f t="shared" ref="P373:P436" si="400">+(K373/$B$2)*$P$2*6</f>
        <v>0</v>
      </c>
      <c r="Q373" s="249">
        <f t="shared" ref="Q373:Q436" si="401">+(K373/$B$2)*$Q$2*6</f>
        <v>0</v>
      </c>
      <c r="R373" s="249">
        <f t="shared" ref="R373:R436" si="402">+(K373/$B$2)*$R$2*6</f>
        <v>0</v>
      </c>
      <c r="S373" s="249">
        <f t="shared" ref="S373:S436" si="403">+(K373/$B$2)*$S$2*6</f>
        <v>0</v>
      </c>
      <c r="T373" s="249">
        <f t="shared" ref="T373:T436" si="404">+(K373/$B$2)*$T$2*6</f>
        <v>0</v>
      </c>
      <c r="U373" s="249" t="e">
        <f t="shared" ref="U373:U436" si="405">+(K373/$B$2)*$U$2*6</f>
        <v>#REF!</v>
      </c>
      <c r="V373" s="251">
        <f t="shared" ref="V373:V436" si="406">+(K373/$B$2)*$V$2*6</f>
        <v>0</v>
      </c>
    </row>
    <row r="374" spans="1:22" ht="10.8" thickBot="1" x14ac:dyDescent="0.35">
      <c r="A374" s="1029"/>
      <c r="B374" s="239"/>
      <c r="C374" s="233"/>
      <c r="D374" s="139"/>
      <c r="E374" s="347">
        <f t="shared" si="392"/>
        <v>0</v>
      </c>
      <c r="F374" s="347"/>
      <c r="G374" s="347">
        <f t="shared" si="393"/>
        <v>0</v>
      </c>
      <c r="H374" s="347">
        <f t="shared" si="394"/>
        <v>0</v>
      </c>
      <c r="I374" s="347">
        <f t="shared" si="395"/>
        <v>0</v>
      </c>
      <c r="J374" s="347"/>
      <c r="K374" s="369">
        <f t="shared" si="396"/>
        <v>0</v>
      </c>
      <c r="L374" s="351"/>
      <c r="M374" s="346">
        <f t="shared" si="397"/>
        <v>0</v>
      </c>
      <c r="N374" s="347">
        <f t="shared" si="398"/>
        <v>0</v>
      </c>
      <c r="O374" s="347">
        <f t="shared" si="399"/>
        <v>0</v>
      </c>
      <c r="P374" s="347">
        <f t="shared" si="400"/>
        <v>0</v>
      </c>
      <c r="Q374" s="347">
        <f t="shared" si="401"/>
        <v>0</v>
      </c>
      <c r="R374" s="347">
        <f t="shared" si="402"/>
        <v>0</v>
      </c>
      <c r="S374" s="347">
        <f t="shared" si="403"/>
        <v>0</v>
      </c>
      <c r="T374" s="347">
        <f t="shared" si="404"/>
        <v>0</v>
      </c>
      <c r="U374" s="347" t="e">
        <f t="shared" si="405"/>
        <v>#REF!</v>
      </c>
      <c r="V374" s="348">
        <f t="shared" si="406"/>
        <v>0</v>
      </c>
    </row>
    <row r="375" spans="1:22" x14ac:dyDescent="0.3">
      <c r="A375" s="1018" t="s">
        <v>264</v>
      </c>
      <c r="B375" s="256">
        <v>1</v>
      </c>
      <c r="C375" s="257">
        <v>650</v>
      </c>
      <c r="D375" s="258"/>
      <c r="E375" s="245">
        <f t="shared" si="392"/>
        <v>54.144999999999996</v>
      </c>
      <c r="F375" s="245">
        <f t="shared" ref="F375:F433" si="407">(394/12)</f>
        <v>32.833333333333336</v>
      </c>
      <c r="G375" s="245">
        <f t="shared" si="393"/>
        <v>54.166666666666664</v>
      </c>
      <c r="H375" s="245">
        <f t="shared" si="394"/>
        <v>72.474999999999994</v>
      </c>
      <c r="I375" s="245">
        <f t="shared" si="395"/>
        <v>863.62</v>
      </c>
      <c r="J375" s="245"/>
      <c r="K375" s="362">
        <f t="shared" si="396"/>
        <v>863.62</v>
      </c>
      <c r="L375" s="351"/>
      <c r="M375" s="366">
        <f t="shared" si="397"/>
        <v>10.971247088714799</v>
      </c>
      <c r="N375" s="245">
        <f t="shared" si="398"/>
        <v>31.794674063095485</v>
      </c>
      <c r="O375" s="245">
        <f t="shared" si="399"/>
        <v>39.522864397374548</v>
      </c>
      <c r="P375" s="245">
        <f t="shared" si="400"/>
        <v>57.434026406271954</v>
      </c>
      <c r="Q375" s="245">
        <f t="shared" si="401"/>
        <v>62.547002801547016</v>
      </c>
      <c r="R375" s="245">
        <f t="shared" si="402"/>
        <v>78.462145208255109</v>
      </c>
      <c r="S375" s="245">
        <f t="shared" si="403"/>
        <v>82.469042554545851</v>
      </c>
      <c r="T375" s="245">
        <f t="shared" si="404"/>
        <v>97.673118060929767</v>
      </c>
      <c r="U375" s="245" t="e">
        <f t="shared" si="405"/>
        <v>#REF!</v>
      </c>
      <c r="V375" s="246">
        <f t="shared" si="406"/>
        <v>0</v>
      </c>
    </row>
    <row r="376" spans="1:22" x14ac:dyDescent="0.3">
      <c r="A376" s="1019"/>
      <c r="B376" s="252">
        <v>1</v>
      </c>
      <c r="C376" s="253">
        <v>900</v>
      </c>
      <c r="D376" s="254"/>
      <c r="E376" s="249">
        <f t="shared" si="392"/>
        <v>74.97</v>
      </c>
      <c r="F376" s="249">
        <f t="shared" si="407"/>
        <v>32.833333333333336</v>
      </c>
      <c r="G376" s="249">
        <f t="shared" si="393"/>
        <v>75</v>
      </c>
      <c r="H376" s="249">
        <f t="shared" si="394"/>
        <v>100.35000000000001</v>
      </c>
      <c r="I376" s="249">
        <f t="shared" si="395"/>
        <v>1183.1533333333332</v>
      </c>
      <c r="J376" s="249"/>
      <c r="K376" s="368">
        <f t="shared" si="396"/>
        <v>1183.1533333333332</v>
      </c>
      <c r="L376" s="351"/>
      <c r="M376" s="345">
        <f t="shared" si="397"/>
        <v>15.030531441880157</v>
      </c>
      <c r="N376" s="249">
        <f t="shared" si="398"/>
        <v>43.558480118568703</v>
      </c>
      <c r="O376" s="249">
        <f t="shared" si="399"/>
        <v>54.146046588354849</v>
      </c>
      <c r="P376" s="249">
        <f t="shared" si="400"/>
        <v>78.684212720102977</v>
      </c>
      <c r="Q376" s="249">
        <f t="shared" si="401"/>
        <v>85.688954464532642</v>
      </c>
      <c r="R376" s="249">
        <f t="shared" si="402"/>
        <v>107.49258776270935</v>
      </c>
      <c r="S376" s="249">
        <f t="shared" si="403"/>
        <v>112.9820089798979</v>
      </c>
      <c r="T376" s="249">
        <f t="shared" si="404"/>
        <v>133.81148561965824</v>
      </c>
      <c r="U376" s="249" t="e">
        <f t="shared" si="405"/>
        <v>#REF!</v>
      </c>
      <c r="V376" s="251">
        <f t="shared" si="406"/>
        <v>0</v>
      </c>
    </row>
    <row r="377" spans="1:22" x14ac:dyDescent="0.3">
      <c r="A377" s="1019"/>
      <c r="B377" s="252">
        <v>1</v>
      </c>
      <c r="C377" s="253">
        <v>1000</v>
      </c>
      <c r="D377" s="254"/>
      <c r="E377" s="249">
        <f t="shared" si="392"/>
        <v>83.3</v>
      </c>
      <c r="F377" s="249">
        <f t="shared" si="407"/>
        <v>32.833333333333336</v>
      </c>
      <c r="G377" s="249">
        <f t="shared" si="393"/>
        <v>83.333333333333329</v>
      </c>
      <c r="H377" s="249">
        <f t="shared" si="394"/>
        <v>111.5</v>
      </c>
      <c r="I377" s="249">
        <f t="shared" si="395"/>
        <v>1310.9666666666665</v>
      </c>
      <c r="J377" s="249"/>
      <c r="K377" s="368">
        <f t="shared" si="396"/>
        <v>1310.9666666666665</v>
      </c>
      <c r="L377" s="351"/>
      <c r="M377" s="345">
        <f t="shared" si="397"/>
        <v>16.654245183146301</v>
      </c>
      <c r="N377" s="249">
        <f t="shared" si="398"/>
        <v>48.264002540757986</v>
      </c>
      <c r="O377" s="249">
        <f t="shared" si="399"/>
        <v>59.99531946474697</v>
      </c>
      <c r="P377" s="249">
        <f t="shared" si="400"/>
        <v>87.184287245635389</v>
      </c>
      <c r="Q377" s="249">
        <f t="shared" si="401"/>
        <v>94.945735129726884</v>
      </c>
      <c r="R377" s="249">
        <f t="shared" si="402"/>
        <v>119.10476478449104</v>
      </c>
      <c r="S377" s="249">
        <f t="shared" si="403"/>
        <v>125.18719555003872</v>
      </c>
      <c r="T377" s="249">
        <f t="shared" si="404"/>
        <v>148.26683264314963</v>
      </c>
      <c r="U377" s="249" t="e">
        <f t="shared" si="405"/>
        <v>#REF!</v>
      </c>
      <c r="V377" s="251">
        <f t="shared" si="406"/>
        <v>0</v>
      </c>
    </row>
    <row r="378" spans="1:22" x14ac:dyDescent="0.3">
      <c r="A378" s="1019"/>
      <c r="B378" s="252">
        <v>1</v>
      </c>
      <c r="C378" s="253">
        <v>820</v>
      </c>
      <c r="D378" s="254"/>
      <c r="E378" s="249">
        <f t="shared" si="392"/>
        <v>68.305999999999997</v>
      </c>
      <c r="F378" s="249">
        <f t="shared" si="407"/>
        <v>32.833333333333336</v>
      </c>
      <c r="G378" s="249">
        <f t="shared" si="393"/>
        <v>68.333333333333329</v>
      </c>
      <c r="H378" s="249">
        <f t="shared" si="394"/>
        <v>91.43</v>
      </c>
      <c r="I378" s="249">
        <f t="shared" si="395"/>
        <v>1080.9026666666668</v>
      </c>
      <c r="J378" s="249"/>
      <c r="K378" s="368">
        <f t="shared" si="396"/>
        <v>1080.9026666666668</v>
      </c>
      <c r="L378" s="351"/>
      <c r="M378" s="345">
        <f t="shared" si="397"/>
        <v>13.731560448867246</v>
      </c>
      <c r="N378" s="249">
        <f t="shared" si="398"/>
        <v>39.794062180817278</v>
      </c>
      <c r="O378" s="249">
        <f t="shared" si="399"/>
        <v>49.466628287241164</v>
      </c>
      <c r="P378" s="249">
        <f t="shared" si="400"/>
        <v>71.884153099677064</v>
      </c>
      <c r="Q378" s="249">
        <f t="shared" si="401"/>
        <v>78.283529932377263</v>
      </c>
      <c r="R378" s="249">
        <f t="shared" si="402"/>
        <v>98.202846145284013</v>
      </c>
      <c r="S378" s="249">
        <f t="shared" si="403"/>
        <v>103.21785972378527</v>
      </c>
      <c r="T378" s="249">
        <f t="shared" si="404"/>
        <v>122.24720800086516</v>
      </c>
      <c r="U378" s="249" t="e">
        <f t="shared" si="405"/>
        <v>#REF!</v>
      </c>
      <c r="V378" s="251">
        <f t="shared" si="406"/>
        <v>0</v>
      </c>
    </row>
    <row r="379" spans="1:22" x14ac:dyDescent="0.3">
      <c r="A379" s="1019"/>
      <c r="B379" s="252">
        <v>1</v>
      </c>
      <c r="C379" s="253">
        <v>700</v>
      </c>
      <c r="D379" s="254"/>
      <c r="E379" s="249">
        <f t="shared" si="392"/>
        <v>58.31</v>
      </c>
      <c r="F379" s="249">
        <f t="shared" si="407"/>
        <v>32.833333333333336</v>
      </c>
      <c r="G379" s="249">
        <f t="shared" si="393"/>
        <v>58.333333333333336</v>
      </c>
      <c r="H379" s="249">
        <f t="shared" si="394"/>
        <v>78.05</v>
      </c>
      <c r="I379" s="249">
        <f t="shared" si="395"/>
        <v>927.52666666666664</v>
      </c>
      <c r="J379" s="249"/>
      <c r="K379" s="368">
        <f t="shared" si="396"/>
        <v>927.52666666666664</v>
      </c>
      <c r="L379" s="351"/>
      <c r="M379" s="345">
        <f t="shared" si="397"/>
        <v>11.783103959347873</v>
      </c>
      <c r="N379" s="249">
        <f t="shared" si="398"/>
        <v>34.14743527419013</v>
      </c>
      <c r="O379" s="249">
        <f t="shared" si="399"/>
        <v>42.447500835570615</v>
      </c>
      <c r="P379" s="249">
        <f t="shared" si="400"/>
        <v>61.68406366903816</v>
      </c>
      <c r="Q379" s="249">
        <f t="shared" si="401"/>
        <v>67.175393134144144</v>
      </c>
      <c r="R379" s="249">
        <f t="shared" si="402"/>
        <v>84.268233719145968</v>
      </c>
      <c r="S379" s="249">
        <f t="shared" si="403"/>
        <v>88.571635839616278</v>
      </c>
      <c r="T379" s="249">
        <f t="shared" si="404"/>
        <v>104.90079157267549</v>
      </c>
      <c r="U379" s="249" t="e">
        <f t="shared" si="405"/>
        <v>#REF!</v>
      </c>
      <c r="V379" s="251">
        <f t="shared" si="406"/>
        <v>0</v>
      </c>
    </row>
    <row r="380" spans="1:22" x14ac:dyDescent="0.3">
      <c r="A380" s="1019"/>
      <c r="B380" s="252">
        <v>1</v>
      </c>
      <c r="C380" s="253">
        <v>820</v>
      </c>
      <c r="D380" s="254"/>
      <c r="E380" s="249">
        <f t="shared" si="392"/>
        <v>68.305999999999997</v>
      </c>
      <c r="F380" s="249">
        <f t="shared" si="407"/>
        <v>32.833333333333336</v>
      </c>
      <c r="G380" s="249">
        <f t="shared" si="393"/>
        <v>68.333333333333329</v>
      </c>
      <c r="H380" s="249">
        <f t="shared" si="394"/>
        <v>91.43</v>
      </c>
      <c r="I380" s="249">
        <f t="shared" si="395"/>
        <v>1080.9026666666668</v>
      </c>
      <c r="J380" s="249"/>
      <c r="K380" s="368">
        <f t="shared" si="396"/>
        <v>1080.9026666666668</v>
      </c>
      <c r="L380" s="351"/>
      <c r="M380" s="345">
        <f t="shared" si="397"/>
        <v>13.731560448867246</v>
      </c>
      <c r="N380" s="249">
        <f t="shared" si="398"/>
        <v>39.794062180817278</v>
      </c>
      <c r="O380" s="249">
        <f t="shared" si="399"/>
        <v>49.466628287241164</v>
      </c>
      <c r="P380" s="249">
        <f t="shared" si="400"/>
        <v>71.884153099677064</v>
      </c>
      <c r="Q380" s="249">
        <f t="shared" si="401"/>
        <v>78.283529932377263</v>
      </c>
      <c r="R380" s="249">
        <f t="shared" si="402"/>
        <v>98.202846145284013</v>
      </c>
      <c r="S380" s="249">
        <f t="shared" si="403"/>
        <v>103.21785972378527</v>
      </c>
      <c r="T380" s="249">
        <f t="shared" si="404"/>
        <v>122.24720800086516</v>
      </c>
      <c r="U380" s="249" t="e">
        <f t="shared" si="405"/>
        <v>#REF!</v>
      </c>
      <c r="V380" s="251">
        <f t="shared" si="406"/>
        <v>0</v>
      </c>
    </row>
    <row r="381" spans="1:22" x14ac:dyDescent="0.3">
      <c r="A381" s="1019"/>
      <c r="B381" s="252">
        <v>1</v>
      </c>
      <c r="C381" s="253">
        <v>1850</v>
      </c>
      <c r="D381" s="254"/>
      <c r="E381" s="249">
        <f t="shared" si="392"/>
        <v>154.10499999999999</v>
      </c>
      <c r="F381" s="249">
        <f t="shared" si="407"/>
        <v>32.833333333333336</v>
      </c>
      <c r="G381" s="249">
        <f t="shared" si="393"/>
        <v>154.16666666666666</v>
      </c>
      <c r="H381" s="249">
        <f t="shared" si="394"/>
        <v>206.27500000000001</v>
      </c>
      <c r="I381" s="249">
        <f t="shared" si="395"/>
        <v>2397.38</v>
      </c>
      <c r="J381" s="249"/>
      <c r="K381" s="368">
        <f t="shared" si="396"/>
        <v>2397.38</v>
      </c>
      <c r="L381" s="351"/>
      <c r="M381" s="345">
        <f t="shared" si="397"/>
        <v>30.455811983908532</v>
      </c>
      <c r="N381" s="249">
        <f t="shared" si="398"/>
        <v>88.260943129366922</v>
      </c>
      <c r="O381" s="249">
        <f t="shared" si="399"/>
        <v>109.71413891408002</v>
      </c>
      <c r="P381" s="249">
        <f t="shared" si="400"/>
        <v>159.43492071266095</v>
      </c>
      <c r="Q381" s="249">
        <f t="shared" si="401"/>
        <v>173.62837078387807</v>
      </c>
      <c r="R381" s="249">
        <f t="shared" si="402"/>
        <v>217.80826946963555</v>
      </c>
      <c r="S381" s="249">
        <f t="shared" si="403"/>
        <v>228.93128139623582</v>
      </c>
      <c r="T381" s="249">
        <f t="shared" si="404"/>
        <v>271.1372823428265</v>
      </c>
      <c r="U381" s="249" t="e">
        <f t="shared" si="405"/>
        <v>#REF!</v>
      </c>
      <c r="V381" s="251">
        <f t="shared" si="406"/>
        <v>0</v>
      </c>
    </row>
    <row r="382" spans="1:22" x14ac:dyDescent="0.3">
      <c r="A382" s="1019"/>
      <c r="B382" s="252">
        <v>1</v>
      </c>
      <c r="C382" s="521">
        <v>500</v>
      </c>
      <c r="D382" s="254"/>
      <c r="E382" s="249">
        <f t="shared" si="392"/>
        <v>41.65</v>
      </c>
      <c r="F382" s="249">
        <f t="shared" si="407"/>
        <v>32.833333333333336</v>
      </c>
      <c r="G382" s="249">
        <f t="shared" si="393"/>
        <v>41.666666666666664</v>
      </c>
      <c r="H382" s="249">
        <f t="shared" si="394"/>
        <v>55.75</v>
      </c>
      <c r="I382" s="249">
        <f t="shared" si="395"/>
        <v>671.9</v>
      </c>
      <c r="J382" s="249"/>
      <c r="K382" s="368">
        <f t="shared" si="396"/>
        <v>671.9</v>
      </c>
      <c r="L382" s="351"/>
      <c r="M382" s="345">
        <f t="shared" si="397"/>
        <v>8.5356764768155831</v>
      </c>
      <c r="N382" s="249">
        <f t="shared" si="398"/>
        <v>24.736390429811564</v>
      </c>
      <c r="O382" s="249">
        <f t="shared" si="399"/>
        <v>30.748955082786367</v>
      </c>
      <c r="P382" s="249">
        <f t="shared" si="400"/>
        <v>44.683914617973329</v>
      </c>
      <c r="Q382" s="249">
        <f t="shared" si="401"/>
        <v>48.661831803755632</v>
      </c>
      <c r="R382" s="249">
        <f t="shared" si="402"/>
        <v>61.043879675582559</v>
      </c>
      <c r="S382" s="249">
        <f t="shared" si="403"/>
        <v>64.161262699334614</v>
      </c>
      <c r="T382" s="249">
        <f t="shared" si="404"/>
        <v>75.99009752569269</v>
      </c>
      <c r="U382" s="249" t="e">
        <f t="shared" si="405"/>
        <v>#REF!</v>
      </c>
      <c r="V382" s="251">
        <f t="shared" si="406"/>
        <v>0</v>
      </c>
    </row>
    <row r="383" spans="1:22" x14ac:dyDescent="0.3">
      <c r="A383" s="1019"/>
      <c r="B383" s="252">
        <v>1</v>
      </c>
      <c r="C383" s="253">
        <v>700</v>
      </c>
      <c r="D383" s="254"/>
      <c r="E383" s="249">
        <f t="shared" si="392"/>
        <v>58.31</v>
      </c>
      <c r="F383" s="249">
        <f t="shared" si="407"/>
        <v>32.833333333333336</v>
      </c>
      <c r="G383" s="249">
        <f t="shared" si="393"/>
        <v>58.333333333333336</v>
      </c>
      <c r="H383" s="249">
        <f t="shared" si="394"/>
        <v>78.05</v>
      </c>
      <c r="I383" s="249">
        <f t="shared" si="395"/>
        <v>927.52666666666664</v>
      </c>
      <c r="J383" s="249"/>
      <c r="K383" s="368">
        <f t="shared" si="396"/>
        <v>927.52666666666664</v>
      </c>
      <c r="L383" s="351"/>
      <c r="M383" s="345">
        <f t="shared" si="397"/>
        <v>11.783103959347873</v>
      </c>
      <c r="N383" s="249">
        <f t="shared" si="398"/>
        <v>34.14743527419013</v>
      </c>
      <c r="O383" s="249">
        <f t="shared" si="399"/>
        <v>42.447500835570615</v>
      </c>
      <c r="P383" s="249">
        <f t="shared" si="400"/>
        <v>61.68406366903816</v>
      </c>
      <c r="Q383" s="249">
        <f t="shared" si="401"/>
        <v>67.175393134144144</v>
      </c>
      <c r="R383" s="249">
        <f t="shared" si="402"/>
        <v>84.268233719145968</v>
      </c>
      <c r="S383" s="249">
        <f t="shared" si="403"/>
        <v>88.571635839616278</v>
      </c>
      <c r="T383" s="249">
        <f t="shared" si="404"/>
        <v>104.90079157267549</v>
      </c>
      <c r="U383" s="249" t="e">
        <f t="shared" si="405"/>
        <v>#REF!</v>
      </c>
      <c r="V383" s="251">
        <f t="shared" si="406"/>
        <v>0</v>
      </c>
    </row>
    <row r="384" spans="1:22" x14ac:dyDescent="0.3">
      <c r="A384" s="1019"/>
      <c r="B384" s="252">
        <v>1</v>
      </c>
      <c r="C384" s="253">
        <v>900</v>
      </c>
      <c r="D384" s="254"/>
      <c r="E384" s="249">
        <f t="shared" si="392"/>
        <v>74.97</v>
      </c>
      <c r="F384" s="249">
        <f t="shared" si="407"/>
        <v>32.833333333333336</v>
      </c>
      <c r="G384" s="249">
        <f t="shared" si="393"/>
        <v>75</v>
      </c>
      <c r="H384" s="249">
        <f t="shared" si="394"/>
        <v>100.35000000000001</v>
      </c>
      <c r="I384" s="249">
        <f t="shared" si="395"/>
        <v>1183.1533333333332</v>
      </c>
      <c r="J384" s="249"/>
      <c r="K384" s="368">
        <f t="shared" si="396"/>
        <v>1183.1533333333332</v>
      </c>
      <c r="L384" s="351"/>
      <c r="M384" s="345">
        <f t="shared" si="397"/>
        <v>15.030531441880157</v>
      </c>
      <c r="N384" s="249">
        <f t="shared" si="398"/>
        <v>43.558480118568703</v>
      </c>
      <c r="O384" s="249">
        <f t="shared" si="399"/>
        <v>54.146046588354849</v>
      </c>
      <c r="P384" s="249">
        <f t="shared" si="400"/>
        <v>78.684212720102977</v>
      </c>
      <c r="Q384" s="249">
        <f t="shared" si="401"/>
        <v>85.688954464532642</v>
      </c>
      <c r="R384" s="249">
        <f t="shared" si="402"/>
        <v>107.49258776270935</v>
      </c>
      <c r="S384" s="249">
        <f t="shared" si="403"/>
        <v>112.9820089798979</v>
      </c>
      <c r="T384" s="249">
        <f t="shared" si="404"/>
        <v>133.81148561965824</v>
      </c>
      <c r="U384" s="249" t="e">
        <f t="shared" si="405"/>
        <v>#REF!</v>
      </c>
      <c r="V384" s="251">
        <f t="shared" si="406"/>
        <v>0</v>
      </c>
    </row>
    <row r="385" spans="1:22" x14ac:dyDescent="0.3">
      <c r="A385" s="1019"/>
      <c r="B385" s="252">
        <v>1</v>
      </c>
      <c r="C385" s="253">
        <v>900</v>
      </c>
      <c r="D385" s="254"/>
      <c r="E385" s="249">
        <f t="shared" si="392"/>
        <v>74.97</v>
      </c>
      <c r="F385" s="249">
        <f t="shared" si="407"/>
        <v>32.833333333333336</v>
      </c>
      <c r="G385" s="249">
        <f t="shared" si="393"/>
        <v>75</v>
      </c>
      <c r="H385" s="249">
        <f t="shared" si="394"/>
        <v>100.35000000000001</v>
      </c>
      <c r="I385" s="249">
        <f t="shared" si="395"/>
        <v>1183.1533333333332</v>
      </c>
      <c r="J385" s="249"/>
      <c r="K385" s="368">
        <f t="shared" si="396"/>
        <v>1183.1533333333332</v>
      </c>
      <c r="L385" s="351"/>
      <c r="M385" s="345">
        <f t="shared" si="397"/>
        <v>15.030531441880157</v>
      </c>
      <c r="N385" s="249">
        <f t="shared" si="398"/>
        <v>43.558480118568703</v>
      </c>
      <c r="O385" s="249">
        <f t="shared" si="399"/>
        <v>54.146046588354849</v>
      </c>
      <c r="P385" s="249">
        <f t="shared" si="400"/>
        <v>78.684212720102977</v>
      </c>
      <c r="Q385" s="249">
        <f t="shared" si="401"/>
        <v>85.688954464532642</v>
      </c>
      <c r="R385" s="249">
        <f t="shared" si="402"/>
        <v>107.49258776270935</v>
      </c>
      <c r="S385" s="249">
        <f t="shared" si="403"/>
        <v>112.9820089798979</v>
      </c>
      <c r="T385" s="249">
        <f t="shared" si="404"/>
        <v>133.81148561965824</v>
      </c>
      <c r="U385" s="249" t="e">
        <f t="shared" si="405"/>
        <v>#REF!</v>
      </c>
      <c r="V385" s="251">
        <f t="shared" si="406"/>
        <v>0</v>
      </c>
    </row>
    <row r="386" spans="1:22" x14ac:dyDescent="0.3">
      <c r="A386" s="1019"/>
      <c r="B386" s="252">
        <v>1</v>
      </c>
      <c r="C386" s="253">
        <v>1000</v>
      </c>
      <c r="D386" s="254"/>
      <c r="E386" s="249">
        <f t="shared" si="392"/>
        <v>83.3</v>
      </c>
      <c r="F386" s="249">
        <f t="shared" si="407"/>
        <v>32.833333333333336</v>
      </c>
      <c r="G386" s="249">
        <f t="shared" si="393"/>
        <v>83.333333333333329</v>
      </c>
      <c r="H386" s="249">
        <f t="shared" si="394"/>
        <v>111.5</v>
      </c>
      <c r="I386" s="249">
        <f t="shared" si="395"/>
        <v>1310.9666666666665</v>
      </c>
      <c r="J386" s="249"/>
      <c r="K386" s="368">
        <f t="shared" si="396"/>
        <v>1310.9666666666665</v>
      </c>
      <c r="L386" s="351"/>
      <c r="M386" s="345">
        <f t="shared" si="397"/>
        <v>16.654245183146301</v>
      </c>
      <c r="N386" s="249">
        <f t="shared" si="398"/>
        <v>48.264002540757986</v>
      </c>
      <c r="O386" s="249">
        <f t="shared" si="399"/>
        <v>59.99531946474697</v>
      </c>
      <c r="P386" s="249">
        <f t="shared" si="400"/>
        <v>87.184287245635389</v>
      </c>
      <c r="Q386" s="249">
        <f t="shared" si="401"/>
        <v>94.945735129726884</v>
      </c>
      <c r="R386" s="249">
        <f t="shared" si="402"/>
        <v>119.10476478449104</v>
      </c>
      <c r="S386" s="249">
        <f t="shared" si="403"/>
        <v>125.18719555003872</v>
      </c>
      <c r="T386" s="249">
        <f t="shared" si="404"/>
        <v>148.26683264314963</v>
      </c>
      <c r="U386" s="249" t="e">
        <f t="shared" si="405"/>
        <v>#REF!</v>
      </c>
      <c r="V386" s="251">
        <f t="shared" si="406"/>
        <v>0</v>
      </c>
    </row>
    <row r="387" spans="1:22" x14ac:dyDescent="0.3">
      <c r="A387" s="1019"/>
      <c r="B387" s="252"/>
      <c r="C387" s="253"/>
      <c r="D387" s="254"/>
      <c r="E387" s="249">
        <f t="shared" si="392"/>
        <v>0</v>
      </c>
      <c r="F387" s="249"/>
      <c r="G387" s="249">
        <f t="shared" si="393"/>
        <v>0</v>
      </c>
      <c r="H387" s="249">
        <f t="shared" si="394"/>
        <v>0</v>
      </c>
      <c r="I387" s="249">
        <f t="shared" si="395"/>
        <v>0</v>
      </c>
      <c r="J387" s="249"/>
      <c r="K387" s="368">
        <f t="shared" si="396"/>
        <v>0</v>
      </c>
      <c r="L387" s="351"/>
      <c r="M387" s="345">
        <f t="shared" si="397"/>
        <v>0</v>
      </c>
      <c r="N387" s="249">
        <f t="shared" si="398"/>
        <v>0</v>
      </c>
      <c r="O387" s="249">
        <f t="shared" si="399"/>
        <v>0</v>
      </c>
      <c r="P387" s="249">
        <f t="shared" si="400"/>
        <v>0</v>
      </c>
      <c r="Q387" s="249">
        <f t="shared" si="401"/>
        <v>0</v>
      </c>
      <c r="R387" s="249">
        <f t="shared" si="402"/>
        <v>0</v>
      </c>
      <c r="S387" s="249">
        <f t="shared" si="403"/>
        <v>0</v>
      </c>
      <c r="T387" s="249">
        <f t="shared" si="404"/>
        <v>0</v>
      </c>
      <c r="U387" s="249" t="e">
        <f t="shared" si="405"/>
        <v>#REF!</v>
      </c>
      <c r="V387" s="251">
        <f t="shared" si="406"/>
        <v>0</v>
      </c>
    </row>
    <row r="388" spans="1:22" x14ac:dyDescent="0.3">
      <c r="A388" s="1019"/>
      <c r="B388" s="252"/>
      <c r="C388" s="253"/>
      <c r="D388" s="254"/>
      <c r="E388" s="249">
        <f t="shared" si="392"/>
        <v>0</v>
      </c>
      <c r="F388" s="249"/>
      <c r="G388" s="249">
        <f t="shared" si="393"/>
        <v>0</v>
      </c>
      <c r="H388" s="249">
        <f t="shared" si="394"/>
        <v>0</v>
      </c>
      <c r="I388" s="249">
        <f t="shared" si="395"/>
        <v>0</v>
      </c>
      <c r="J388" s="249"/>
      <c r="K388" s="368">
        <f t="shared" si="396"/>
        <v>0</v>
      </c>
      <c r="L388" s="351"/>
      <c r="M388" s="345">
        <f t="shared" si="397"/>
        <v>0</v>
      </c>
      <c r="N388" s="249">
        <f t="shared" si="398"/>
        <v>0</v>
      </c>
      <c r="O388" s="249">
        <f t="shared" si="399"/>
        <v>0</v>
      </c>
      <c r="P388" s="249">
        <f t="shared" si="400"/>
        <v>0</v>
      </c>
      <c r="Q388" s="249">
        <f t="shared" si="401"/>
        <v>0</v>
      </c>
      <c r="R388" s="249">
        <f t="shared" si="402"/>
        <v>0</v>
      </c>
      <c r="S388" s="249">
        <f t="shared" si="403"/>
        <v>0</v>
      </c>
      <c r="T388" s="249">
        <f t="shared" si="404"/>
        <v>0</v>
      </c>
      <c r="U388" s="249" t="e">
        <f t="shared" si="405"/>
        <v>#REF!</v>
      </c>
      <c r="V388" s="251">
        <f t="shared" si="406"/>
        <v>0</v>
      </c>
    </row>
    <row r="389" spans="1:22" ht="10.8" thickBot="1" x14ac:dyDescent="0.35">
      <c r="A389" s="1020"/>
      <c r="B389" s="239"/>
      <c r="C389" s="233"/>
      <c r="D389" s="139"/>
      <c r="E389" s="347">
        <f t="shared" si="392"/>
        <v>0</v>
      </c>
      <c r="F389" s="347"/>
      <c r="G389" s="347">
        <f t="shared" si="393"/>
        <v>0</v>
      </c>
      <c r="H389" s="347">
        <f t="shared" si="394"/>
        <v>0</v>
      </c>
      <c r="I389" s="347">
        <f t="shared" si="395"/>
        <v>0</v>
      </c>
      <c r="J389" s="347"/>
      <c r="K389" s="369">
        <f t="shared" si="396"/>
        <v>0</v>
      </c>
      <c r="L389" s="351"/>
      <c r="M389" s="346">
        <f t="shared" si="397"/>
        <v>0</v>
      </c>
      <c r="N389" s="347">
        <f t="shared" si="398"/>
        <v>0</v>
      </c>
      <c r="O389" s="347">
        <f t="shared" si="399"/>
        <v>0</v>
      </c>
      <c r="P389" s="347">
        <f t="shared" si="400"/>
        <v>0</v>
      </c>
      <c r="Q389" s="347">
        <f t="shared" si="401"/>
        <v>0</v>
      </c>
      <c r="R389" s="347">
        <f t="shared" si="402"/>
        <v>0</v>
      </c>
      <c r="S389" s="347">
        <f t="shared" si="403"/>
        <v>0</v>
      </c>
      <c r="T389" s="347">
        <f t="shared" si="404"/>
        <v>0</v>
      </c>
      <c r="U389" s="347" t="e">
        <f t="shared" si="405"/>
        <v>#REF!</v>
      </c>
      <c r="V389" s="348">
        <f t="shared" si="406"/>
        <v>0</v>
      </c>
    </row>
    <row r="390" spans="1:22" x14ac:dyDescent="0.3">
      <c r="A390" s="1027" t="s">
        <v>265</v>
      </c>
      <c r="B390" s="256">
        <v>1</v>
      </c>
      <c r="C390" s="257">
        <v>700</v>
      </c>
      <c r="D390" s="258"/>
      <c r="E390" s="245">
        <f t="shared" si="392"/>
        <v>58.31</v>
      </c>
      <c r="F390" s="245">
        <f t="shared" si="407"/>
        <v>32.833333333333336</v>
      </c>
      <c r="G390" s="245">
        <f t="shared" si="393"/>
        <v>58.333333333333336</v>
      </c>
      <c r="H390" s="245">
        <f t="shared" si="394"/>
        <v>78.05</v>
      </c>
      <c r="I390" s="245">
        <f t="shared" si="395"/>
        <v>927.52666666666664</v>
      </c>
      <c r="J390" s="245"/>
      <c r="K390" s="362">
        <f t="shared" si="396"/>
        <v>927.52666666666664</v>
      </c>
      <c r="L390" s="351"/>
      <c r="M390" s="366">
        <f t="shared" si="397"/>
        <v>11.783103959347873</v>
      </c>
      <c r="N390" s="245">
        <f t="shared" si="398"/>
        <v>34.14743527419013</v>
      </c>
      <c r="O390" s="245">
        <f t="shared" si="399"/>
        <v>42.447500835570615</v>
      </c>
      <c r="P390" s="245">
        <f t="shared" si="400"/>
        <v>61.68406366903816</v>
      </c>
      <c r="Q390" s="245">
        <f t="shared" si="401"/>
        <v>67.175393134144144</v>
      </c>
      <c r="R390" s="245">
        <f t="shared" si="402"/>
        <v>84.268233719145968</v>
      </c>
      <c r="S390" s="245">
        <f t="shared" si="403"/>
        <v>88.571635839616278</v>
      </c>
      <c r="T390" s="245">
        <f t="shared" si="404"/>
        <v>104.90079157267549</v>
      </c>
      <c r="U390" s="245" t="e">
        <f t="shared" si="405"/>
        <v>#REF!</v>
      </c>
      <c r="V390" s="246">
        <f t="shared" si="406"/>
        <v>0</v>
      </c>
    </row>
    <row r="391" spans="1:22" x14ac:dyDescent="0.3">
      <c r="A391" s="1028"/>
      <c r="B391" s="252">
        <v>1</v>
      </c>
      <c r="C391" s="253">
        <v>800</v>
      </c>
      <c r="D391" s="254"/>
      <c r="E391" s="249">
        <f t="shared" si="392"/>
        <v>66.64</v>
      </c>
      <c r="F391" s="249">
        <f t="shared" si="407"/>
        <v>32.833333333333336</v>
      </c>
      <c r="G391" s="249">
        <f t="shared" si="393"/>
        <v>66.666666666666671</v>
      </c>
      <c r="H391" s="249">
        <f t="shared" si="394"/>
        <v>89.2</v>
      </c>
      <c r="I391" s="249">
        <f t="shared" si="395"/>
        <v>1055.3399999999999</v>
      </c>
      <c r="J391" s="249"/>
      <c r="K391" s="368">
        <f t="shared" si="396"/>
        <v>1055.3399999999999</v>
      </c>
      <c r="L391" s="351"/>
      <c r="M391" s="345">
        <f t="shared" si="397"/>
        <v>13.406817700614017</v>
      </c>
      <c r="N391" s="249">
        <f t="shared" si="398"/>
        <v>38.85295769637942</v>
      </c>
      <c r="O391" s="249">
        <f t="shared" si="399"/>
        <v>48.296773711962729</v>
      </c>
      <c r="P391" s="249">
        <f t="shared" si="400"/>
        <v>70.184138194570565</v>
      </c>
      <c r="Q391" s="249">
        <f t="shared" si="401"/>
        <v>76.432173799338386</v>
      </c>
      <c r="R391" s="249">
        <f t="shared" si="402"/>
        <v>95.880410740927658</v>
      </c>
      <c r="S391" s="249">
        <f t="shared" si="403"/>
        <v>100.77682240975707</v>
      </c>
      <c r="T391" s="249">
        <f t="shared" si="404"/>
        <v>119.35613859616686</v>
      </c>
      <c r="U391" s="249" t="e">
        <f t="shared" si="405"/>
        <v>#REF!</v>
      </c>
      <c r="V391" s="251">
        <f t="shared" si="406"/>
        <v>0</v>
      </c>
    </row>
    <row r="392" spans="1:22" x14ac:dyDescent="0.3">
      <c r="A392" s="1028"/>
      <c r="B392" s="252">
        <v>1</v>
      </c>
      <c r="C392" s="253">
        <v>800</v>
      </c>
      <c r="D392" s="254"/>
      <c r="E392" s="249">
        <f t="shared" si="392"/>
        <v>66.64</v>
      </c>
      <c r="F392" s="249">
        <f t="shared" si="407"/>
        <v>32.833333333333336</v>
      </c>
      <c r="G392" s="249">
        <f t="shared" si="393"/>
        <v>66.666666666666671</v>
      </c>
      <c r="H392" s="249">
        <f t="shared" si="394"/>
        <v>89.2</v>
      </c>
      <c r="I392" s="249">
        <f t="shared" si="395"/>
        <v>1055.3399999999999</v>
      </c>
      <c r="J392" s="249"/>
      <c r="K392" s="368">
        <f t="shared" si="396"/>
        <v>1055.3399999999999</v>
      </c>
      <c r="L392" s="351"/>
      <c r="M392" s="345">
        <f t="shared" si="397"/>
        <v>13.406817700614017</v>
      </c>
      <c r="N392" s="249">
        <f t="shared" si="398"/>
        <v>38.85295769637942</v>
      </c>
      <c r="O392" s="249">
        <f t="shared" si="399"/>
        <v>48.296773711962729</v>
      </c>
      <c r="P392" s="249">
        <f t="shared" si="400"/>
        <v>70.184138194570565</v>
      </c>
      <c r="Q392" s="249">
        <f t="shared" si="401"/>
        <v>76.432173799338386</v>
      </c>
      <c r="R392" s="249">
        <f t="shared" si="402"/>
        <v>95.880410740927658</v>
      </c>
      <c r="S392" s="249">
        <f t="shared" si="403"/>
        <v>100.77682240975707</v>
      </c>
      <c r="T392" s="249">
        <f t="shared" si="404"/>
        <v>119.35613859616686</v>
      </c>
      <c r="U392" s="249" t="e">
        <f t="shared" si="405"/>
        <v>#REF!</v>
      </c>
      <c r="V392" s="251">
        <f t="shared" si="406"/>
        <v>0</v>
      </c>
    </row>
    <row r="393" spans="1:22" x14ac:dyDescent="0.3">
      <c r="A393" s="1028"/>
      <c r="B393" s="252">
        <v>1</v>
      </c>
      <c r="C393" s="253">
        <v>1350</v>
      </c>
      <c r="D393" s="254"/>
      <c r="E393" s="249">
        <f t="shared" si="392"/>
        <v>112.455</v>
      </c>
      <c r="F393" s="249">
        <f t="shared" si="407"/>
        <v>32.833333333333336</v>
      </c>
      <c r="G393" s="249">
        <f t="shared" si="393"/>
        <v>112.5</v>
      </c>
      <c r="H393" s="249">
        <f t="shared" si="394"/>
        <v>150.52500000000001</v>
      </c>
      <c r="I393" s="249">
        <f t="shared" si="395"/>
        <v>1758.3133333333333</v>
      </c>
      <c r="J393" s="249"/>
      <c r="K393" s="368">
        <f t="shared" si="396"/>
        <v>1758.3133333333333</v>
      </c>
      <c r="L393" s="351"/>
      <c r="M393" s="345">
        <f t="shared" si="397"/>
        <v>22.337243277577809</v>
      </c>
      <c r="N393" s="249">
        <f t="shared" si="398"/>
        <v>64.733331018420486</v>
      </c>
      <c r="O393" s="249">
        <f t="shared" si="399"/>
        <v>80.467774532119407</v>
      </c>
      <c r="P393" s="249">
        <f t="shared" si="400"/>
        <v>116.93454808499885</v>
      </c>
      <c r="Q393" s="249">
        <f t="shared" si="401"/>
        <v>127.3444674579068</v>
      </c>
      <c r="R393" s="249">
        <f t="shared" si="402"/>
        <v>159.74738436072701</v>
      </c>
      <c r="S393" s="249">
        <f t="shared" si="403"/>
        <v>167.90534854553164</v>
      </c>
      <c r="T393" s="249">
        <f t="shared" si="404"/>
        <v>198.86054722536952</v>
      </c>
      <c r="U393" s="249" t="e">
        <f t="shared" si="405"/>
        <v>#REF!</v>
      </c>
      <c r="V393" s="251">
        <f t="shared" si="406"/>
        <v>0</v>
      </c>
    </row>
    <row r="394" spans="1:22" x14ac:dyDescent="0.3">
      <c r="A394" s="1028"/>
      <c r="B394" s="252">
        <v>1</v>
      </c>
      <c r="C394" s="253">
        <v>255</v>
      </c>
      <c r="D394" s="254"/>
      <c r="E394" s="249">
        <f t="shared" si="392"/>
        <v>21.241499999999998</v>
      </c>
      <c r="F394" s="249">
        <v>18.61</v>
      </c>
      <c r="G394" s="249">
        <f t="shared" si="393"/>
        <v>21.25</v>
      </c>
      <c r="H394" s="249">
        <f t="shared" si="394"/>
        <v>28.432500000000001</v>
      </c>
      <c r="I394" s="249">
        <f t="shared" si="395"/>
        <v>344.53399999999999</v>
      </c>
      <c r="J394" s="249"/>
      <c r="K394" s="368">
        <f t="shared" si="396"/>
        <v>344.53399999999999</v>
      </c>
      <c r="L394" s="351"/>
      <c r="M394" s="345">
        <f t="shared" si="397"/>
        <v>4.376887571458818</v>
      </c>
      <c r="N394" s="249">
        <f t="shared" si="398"/>
        <v>12.684220182087655</v>
      </c>
      <c r="O394" s="249">
        <f t="shared" si="399"/>
        <v>15.767317294973532</v>
      </c>
      <c r="P394" s="249">
        <f t="shared" si="400"/>
        <v>22.91282607380387</v>
      </c>
      <c r="Q394" s="249">
        <f t="shared" si="401"/>
        <v>24.952605385734696</v>
      </c>
      <c r="R394" s="249">
        <f t="shared" si="402"/>
        <v>31.30181878277595</v>
      </c>
      <c r="S394" s="249">
        <f t="shared" si="403"/>
        <v>32.900337078214839</v>
      </c>
      <c r="T394" s="249">
        <f t="shared" si="404"/>
        <v>38.965876262713209</v>
      </c>
      <c r="U394" s="249" t="e">
        <f t="shared" si="405"/>
        <v>#REF!</v>
      </c>
      <c r="V394" s="251">
        <f t="shared" si="406"/>
        <v>0</v>
      </c>
    </row>
    <row r="395" spans="1:22" x14ac:dyDescent="0.3">
      <c r="A395" s="1028"/>
      <c r="B395" s="252">
        <v>1</v>
      </c>
      <c r="C395" s="253">
        <v>800</v>
      </c>
      <c r="D395" s="254"/>
      <c r="E395" s="249">
        <f t="shared" si="392"/>
        <v>66.64</v>
      </c>
      <c r="F395" s="249">
        <f t="shared" si="407"/>
        <v>32.833333333333336</v>
      </c>
      <c r="G395" s="249">
        <f t="shared" si="393"/>
        <v>66.666666666666671</v>
      </c>
      <c r="H395" s="249">
        <f t="shared" si="394"/>
        <v>89.2</v>
      </c>
      <c r="I395" s="249">
        <f t="shared" si="395"/>
        <v>1055.3399999999999</v>
      </c>
      <c r="J395" s="249"/>
      <c r="K395" s="368">
        <f t="shared" si="396"/>
        <v>1055.3399999999999</v>
      </c>
      <c r="L395" s="351"/>
      <c r="M395" s="345">
        <f t="shared" si="397"/>
        <v>13.406817700614017</v>
      </c>
      <c r="N395" s="249">
        <f t="shared" si="398"/>
        <v>38.85295769637942</v>
      </c>
      <c r="O395" s="249">
        <f t="shared" si="399"/>
        <v>48.296773711962729</v>
      </c>
      <c r="P395" s="249">
        <f t="shared" si="400"/>
        <v>70.184138194570565</v>
      </c>
      <c r="Q395" s="249">
        <f t="shared" si="401"/>
        <v>76.432173799338386</v>
      </c>
      <c r="R395" s="249">
        <f t="shared" si="402"/>
        <v>95.880410740927658</v>
      </c>
      <c r="S395" s="249">
        <f t="shared" si="403"/>
        <v>100.77682240975707</v>
      </c>
      <c r="T395" s="249">
        <f t="shared" si="404"/>
        <v>119.35613859616686</v>
      </c>
      <c r="U395" s="249" t="e">
        <f t="shared" si="405"/>
        <v>#REF!</v>
      </c>
      <c r="V395" s="251">
        <f t="shared" si="406"/>
        <v>0</v>
      </c>
    </row>
    <row r="396" spans="1:22" x14ac:dyDescent="0.3">
      <c r="A396" s="1028"/>
      <c r="B396" s="252"/>
      <c r="C396" s="253"/>
      <c r="D396" s="254"/>
      <c r="E396" s="249">
        <f t="shared" si="392"/>
        <v>0</v>
      </c>
      <c r="F396" s="249"/>
      <c r="G396" s="249">
        <f t="shared" si="393"/>
        <v>0</v>
      </c>
      <c r="H396" s="249">
        <f t="shared" si="394"/>
        <v>0</v>
      </c>
      <c r="I396" s="249">
        <f t="shared" si="395"/>
        <v>0</v>
      </c>
      <c r="J396" s="249"/>
      <c r="K396" s="368">
        <f t="shared" si="396"/>
        <v>0</v>
      </c>
      <c r="L396" s="351"/>
      <c r="M396" s="345">
        <f t="shared" si="397"/>
        <v>0</v>
      </c>
      <c r="N396" s="249">
        <f t="shared" si="398"/>
        <v>0</v>
      </c>
      <c r="O396" s="249">
        <f t="shared" si="399"/>
        <v>0</v>
      </c>
      <c r="P396" s="249">
        <f t="shared" si="400"/>
        <v>0</v>
      </c>
      <c r="Q396" s="249">
        <f t="shared" si="401"/>
        <v>0</v>
      </c>
      <c r="R396" s="249">
        <f t="shared" si="402"/>
        <v>0</v>
      </c>
      <c r="S396" s="249">
        <f t="shared" si="403"/>
        <v>0</v>
      </c>
      <c r="T396" s="249">
        <f t="shared" si="404"/>
        <v>0</v>
      </c>
      <c r="U396" s="249" t="e">
        <f t="shared" si="405"/>
        <v>#REF!</v>
      </c>
      <c r="V396" s="251">
        <f t="shared" si="406"/>
        <v>0</v>
      </c>
    </row>
    <row r="397" spans="1:22" ht="10.8" thickBot="1" x14ac:dyDescent="0.35">
      <c r="A397" s="1029"/>
      <c r="B397" s="239"/>
      <c r="C397" s="233"/>
      <c r="D397" s="139"/>
      <c r="E397" s="347">
        <f t="shared" si="392"/>
        <v>0</v>
      </c>
      <c r="F397" s="347"/>
      <c r="G397" s="347">
        <f t="shared" si="393"/>
        <v>0</v>
      </c>
      <c r="H397" s="347">
        <f t="shared" si="394"/>
        <v>0</v>
      </c>
      <c r="I397" s="347">
        <f t="shared" si="395"/>
        <v>0</v>
      </c>
      <c r="J397" s="347"/>
      <c r="K397" s="369">
        <f t="shared" si="396"/>
        <v>0</v>
      </c>
      <c r="L397" s="351"/>
      <c r="M397" s="346">
        <f t="shared" si="397"/>
        <v>0</v>
      </c>
      <c r="N397" s="347">
        <f t="shared" si="398"/>
        <v>0</v>
      </c>
      <c r="O397" s="347">
        <f t="shared" si="399"/>
        <v>0</v>
      </c>
      <c r="P397" s="347">
        <f t="shared" si="400"/>
        <v>0</v>
      </c>
      <c r="Q397" s="347">
        <f t="shared" si="401"/>
        <v>0</v>
      </c>
      <c r="R397" s="347">
        <f t="shared" si="402"/>
        <v>0</v>
      </c>
      <c r="S397" s="347">
        <f t="shared" si="403"/>
        <v>0</v>
      </c>
      <c r="T397" s="347">
        <f t="shared" si="404"/>
        <v>0</v>
      </c>
      <c r="U397" s="347" t="e">
        <f t="shared" si="405"/>
        <v>#REF!</v>
      </c>
      <c r="V397" s="348">
        <f t="shared" si="406"/>
        <v>0</v>
      </c>
    </row>
    <row r="398" spans="1:22" x14ac:dyDescent="0.3">
      <c r="A398" s="1018" t="s">
        <v>266</v>
      </c>
      <c r="B398" s="256">
        <v>1</v>
      </c>
      <c r="C398" s="257">
        <v>1500</v>
      </c>
      <c r="D398" s="258"/>
      <c r="E398" s="245">
        <f t="shared" si="392"/>
        <v>124.95</v>
      </c>
      <c r="F398" s="245">
        <f t="shared" si="407"/>
        <v>32.833333333333336</v>
      </c>
      <c r="G398" s="245">
        <f t="shared" si="393"/>
        <v>125</v>
      </c>
      <c r="H398" s="245">
        <f t="shared" si="394"/>
        <v>167.25</v>
      </c>
      <c r="I398" s="245">
        <f t="shared" si="395"/>
        <v>1950.0333333333333</v>
      </c>
      <c r="J398" s="245"/>
      <c r="K398" s="362">
        <f t="shared" si="396"/>
        <v>1950.0333333333333</v>
      </c>
      <c r="L398" s="351"/>
      <c r="M398" s="366">
        <f t="shared" si="397"/>
        <v>24.772813889477025</v>
      </c>
      <c r="N398" s="245">
        <f t="shared" si="398"/>
        <v>71.791614651704407</v>
      </c>
      <c r="O398" s="245">
        <f t="shared" si="399"/>
        <v>89.241683846707588</v>
      </c>
      <c r="P398" s="245">
        <f t="shared" si="400"/>
        <v>129.68465987329748</v>
      </c>
      <c r="Q398" s="245">
        <f t="shared" si="401"/>
        <v>141.22963845569819</v>
      </c>
      <c r="R398" s="245">
        <f t="shared" si="402"/>
        <v>177.16564989339955</v>
      </c>
      <c r="S398" s="245">
        <f t="shared" si="403"/>
        <v>186.21312840074287</v>
      </c>
      <c r="T398" s="245">
        <f t="shared" si="404"/>
        <v>220.54356776060663</v>
      </c>
      <c r="U398" s="245" t="e">
        <f t="shared" si="405"/>
        <v>#REF!</v>
      </c>
      <c r="V398" s="246">
        <f t="shared" si="406"/>
        <v>0</v>
      </c>
    </row>
    <row r="399" spans="1:22" x14ac:dyDescent="0.3">
      <c r="A399" s="1019"/>
      <c r="B399" s="252">
        <v>1</v>
      </c>
      <c r="C399" s="253">
        <v>850</v>
      </c>
      <c r="D399" s="254"/>
      <c r="E399" s="249">
        <f t="shared" si="392"/>
        <v>70.804999999999993</v>
      </c>
      <c r="F399" s="249">
        <f t="shared" si="407"/>
        <v>32.833333333333336</v>
      </c>
      <c r="G399" s="249">
        <f t="shared" si="393"/>
        <v>70.833333333333329</v>
      </c>
      <c r="H399" s="249">
        <f t="shared" si="394"/>
        <v>94.775000000000006</v>
      </c>
      <c r="I399" s="249">
        <f t="shared" si="395"/>
        <v>1119.2466666666667</v>
      </c>
      <c r="J399" s="249"/>
      <c r="K399" s="368">
        <f t="shared" si="396"/>
        <v>1119.2466666666667</v>
      </c>
      <c r="L399" s="351"/>
      <c r="M399" s="345">
        <f t="shared" si="397"/>
        <v>14.218674571247089</v>
      </c>
      <c r="N399" s="249">
        <f t="shared" si="398"/>
        <v>41.205718907474065</v>
      </c>
      <c r="O399" s="249">
        <f t="shared" si="399"/>
        <v>51.221410150158803</v>
      </c>
      <c r="P399" s="249">
        <f t="shared" si="400"/>
        <v>74.434175457336778</v>
      </c>
      <c r="Q399" s="249">
        <f t="shared" si="401"/>
        <v>81.060564131935521</v>
      </c>
      <c r="R399" s="249">
        <f t="shared" si="402"/>
        <v>101.6864992518185</v>
      </c>
      <c r="S399" s="249">
        <f t="shared" si="403"/>
        <v>106.87941569482751</v>
      </c>
      <c r="T399" s="249">
        <f t="shared" si="404"/>
        <v>126.58381210791256</v>
      </c>
      <c r="U399" s="249" t="e">
        <f t="shared" si="405"/>
        <v>#REF!</v>
      </c>
      <c r="V399" s="251">
        <f t="shared" si="406"/>
        <v>0</v>
      </c>
    </row>
    <row r="400" spans="1:22" x14ac:dyDescent="0.3">
      <c r="A400" s="1019"/>
      <c r="B400" s="252">
        <v>1</v>
      </c>
      <c r="C400" s="253">
        <v>1500</v>
      </c>
      <c r="D400" s="254"/>
      <c r="E400" s="249">
        <f t="shared" si="392"/>
        <v>124.95</v>
      </c>
      <c r="F400" s="249">
        <f t="shared" si="407"/>
        <v>32.833333333333336</v>
      </c>
      <c r="G400" s="249">
        <f t="shared" si="393"/>
        <v>125</v>
      </c>
      <c r="H400" s="249">
        <f t="shared" si="394"/>
        <v>167.25</v>
      </c>
      <c r="I400" s="249">
        <f t="shared" si="395"/>
        <v>1950.0333333333333</v>
      </c>
      <c r="J400" s="249"/>
      <c r="K400" s="368">
        <f t="shared" si="396"/>
        <v>1950.0333333333333</v>
      </c>
      <c r="L400" s="351"/>
      <c r="M400" s="345">
        <f t="shared" si="397"/>
        <v>24.772813889477025</v>
      </c>
      <c r="N400" s="249">
        <f t="shared" si="398"/>
        <v>71.791614651704407</v>
      </c>
      <c r="O400" s="249">
        <f t="shared" si="399"/>
        <v>89.241683846707588</v>
      </c>
      <c r="P400" s="249">
        <f t="shared" si="400"/>
        <v>129.68465987329748</v>
      </c>
      <c r="Q400" s="249">
        <f t="shared" si="401"/>
        <v>141.22963845569819</v>
      </c>
      <c r="R400" s="249">
        <f t="shared" si="402"/>
        <v>177.16564989339955</v>
      </c>
      <c r="S400" s="249">
        <f t="shared" si="403"/>
        <v>186.21312840074287</v>
      </c>
      <c r="T400" s="249">
        <f t="shared" si="404"/>
        <v>220.54356776060663</v>
      </c>
      <c r="U400" s="249" t="e">
        <f t="shared" si="405"/>
        <v>#REF!</v>
      </c>
      <c r="V400" s="251">
        <f t="shared" si="406"/>
        <v>0</v>
      </c>
    </row>
    <row r="401" spans="1:22" x14ac:dyDescent="0.3">
      <c r="A401" s="1019"/>
      <c r="B401" s="252">
        <v>1</v>
      </c>
      <c r="C401" s="253">
        <v>1000</v>
      </c>
      <c r="D401" s="254"/>
      <c r="E401" s="249">
        <f t="shared" si="392"/>
        <v>83.3</v>
      </c>
      <c r="F401" s="249">
        <f t="shared" si="407"/>
        <v>32.833333333333336</v>
      </c>
      <c r="G401" s="249">
        <f t="shared" si="393"/>
        <v>83.333333333333329</v>
      </c>
      <c r="H401" s="249">
        <f t="shared" si="394"/>
        <v>111.5</v>
      </c>
      <c r="I401" s="249">
        <f t="shared" si="395"/>
        <v>1310.9666666666665</v>
      </c>
      <c r="J401" s="249"/>
      <c r="K401" s="368">
        <f t="shared" si="396"/>
        <v>1310.9666666666665</v>
      </c>
      <c r="L401" s="351"/>
      <c r="M401" s="345">
        <f t="shared" si="397"/>
        <v>16.654245183146301</v>
      </c>
      <c r="N401" s="249">
        <f t="shared" si="398"/>
        <v>48.264002540757986</v>
      </c>
      <c r="O401" s="249">
        <f t="shared" si="399"/>
        <v>59.99531946474697</v>
      </c>
      <c r="P401" s="249">
        <f t="shared" si="400"/>
        <v>87.184287245635389</v>
      </c>
      <c r="Q401" s="249">
        <f t="shared" si="401"/>
        <v>94.945735129726884</v>
      </c>
      <c r="R401" s="249">
        <f t="shared" si="402"/>
        <v>119.10476478449104</v>
      </c>
      <c r="S401" s="249">
        <f t="shared" si="403"/>
        <v>125.18719555003872</v>
      </c>
      <c r="T401" s="249">
        <f t="shared" si="404"/>
        <v>148.26683264314963</v>
      </c>
      <c r="U401" s="249" t="e">
        <f t="shared" si="405"/>
        <v>#REF!</v>
      </c>
      <c r="V401" s="251">
        <f t="shared" si="406"/>
        <v>0</v>
      </c>
    </row>
    <row r="402" spans="1:22" x14ac:dyDescent="0.3">
      <c r="A402" s="1019"/>
      <c r="B402" s="252">
        <v>1</v>
      </c>
      <c r="C402" s="253">
        <v>1000</v>
      </c>
      <c r="D402" s="254"/>
      <c r="E402" s="249">
        <f t="shared" si="392"/>
        <v>83.3</v>
      </c>
      <c r="F402" s="249">
        <f t="shared" si="407"/>
        <v>32.833333333333336</v>
      </c>
      <c r="G402" s="249">
        <f t="shared" si="393"/>
        <v>83.333333333333329</v>
      </c>
      <c r="H402" s="249">
        <f t="shared" si="394"/>
        <v>111.5</v>
      </c>
      <c r="I402" s="249">
        <f t="shared" si="395"/>
        <v>1310.9666666666665</v>
      </c>
      <c r="J402" s="249"/>
      <c r="K402" s="368">
        <f t="shared" si="396"/>
        <v>1310.9666666666665</v>
      </c>
      <c r="L402" s="351"/>
      <c r="M402" s="345">
        <f t="shared" si="397"/>
        <v>16.654245183146301</v>
      </c>
      <c r="N402" s="249">
        <f t="shared" si="398"/>
        <v>48.264002540757986</v>
      </c>
      <c r="O402" s="249">
        <f t="shared" si="399"/>
        <v>59.99531946474697</v>
      </c>
      <c r="P402" s="249">
        <f t="shared" si="400"/>
        <v>87.184287245635389</v>
      </c>
      <c r="Q402" s="249">
        <f t="shared" si="401"/>
        <v>94.945735129726884</v>
      </c>
      <c r="R402" s="249">
        <f t="shared" si="402"/>
        <v>119.10476478449104</v>
      </c>
      <c r="S402" s="249">
        <f t="shared" si="403"/>
        <v>125.18719555003872</v>
      </c>
      <c r="T402" s="249">
        <f t="shared" si="404"/>
        <v>148.26683264314963</v>
      </c>
      <c r="U402" s="249" t="e">
        <f t="shared" si="405"/>
        <v>#REF!</v>
      </c>
      <c r="V402" s="251">
        <f t="shared" si="406"/>
        <v>0</v>
      </c>
    </row>
    <row r="403" spans="1:22" x14ac:dyDescent="0.3">
      <c r="A403" s="1019"/>
      <c r="B403" s="252"/>
      <c r="C403" s="253"/>
      <c r="D403" s="254"/>
      <c r="E403" s="249">
        <f t="shared" si="392"/>
        <v>0</v>
      </c>
      <c r="F403" s="249"/>
      <c r="G403" s="249">
        <f t="shared" si="393"/>
        <v>0</v>
      </c>
      <c r="H403" s="249">
        <f t="shared" si="394"/>
        <v>0</v>
      </c>
      <c r="I403" s="249">
        <f t="shared" si="395"/>
        <v>0</v>
      </c>
      <c r="J403" s="249"/>
      <c r="K403" s="368">
        <f t="shared" si="396"/>
        <v>0</v>
      </c>
      <c r="L403" s="351"/>
      <c r="M403" s="345">
        <f t="shared" si="397"/>
        <v>0</v>
      </c>
      <c r="N403" s="249">
        <f t="shared" si="398"/>
        <v>0</v>
      </c>
      <c r="O403" s="249">
        <f t="shared" si="399"/>
        <v>0</v>
      </c>
      <c r="P403" s="249">
        <f t="shared" si="400"/>
        <v>0</v>
      </c>
      <c r="Q403" s="249">
        <f t="shared" si="401"/>
        <v>0</v>
      </c>
      <c r="R403" s="249">
        <f t="shared" si="402"/>
        <v>0</v>
      </c>
      <c r="S403" s="249">
        <f t="shared" si="403"/>
        <v>0</v>
      </c>
      <c r="T403" s="249">
        <f t="shared" si="404"/>
        <v>0</v>
      </c>
      <c r="U403" s="249" t="e">
        <f t="shared" si="405"/>
        <v>#REF!</v>
      </c>
      <c r="V403" s="251">
        <f t="shared" si="406"/>
        <v>0</v>
      </c>
    </row>
    <row r="404" spans="1:22" x14ac:dyDescent="0.3">
      <c r="A404" s="1019"/>
      <c r="B404" s="252"/>
      <c r="C404" s="253"/>
      <c r="D404" s="254"/>
      <c r="E404" s="249">
        <f t="shared" si="392"/>
        <v>0</v>
      </c>
      <c r="F404" s="249"/>
      <c r="G404" s="249">
        <f t="shared" si="393"/>
        <v>0</v>
      </c>
      <c r="H404" s="249">
        <f t="shared" si="394"/>
        <v>0</v>
      </c>
      <c r="I404" s="249">
        <f t="shared" si="395"/>
        <v>0</v>
      </c>
      <c r="J404" s="249"/>
      <c r="K404" s="368">
        <f t="shared" si="396"/>
        <v>0</v>
      </c>
      <c r="L404" s="351"/>
      <c r="M404" s="345">
        <f t="shared" si="397"/>
        <v>0</v>
      </c>
      <c r="N404" s="249">
        <f t="shared" si="398"/>
        <v>0</v>
      </c>
      <c r="O404" s="249">
        <f t="shared" si="399"/>
        <v>0</v>
      </c>
      <c r="P404" s="249">
        <f t="shared" si="400"/>
        <v>0</v>
      </c>
      <c r="Q404" s="249">
        <f t="shared" si="401"/>
        <v>0</v>
      </c>
      <c r="R404" s="249">
        <f t="shared" si="402"/>
        <v>0</v>
      </c>
      <c r="S404" s="249">
        <f t="shared" si="403"/>
        <v>0</v>
      </c>
      <c r="T404" s="249">
        <f t="shared" si="404"/>
        <v>0</v>
      </c>
      <c r="U404" s="249" t="e">
        <f t="shared" si="405"/>
        <v>#REF!</v>
      </c>
      <c r="V404" s="251">
        <f t="shared" si="406"/>
        <v>0</v>
      </c>
    </row>
    <row r="405" spans="1:22" ht="10.8" thickBot="1" x14ac:dyDescent="0.35">
      <c r="A405" s="1020"/>
      <c r="B405" s="239"/>
      <c r="C405" s="233"/>
      <c r="D405" s="139"/>
      <c r="E405" s="347">
        <f t="shared" si="392"/>
        <v>0</v>
      </c>
      <c r="F405" s="347"/>
      <c r="G405" s="347">
        <f t="shared" si="393"/>
        <v>0</v>
      </c>
      <c r="H405" s="347">
        <f t="shared" si="394"/>
        <v>0</v>
      </c>
      <c r="I405" s="347">
        <f t="shared" si="395"/>
        <v>0</v>
      </c>
      <c r="J405" s="347"/>
      <c r="K405" s="369">
        <f t="shared" si="396"/>
        <v>0</v>
      </c>
      <c r="L405" s="351"/>
      <c r="M405" s="346">
        <f t="shared" si="397"/>
        <v>0</v>
      </c>
      <c r="N405" s="347">
        <f t="shared" si="398"/>
        <v>0</v>
      </c>
      <c r="O405" s="347">
        <f t="shared" si="399"/>
        <v>0</v>
      </c>
      <c r="P405" s="347">
        <f t="shared" si="400"/>
        <v>0</v>
      </c>
      <c r="Q405" s="347">
        <f t="shared" si="401"/>
        <v>0</v>
      </c>
      <c r="R405" s="347">
        <f t="shared" si="402"/>
        <v>0</v>
      </c>
      <c r="S405" s="347">
        <f t="shared" si="403"/>
        <v>0</v>
      </c>
      <c r="T405" s="347">
        <f t="shared" si="404"/>
        <v>0</v>
      </c>
      <c r="U405" s="347" t="e">
        <f t="shared" si="405"/>
        <v>#REF!</v>
      </c>
      <c r="V405" s="348">
        <f t="shared" si="406"/>
        <v>0</v>
      </c>
    </row>
    <row r="406" spans="1:22" x14ac:dyDescent="0.3">
      <c r="A406" s="1018" t="s">
        <v>267</v>
      </c>
      <c r="B406" s="256"/>
      <c r="C406" s="257"/>
      <c r="D406" s="258"/>
      <c r="E406" s="245">
        <f t="shared" si="392"/>
        <v>0</v>
      </c>
      <c r="F406" s="245"/>
      <c r="G406" s="245">
        <f t="shared" si="393"/>
        <v>0</v>
      </c>
      <c r="H406" s="245">
        <f t="shared" si="394"/>
        <v>0</v>
      </c>
      <c r="I406" s="245">
        <f t="shared" si="395"/>
        <v>0</v>
      </c>
      <c r="J406" s="245"/>
      <c r="K406" s="362">
        <f t="shared" si="396"/>
        <v>0</v>
      </c>
      <c r="L406" s="351"/>
      <c r="M406" s="366">
        <f t="shared" si="397"/>
        <v>0</v>
      </c>
      <c r="N406" s="245">
        <f t="shared" si="398"/>
        <v>0</v>
      </c>
      <c r="O406" s="245">
        <f t="shared" si="399"/>
        <v>0</v>
      </c>
      <c r="P406" s="245">
        <f t="shared" si="400"/>
        <v>0</v>
      </c>
      <c r="Q406" s="245">
        <f t="shared" si="401"/>
        <v>0</v>
      </c>
      <c r="R406" s="245">
        <f t="shared" si="402"/>
        <v>0</v>
      </c>
      <c r="S406" s="245">
        <f t="shared" si="403"/>
        <v>0</v>
      </c>
      <c r="T406" s="245">
        <f t="shared" si="404"/>
        <v>0</v>
      </c>
      <c r="U406" s="245" t="e">
        <f t="shared" si="405"/>
        <v>#REF!</v>
      </c>
      <c r="V406" s="246">
        <f t="shared" si="406"/>
        <v>0</v>
      </c>
    </row>
    <row r="407" spans="1:22" x14ac:dyDescent="0.3">
      <c r="A407" s="1019"/>
      <c r="B407" s="252"/>
      <c r="C407" s="253"/>
      <c r="D407" s="254"/>
      <c r="E407" s="249">
        <f t="shared" si="392"/>
        <v>0</v>
      </c>
      <c r="F407" s="249"/>
      <c r="G407" s="249">
        <f t="shared" si="393"/>
        <v>0</v>
      </c>
      <c r="H407" s="249">
        <f t="shared" si="394"/>
        <v>0</v>
      </c>
      <c r="I407" s="249">
        <f t="shared" si="395"/>
        <v>0</v>
      </c>
      <c r="J407" s="249"/>
      <c r="K407" s="368">
        <f t="shared" si="396"/>
        <v>0</v>
      </c>
      <c r="L407" s="351"/>
      <c r="M407" s="345">
        <f t="shared" si="397"/>
        <v>0</v>
      </c>
      <c r="N407" s="249">
        <f t="shared" si="398"/>
        <v>0</v>
      </c>
      <c r="O407" s="249">
        <f t="shared" si="399"/>
        <v>0</v>
      </c>
      <c r="P407" s="249">
        <f t="shared" si="400"/>
        <v>0</v>
      </c>
      <c r="Q407" s="249">
        <f t="shared" si="401"/>
        <v>0</v>
      </c>
      <c r="R407" s="249">
        <f t="shared" si="402"/>
        <v>0</v>
      </c>
      <c r="S407" s="249">
        <f t="shared" si="403"/>
        <v>0</v>
      </c>
      <c r="T407" s="249">
        <f t="shared" si="404"/>
        <v>0</v>
      </c>
      <c r="U407" s="249" t="e">
        <f t="shared" si="405"/>
        <v>#REF!</v>
      </c>
      <c r="V407" s="251">
        <f t="shared" si="406"/>
        <v>0</v>
      </c>
    </row>
    <row r="408" spans="1:22" x14ac:dyDescent="0.3">
      <c r="A408" s="1019"/>
      <c r="B408" s="252"/>
      <c r="C408" s="253"/>
      <c r="D408" s="254"/>
      <c r="E408" s="249">
        <f t="shared" si="392"/>
        <v>0</v>
      </c>
      <c r="F408" s="249"/>
      <c r="G408" s="249">
        <f t="shared" si="393"/>
        <v>0</v>
      </c>
      <c r="H408" s="249">
        <f t="shared" si="394"/>
        <v>0</v>
      </c>
      <c r="I408" s="249">
        <f t="shared" si="395"/>
        <v>0</v>
      </c>
      <c r="J408" s="249"/>
      <c r="K408" s="368">
        <f t="shared" si="396"/>
        <v>0</v>
      </c>
      <c r="L408" s="351"/>
      <c r="M408" s="345">
        <f t="shared" si="397"/>
        <v>0</v>
      </c>
      <c r="N408" s="249">
        <f t="shared" si="398"/>
        <v>0</v>
      </c>
      <c r="O408" s="249">
        <f t="shared" si="399"/>
        <v>0</v>
      </c>
      <c r="P408" s="249">
        <f t="shared" si="400"/>
        <v>0</v>
      </c>
      <c r="Q408" s="249">
        <f t="shared" si="401"/>
        <v>0</v>
      </c>
      <c r="R408" s="249">
        <f t="shared" si="402"/>
        <v>0</v>
      </c>
      <c r="S408" s="249">
        <f t="shared" si="403"/>
        <v>0</v>
      </c>
      <c r="T408" s="249">
        <f t="shared" si="404"/>
        <v>0</v>
      </c>
      <c r="U408" s="249" t="e">
        <f t="shared" si="405"/>
        <v>#REF!</v>
      </c>
      <c r="V408" s="251">
        <f t="shared" si="406"/>
        <v>0</v>
      </c>
    </row>
    <row r="409" spans="1:22" ht="10.8" thickBot="1" x14ac:dyDescent="0.35">
      <c r="A409" s="1020"/>
      <c r="B409" s="239"/>
      <c r="C409" s="233"/>
      <c r="D409" s="139"/>
      <c r="E409" s="347">
        <f t="shared" si="392"/>
        <v>0</v>
      </c>
      <c r="F409" s="347"/>
      <c r="G409" s="347">
        <f t="shared" si="393"/>
        <v>0</v>
      </c>
      <c r="H409" s="347">
        <f t="shared" si="394"/>
        <v>0</v>
      </c>
      <c r="I409" s="347">
        <f t="shared" si="395"/>
        <v>0</v>
      </c>
      <c r="J409" s="347"/>
      <c r="K409" s="369">
        <f t="shared" si="396"/>
        <v>0</v>
      </c>
      <c r="L409" s="351"/>
      <c r="M409" s="346">
        <f t="shared" si="397"/>
        <v>0</v>
      </c>
      <c r="N409" s="347">
        <f t="shared" si="398"/>
        <v>0</v>
      </c>
      <c r="O409" s="347">
        <f t="shared" si="399"/>
        <v>0</v>
      </c>
      <c r="P409" s="347">
        <f t="shared" si="400"/>
        <v>0</v>
      </c>
      <c r="Q409" s="347">
        <f t="shared" si="401"/>
        <v>0</v>
      </c>
      <c r="R409" s="347">
        <f t="shared" si="402"/>
        <v>0</v>
      </c>
      <c r="S409" s="347">
        <f t="shared" si="403"/>
        <v>0</v>
      </c>
      <c r="T409" s="347">
        <f t="shared" si="404"/>
        <v>0</v>
      </c>
      <c r="U409" s="347" t="e">
        <f t="shared" si="405"/>
        <v>#REF!</v>
      </c>
      <c r="V409" s="348">
        <f t="shared" si="406"/>
        <v>0</v>
      </c>
    </row>
    <row r="410" spans="1:22" x14ac:dyDescent="0.3">
      <c r="A410" s="1018" t="s">
        <v>268</v>
      </c>
      <c r="B410" s="256">
        <v>1</v>
      </c>
      <c r="C410" s="257">
        <v>900</v>
      </c>
      <c r="D410" s="258"/>
      <c r="E410" s="245">
        <f t="shared" si="392"/>
        <v>74.97</v>
      </c>
      <c r="F410" s="245">
        <f t="shared" si="407"/>
        <v>32.833333333333336</v>
      </c>
      <c r="G410" s="245">
        <f t="shared" si="393"/>
        <v>75</v>
      </c>
      <c r="H410" s="245">
        <f t="shared" si="394"/>
        <v>100.35000000000001</v>
      </c>
      <c r="I410" s="245">
        <f t="shared" si="395"/>
        <v>1183.1533333333332</v>
      </c>
      <c r="J410" s="245"/>
      <c r="K410" s="362">
        <f t="shared" si="396"/>
        <v>1183.1533333333332</v>
      </c>
      <c r="L410" s="351"/>
      <c r="M410" s="366">
        <f t="shared" si="397"/>
        <v>15.030531441880157</v>
      </c>
      <c r="N410" s="245">
        <f t="shared" si="398"/>
        <v>43.558480118568703</v>
      </c>
      <c r="O410" s="245">
        <f t="shared" si="399"/>
        <v>54.146046588354849</v>
      </c>
      <c r="P410" s="245">
        <f t="shared" si="400"/>
        <v>78.684212720102977</v>
      </c>
      <c r="Q410" s="245">
        <f t="shared" si="401"/>
        <v>85.688954464532642</v>
      </c>
      <c r="R410" s="245">
        <f t="shared" si="402"/>
        <v>107.49258776270935</v>
      </c>
      <c r="S410" s="245">
        <f t="shared" si="403"/>
        <v>112.9820089798979</v>
      </c>
      <c r="T410" s="245">
        <f t="shared" si="404"/>
        <v>133.81148561965824</v>
      </c>
      <c r="U410" s="245" t="e">
        <f t="shared" si="405"/>
        <v>#REF!</v>
      </c>
      <c r="V410" s="246">
        <f t="shared" si="406"/>
        <v>0</v>
      </c>
    </row>
    <row r="411" spans="1:22" x14ac:dyDescent="0.3">
      <c r="A411" s="1019"/>
      <c r="B411" s="252">
        <v>1</v>
      </c>
      <c r="C411" s="253">
        <v>900</v>
      </c>
      <c r="D411" s="254"/>
      <c r="E411" s="249">
        <f t="shared" si="392"/>
        <v>74.97</v>
      </c>
      <c r="F411" s="249">
        <f t="shared" si="407"/>
        <v>32.833333333333336</v>
      </c>
      <c r="G411" s="249">
        <f t="shared" si="393"/>
        <v>75</v>
      </c>
      <c r="H411" s="249">
        <f t="shared" si="394"/>
        <v>100.35000000000001</v>
      </c>
      <c r="I411" s="249">
        <f t="shared" si="395"/>
        <v>1183.1533333333332</v>
      </c>
      <c r="J411" s="249"/>
      <c r="K411" s="368">
        <f t="shared" si="396"/>
        <v>1183.1533333333332</v>
      </c>
      <c r="L411" s="351"/>
      <c r="M411" s="345">
        <f t="shared" si="397"/>
        <v>15.030531441880157</v>
      </c>
      <c r="N411" s="249">
        <f t="shared" si="398"/>
        <v>43.558480118568703</v>
      </c>
      <c r="O411" s="249">
        <f t="shared" si="399"/>
        <v>54.146046588354849</v>
      </c>
      <c r="P411" s="249">
        <f t="shared" si="400"/>
        <v>78.684212720102977</v>
      </c>
      <c r="Q411" s="249">
        <f t="shared" si="401"/>
        <v>85.688954464532642</v>
      </c>
      <c r="R411" s="249">
        <f t="shared" si="402"/>
        <v>107.49258776270935</v>
      </c>
      <c r="S411" s="249">
        <f t="shared" si="403"/>
        <v>112.9820089798979</v>
      </c>
      <c r="T411" s="249">
        <f t="shared" si="404"/>
        <v>133.81148561965824</v>
      </c>
      <c r="U411" s="249" t="e">
        <f t="shared" si="405"/>
        <v>#REF!</v>
      </c>
      <c r="V411" s="251">
        <f t="shared" si="406"/>
        <v>0</v>
      </c>
    </row>
    <row r="412" spans="1:22" x14ac:dyDescent="0.3">
      <c r="A412" s="1019"/>
      <c r="B412" s="252">
        <v>1</v>
      </c>
      <c r="C412" s="253">
        <v>1000</v>
      </c>
      <c r="D412" s="254"/>
      <c r="E412" s="249">
        <f t="shared" si="392"/>
        <v>83.3</v>
      </c>
      <c r="F412" s="249">
        <f t="shared" si="407"/>
        <v>32.833333333333336</v>
      </c>
      <c r="G412" s="249">
        <f t="shared" si="393"/>
        <v>83.333333333333329</v>
      </c>
      <c r="H412" s="249">
        <f t="shared" si="394"/>
        <v>111.5</v>
      </c>
      <c r="I412" s="249">
        <f t="shared" si="395"/>
        <v>1310.9666666666665</v>
      </c>
      <c r="J412" s="249"/>
      <c r="K412" s="368">
        <f t="shared" si="396"/>
        <v>1310.9666666666665</v>
      </c>
      <c r="L412" s="351"/>
      <c r="M412" s="345">
        <f t="shared" si="397"/>
        <v>16.654245183146301</v>
      </c>
      <c r="N412" s="249">
        <f t="shared" si="398"/>
        <v>48.264002540757986</v>
      </c>
      <c r="O412" s="249">
        <f t="shared" si="399"/>
        <v>59.99531946474697</v>
      </c>
      <c r="P412" s="249">
        <f t="shared" si="400"/>
        <v>87.184287245635389</v>
      </c>
      <c r="Q412" s="249">
        <f t="shared" si="401"/>
        <v>94.945735129726884</v>
      </c>
      <c r="R412" s="249">
        <f t="shared" si="402"/>
        <v>119.10476478449104</v>
      </c>
      <c r="S412" s="249">
        <f t="shared" si="403"/>
        <v>125.18719555003872</v>
      </c>
      <c r="T412" s="249">
        <f t="shared" si="404"/>
        <v>148.26683264314963</v>
      </c>
      <c r="U412" s="249" t="e">
        <f t="shared" si="405"/>
        <v>#REF!</v>
      </c>
      <c r="V412" s="251">
        <f t="shared" si="406"/>
        <v>0</v>
      </c>
    </row>
    <row r="413" spans="1:22" x14ac:dyDescent="0.3">
      <c r="A413" s="1019"/>
      <c r="B413" s="252">
        <v>1</v>
      </c>
      <c r="C413" s="253">
        <v>700</v>
      </c>
      <c r="D413" s="254"/>
      <c r="E413" s="249">
        <f t="shared" si="392"/>
        <v>58.31</v>
      </c>
      <c r="F413" s="249">
        <f t="shared" si="407"/>
        <v>32.833333333333336</v>
      </c>
      <c r="G413" s="249">
        <f t="shared" si="393"/>
        <v>58.333333333333336</v>
      </c>
      <c r="H413" s="249">
        <f t="shared" si="394"/>
        <v>78.05</v>
      </c>
      <c r="I413" s="249">
        <f t="shared" si="395"/>
        <v>927.52666666666664</v>
      </c>
      <c r="J413" s="249"/>
      <c r="K413" s="368">
        <f t="shared" si="396"/>
        <v>927.52666666666664</v>
      </c>
      <c r="L413" s="351"/>
      <c r="M413" s="345">
        <f t="shared" si="397"/>
        <v>11.783103959347873</v>
      </c>
      <c r="N413" s="249">
        <f t="shared" si="398"/>
        <v>34.14743527419013</v>
      </c>
      <c r="O413" s="249">
        <f t="shared" si="399"/>
        <v>42.447500835570615</v>
      </c>
      <c r="P413" s="249">
        <f t="shared" si="400"/>
        <v>61.68406366903816</v>
      </c>
      <c r="Q413" s="249">
        <f t="shared" si="401"/>
        <v>67.175393134144144</v>
      </c>
      <c r="R413" s="249">
        <f t="shared" si="402"/>
        <v>84.268233719145968</v>
      </c>
      <c r="S413" s="249">
        <f t="shared" si="403"/>
        <v>88.571635839616278</v>
      </c>
      <c r="T413" s="249">
        <f t="shared" si="404"/>
        <v>104.90079157267549</v>
      </c>
      <c r="U413" s="249" t="e">
        <f t="shared" si="405"/>
        <v>#REF!</v>
      </c>
      <c r="V413" s="251">
        <f t="shared" si="406"/>
        <v>0</v>
      </c>
    </row>
    <row r="414" spans="1:22" x14ac:dyDescent="0.3">
      <c r="A414" s="1019"/>
      <c r="B414" s="252">
        <v>1</v>
      </c>
      <c r="C414" s="253">
        <v>1000</v>
      </c>
      <c r="D414" s="254"/>
      <c r="E414" s="249">
        <f t="shared" si="392"/>
        <v>83.3</v>
      </c>
      <c r="F414" s="249">
        <f t="shared" si="407"/>
        <v>32.833333333333336</v>
      </c>
      <c r="G414" s="249">
        <f t="shared" si="393"/>
        <v>83.333333333333329</v>
      </c>
      <c r="H414" s="249">
        <f t="shared" si="394"/>
        <v>111.5</v>
      </c>
      <c r="I414" s="249">
        <f t="shared" si="395"/>
        <v>1310.9666666666665</v>
      </c>
      <c r="J414" s="249"/>
      <c r="K414" s="368">
        <f t="shared" si="396"/>
        <v>1310.9666666666665</v>
      </c>
      <c r="L414" s="351"/>
      <c r="M414" s="345">
        <f t="shared" si="397"/>
        <v>16.654245183146301</v>
      </c>
      <c r="N414" s="249">
        <f t="shared" si="398"/>
        <v>48.264002540757986</v>
      </c>
      <c r="O414" s="249">
        <f t="shared" si="399"/>
        <v>59.99531946474697</v>
      </c>
      <c r="P414" s="249">
        <f t="shared" si="400"/>
        <v>87.184287245635389</v>
      </c>
      <c r="Q414" s="249">
        <f t="shared" si="401"/>
        <v>94.945735129726884</v>
      </c>
      <c r="R414" s="249">
        <f t="shared" si="402"/>
        <v>119.10476478449104</v>
      </c>
      <c r="S414" s="249">
        <f t="shared" si="403"/>
        <v>125.18719555003872</v>
      </c>
      <c r="T414" s="249">
        <f t="shared" si="404"/>
        <v>148.26683264314963</v>
      </c>
      <c r="U414" s="249" t="e">
        <f t="shared" si="405"/>
        <v>#REF!</v>
      </c>
      <c r="V414" s="251">
        <f t="shared" si="406"/>
        <v>0</v>
      </c>
    </row>
    <row r="415" spans="1:22" x14ac:dyDescent="0.3">
      <c r="A415" s="1019"/>
      <c r="B415" s="252">
        <v>1</v>
      </c>
      <c r="C415" s="253">
        <v>1350.4</v>
      </c>
      <c r="D415" s="254"/>
      <c r="E415" s="249">
        <f t="shared" si="392"/>
        <v>112.48832</v>
      </c>
      <c r="F415" s="249">
        <f t="shared" si="407"/>
        <v>32.833333333333336</v>
      </c>
      <c r="G415" s="249">
        <f t="shared" si="393"/>
        <v>112.53333333333335</v>
      </c>
      <c r="H415" s="249">
        <f t="shared" si="394"/>
        <v>150.56960000000001</v>
      </c>
      <c r="I415" s="249">
        <f t="shared" si="395"/>
        <v>1758.8245866666666</v>
      </c>
      <c r="J415" s="249"/>
      <c r="K415" s="368">
        <f t="shared" si="396"/>
        <v>1758.8245866666666</v>
      </c>
      <c r="L415" s="351"/>
      <c r="M415" s="345">
        <f t="shared" si="397"/>
        <v>22.343738132542875</v>
      </c>
      <c r="N415" s="249">
        <f t="shared" si="398"/>
        <v>64.752153108109255</v>
      </c>
      <c r="O415" s="249">
        <f t="shared" si="399"/>
        <v>80.491171623624979</v>
      </c>
      <c r="P415" s="249">
        <f t="shared" si="400"/>
        <v>116.96854838310098</v>
      </c>
      <c r="Q415" s="249">
        <f t="shared" si="401"/>
        <v>127.38149458056758</v>
      </c>
      <c r="R415" s="249">
        <f t="shared" si="402"/>
        <v>159.79383306881414</v>
      </c>
      <c r="S415" s="249">
        <f t="shared" si="403"/>
        <v>167.95416929181221</v>
      </c>
      <c r="T415" s="249">
        <f t="shared" si="404"/>
        <v>198.91836861346349</v>
      </c>
      <c r="U415" s="249" t="e">
        <f t="shared" si="405"/>
        <v>#REF!</v>
      </c>
      <c r="V415" s="251">
        <f t="shared" si="406"/>
        <v>0</v>
      </c>
    </row>
    <row r="416" spans="1:22" x14ac:dyDescent="0.3">
      <c r="A416" s="1019"/>
      <c r="B416" s="252">
        <v>1</v>
      </c>
      <c r="C416" s="253">
        <v>1000</v>
      </c>
      <c r="D416" s="254"/>
      <c r="E416" s="249">
        <f t="shared" si="392"/>
        <v>83.3</v>
      </c>
      <c r="F416" s="249">
        <f t="shared" si="407"/>
        <v>32.833333333333336</v>
      </c>
      <c r="G416" s="249">
        <f t="shared" si="393"/>
        <v>83.333333333333329</v>
      </c>
      <c r="H416" s="249">
        <f t="shared" si="394"/>
        <v>111.5</v>
      </c>
      <c r="I416" s="249">
        <f t="shared" si="395"/>
        <v>1310.9666666666665</v>
      </c>
      <c r="J416" s="249"/>
      <c r="K416" s="368">
        <f t="shared" si="396"/>
        <v>1310.9666666666665</v>
      </c>
      <c r="L416" s="351"/>
      <c r="M416" s="345">
        <f t="shared" si="397"/>
        <v>16.654245183146301</v>
      </c>
      <c r="N416" s="249">
        <f t="shared" si="398"/>
        <v>48.264002540757986</v>
      </c>
      <c r="O416" s="249">
        <f t="shared" si="399"/>
        <v>59.99531946474697</v>
      </c>
      <c r="P416" s="249">
        <f t="shared" si="400"/>
        <v>87.184287245635389</v>
      </c>
      <c r="Q416" s="249">
        <f t="shared" si="401"/>
        <v>94.945735129726884</v>
      </c>
      <c r="R416" s="249">
        <f t="shared" si="402"/>
        <v>119.10476478449104</v>
      </c>
      <c r="S416" s="249">
        <f t="shared" si="403"/>
        <v>125.18719555003872</v>
      </c>
      <c r="T416" s="249">
        <f t="shared" si="404"/>
        <v>148.26683264314963</v>
      </c>
      <c r="U416" s="249" t="e">
        <f t="shared" si="405"/>
        <v>#REF!</v>
      </c>
      <c r="V416" s="251">
        <f t="shared" si="406"/>
        <v>0</v>
      </c>
    </row>
    <row r="417" spans="1:22" x14ac:dyDescent="0.3">
      <c r="A417" s="1019"/>
      <c r="B417" s="252">
        <v>1</v>
      </c>
      <c r="C417" s="253">
        <v>1000</v>
      </c>
      <c r="D417" s="254"/>
      <c r="E417" s="249">
        <f t="shared" si="392"/>
        <v>83.3</v>
      </c>
      <c r="F417" s="249">
        <f t="shared" si="407"/>
        <v>32.833333333333336</v>
      </c>
      <c r="G417" s="249">
        <f t="shared" si="393"/>
        <v>83.333333333333329</v>
      </c>
      <c r="H417" s="249">
        <f t="shared" si="394"/>
        <v>111.5</v>
      </c>
      <c r="I417" s="249">
        <f t="shared" si="395"/>
        <v>1310.9666666666665</v>
      </c>
      <c r="J417" s="249"/>
      <c r="K417" s="368">
        <f t="shared" si="396"/>
        <v>1310.9666666666665</v>
      </c>
      <c r="L417" s="351"/>
      <c r="M417" s="345">
        <f t="shared" si="397"/>
        <v>16.654245183146301</v>
      </c>
      <c r="N417" s="249">
        <f t="shared" si="398"/>
        <v>48.264002540757986</v>
      </c>
      <c r="O417" s="249">
        <f t="shared" si="399"/>
        <v>59.99531946474697</v>
      </c>
      <c r="P417" s="249">
        <f t="shared" si="400"/>
        <v>87.184287245635389</v>
      </c>
      <c r="Q417" s="249">
        <f t="shared" si="401"/>
        <v>94.945735129726884</v>
      </c>
      <c r="R417" s="249">
        <f t="shared" si="402"/>
        <v>119.10476478449104</v>
      </c>
      <c r="S417" s="249">
        <f t="shared" si="403"/>
        <v>125.18719555003872</v>
      </c>
      <c r="T417" s="249">
        <f t="shared" si="404"/>
        <v>148.26683264314963</v>
      </c>
      <c r="U417" s="249" t="e">
        <f t="shared" si="405"/>
        <v>#REF!</v>
      </c>
      <c r="V417" s="251">
        <f t="shared" si="406"/>
        <v>0</v>
      </c>
    </row>
    <row r="418" spans="1:22" x14ac:dyDescent="0.3">
      <c r="A418" s="1019"/>
      <c r="B418" s="252">
        <v>1</v>
      </c>
      <c r="C418" s="253">
        <v>700</v>
      </c>
      <c r="D418" s="254"/>
      <c r="E418" s="249">
        <f t="shared" si="392"/>
        <v>58.31</v>
      </c>
      <c r="F418" s="249">
        <f t="shared" si="407"/>
        <v>32.833333333333336</v>
      </c>
      <c r="G418" s="249">
        <f t="shared" si="393"/>
        <v>58.333333333333336</v>
      </c>
      <c r="H418" s="249">
        <f t="shared" si="394"/>
        <v>78.05</v>
      </c>
      <c r="I418" s="249">
        <f t="shared" si="395"/>
        <v>927.52666666666664</v>
      </c>
      <c r="J418" s="249"/>
      <c r="K418" s="368">
        <f t="shared" si="396"/>
        <v>927.52666666666664</v>
      </c>
      <c r="L418" s="351"/>
      <c r="M418" s="345">
        <f t="shared" si="397"/>
        <v>11.783103959347873</v>
      </c>
      <c r="N418" s="249">
        <f t="shared" si="398"/>
        <v>34.14743527419013</v>
      </c>
      <c r="O418" s="249">
        <f t="shared" si="399"/>
        <v>42.447500835570615</v>
      </c>
      <c r="P418" s="249">
        <f t="shared" si="400"/>
        <v>61.68406366903816</v>
      </c>
      <c r="Q418" s="249">
        <f t="shared" si="401"/>
        <v>67.175393134144144</v>
      </c>
      <c r="R418" s="249">
        <f t="shared" si="402"/>
        <v>84.268233719145968</v>
      </c>
      <c r="S418" s="249">
        <f t="shared" si="403"/>
        <v>88.571635839616278</v>
      </c>
      <c r="T418" s="249">
        <f t="shared" si="404"/>
        <v>104.90079157267549</v>
      </c>
      <c r="U418" s="249" t="e">
        <f t="shared" si="405"/>
        <v>#REF!</v>
      </c>
      <c r="V418" s="251">
        <f t="shared" si="406"/>
        <v>0</v>
      </c>
    </row>
    <row r="419" spans="1:22" x14ac:dyDescent="0.3">
      <c r="A419" s="1019"/>
      <c r="B419" s="252">
        <v>1</v>
      </c>
      <c r="C419" s="253">
        <v>1000</v>
      </c>
      <c r="D419" s="254"/>
      <c r="E419" s="249">
        <f t="shared" si="392"/>
        <v>83.3</v>
      </c>
      <c r="F419" s="249">
        <f t="shared" si="407"/>
        <v>32.833333333333336</v>
      </c>
      <c r="G419" s="249">
        <f t="shared" si="393"/>
        <v>83.333333333333329</v>
      </c>
      <c r="H419" s="249">
        <f t="shared" si="394"/>
        <v>111.5</v>
      </c>
      <c r="I419" s="249">
        <f t="shared" si="395"/>
        <v>1310.9666666666665</v>
      </c>
      <c r="J419" s="249"/>
      <c r="K419" s="368">
        <f t="shared" si="396"/>
        <v>1310.9666666666665</v>
      </c>
      <c r="L419" s="351"/>
      <c r="M419" s="345">
        <f t="shared" si="397"/>
        <v>16.654245183146301</v>
      </c>
      <c r="N419" s="249">
        <f t="shared" si="398"/>
        <v>48.264002540757986</v>
      </c>
      <c r="O419" s="249">
        <f t="shared" si="399"/>
        <v>59.99531946474697</v>
      </c>
      <c r="P419" s="249">
        <f t="shared" si="400"/>
        <v>87.184287245635389</v>
      </c>
      <c r="Q419" s="249">
        <f t="shared" si="401"/>
        <v>94.945735129726884</v>
      </c>
      <c r="R419" s="249">
        <f t="shared" si="402"/>
        <v>119.10476478449104</v>
      </c>
      <c r="S419" s="249">
        <f t="shared" si="403"/>
        <v>125.18719555003872</v>
      </c>
      <c r="T419" s="249">
        <f t="shared" si="404"/>
        <v>148.26683264314963</v>
      </c>
      <c r="U419" s="249" t="e">
        <f t="shared" si="405"/>
        <v>#REF!</v>
      </c>
      <c r="V419" s="251">
        <f t="shared" si="406"/>
        <v>0</v>
      </c>
    </row>
    <row r="420" spans="1:22" x14ac:dyDescent="0.3">
      <c r="A420" s="1019"/>
      <c r="B420" s="252">
        <v>1</v>
      </c>
      <c r="C420" s="253">
        <v>1000</v>
      </c>
      <c r="D420" s="254"/>
      <c r="E420" s="249">
        <f t="shared" si="392"/>
        <v>83.3</v>
      </c>
      <c r="F420" s="249">
        <f t="shared" si="407"/>
        <v>32.833333333333336</v>
      </c>
      <c r="G420" s="249">
        <f t="shared" si="393"/>
        <v>83.333333333333329</v>
      </c>
      <c r="H420" s="249">
        <f t="shared" si="394"/>
        <v>111.5</v>
      </c>
      <c r="I420" s="249">
        <f t="shared" si="395"/>
        <v>1310.9666666666665</v>
      </c>
      <c r="J420" s="249"/>
      <c r="K420" s="368">
        <f t="shared" si="396"/>
        <v>1310.9666666666665</v>
      </c>
      <c r="L420" s="351"/>
      <c r="M420" s="345">
        <f t="shared" si="397"/>
        <v>16.654245183146301</v>
      </c>
      <c r="N420" s="249">
        <f t="shared" si="398"/>
        <v>48.264002540757986</v>
      </c>
      <c r="O420" s="249">
        <f t="shared" si="399"/>
        <v>59.99531946474697</v>
      </c>
      <c r="P420" s="249">
        <f t="shared" si="400"/>
        <v>87.184287245635389</v>
      </c>
      <c r="Q420" s="249">
        <f t="shared" si="401"/>
        <v>94.945735129726884</v>
      </c>
      <c r="R420" s="249">
        <f t="shared" si="402"/>
        <v>119.10476478449104</v>
      </c>
      <c r="S420" s="249">
        <f t="shared" si="403"/>
        <v>125.18719555003872</v>
      </c>
      <c r="T420" s="249">
        <f t="shared" si="404"/>
        <v>148.26683264314963</v>
      </c>
      <c r="U420" s="249" t="e">
        <f t="shared" si="405"/>
        <v>#REF!</v>
      </c>
      <c r="V420" s="251">
        <f t="shared" si="406"/>
        <v>0</v>
      </c>
    </row>
    <row r="421" spans="1:22" x14ac:dyDescent="0.3">
      <c r="A421" s="1019"/>
      <c r="B421" s="252">
        <v>1</v>
      </c>
      <c r="C421" s="253">
        <v>1000</v>
      </c>
      <c r="D421" s="254"/>
      <c r="E421" s="249">
        <f t="shared" si="392"/>
        <v>83.3</v>
      </c>
      <c r="F421" s="249">
        <f t="shared" si="407"/>
        <v>32.833333333333336</v>
      </c>
      <c r="G421" s="249">
        <f t="shared" si="393"/>
        <v>83.333333333333329</v>
      </c>
      <c r="H421" s="249">
        <f t="shared" si="394"/>
        <v>111.5</v>
      </c>
      <c r="I421" s="249">
        <f t="shared" si="395"/>
        <v>1310.9666666666665</v>
      </c>
      <c r="J421" s="249"/>
      <c r="K421" s="368">
        <f t="shared" si="396"/>
        <v>1310.9666666666665</v>
      </c>
      <c r="L421" s="351"/>
      <c r="M421" s="345">
        <f t="shared" si="397"/>
        <v>16.654245183146301</v>
      </c>
      <c r="N421" s="249">
        <f t="shared" si="398"/>
        <v>48.264002540757986</v>
      </c>
      <c r="O421" s="249">
        <f t="shared" si="399"/>
        <v>59.99531946474697</v>
      </c>
      <c r="P421" s="249">
        <f t="shared" si="400"/>
        <v>87.184287245635389</v>
      </c>
      <c r="Q421" s="249">
        <f t="shared" si="401"/>
        <v>94.945735129726884</v>
      </c>
      <c r="R421" s="249">
        <f t="shared" si="402"/>
        <v>119.10476478449104</v>
      </c>
      <c r="S421" s="249">
        <f t="shared" si="403"/>
        <v>125.18719555003872</v>
      </c>
      <c r="T421" s="249">
        <f t="shared" si="404"/>
        <v>148.26683264314963</v>
      </c>
      <c r="U421" s="249" t="e">
        <f t="shared" si="405"/>
        <v>#REF!</v>
      </c>
      <c r="V421" s="251">
        <f t="shared" si="406"/>
        <v>0</v>
      </c>
    </row>
    <row r="422" spans="1:22" x14ac:dyDescent="0.3">
      <c r="A422" s="1019"/>
      <c r="B422" s="252">
        <v>1</v>
      </c>
      <c r="C422" s="253">
        <v>650</v>
      </c>
      <c r="D422" s="254"/>
      <c r="E422" s="249">
        <f t="shared" si="392"/>
        <v>54.144999999999996</v>
      </c>
      <c r="F422" s="249">
        <f t="shared" si="407"/>
        <v>32.833333333333336</v>
      </c>
      <c r="G422" s="249">
        <f t="shared" si="393"/>
        <v>54.166666666666664</v>
      </c>
      <c r="H422" s="249">
        <f t="shared" si="394"/>
        <v>72.474999999999994</v>
      </c>
      <c r="I422" s="249">
        <f t="shared" si="395"/>
        <v>863.62</v>
      </c>
      <c r="J422" s="249"/>
      <c r="K422" s="368">
        <f t="shared" si="396"/>
        <v>863.62</v>
      </c>
      <c r="L422" s="351"/>
      <c r="M422" s="345">
        <f t="shared" si="397"/>
        <v>10.971247088714799</v>
      </c>
      <c r="N422" s="249">
        <f t="shared" si="398"/>
        <v>31.794674063095485</v>
      </c>
      <c r="O422" s="249">
        <f t="shared" si="399"/>
        <v>39.522864397374548</v>
      </c>
      <c r="P422" s="249">
        <f t="shared" si="400"/>
        <v>57.434026406271954</v>
      </c>
      <c r="Q422" s="249">
        <f t="shared" si="401"/>
        <v>62.547002801547016</v>
      </c>
      <c r="R422" s="249">
        <f t="shared" si="402"/>
        <v>78.462145208255109</v>
      </c>
      <c r="S422" s="249">
        <f t="shared" si="403"/>
        <v>82.469042554545851</v>
      </c>
      <c r="T422" s="249">
        <f t="shared" si="404"/>
        <v>97.673118060929767</v>
      </c>
      <c r="U422" s="249" t="e">
        <f t="shared" si="405"/>
        <v>#REF!</v>
      </c>
      <c r="V422" s="251">
        <f t="shared" si="406"/>
        <v>0</v>
      </c>
    </row>
    <row r="423" spans="1:22" x14ac:dyDescent="0.3">
      <c r="A423" s="1019"/>
      <c r="B423" s="252">
        <v>1</v>
      </c>
      <c r="C423" s="253">
        <v>900</v>
      </c>
      <c r="D423" s="254"/>
      <c r="E423" s="249">
        <f t="shared" si="392"/>
        <v>74.97</v>
      </c>
      <c r="F423" s="249">
        <f t="shared" si="407"/>
        <v>32.833333333333336</v>
      </c>
      <c r="G423" s="249">
        <f t="shared" si="393"/>
        <v>75</v>
      </c>
      <c r="H423" s="249">
        <f t="shared" si="394"/>
        <v>100.35000000000001</v>
      </c>
      <c r="I423" s="249">
        <f t="shared" si="395"/>
        <v>1183.1533333333332</v>
      </c>
      <c r="J423" s="249"/>
      <c r="K423" s="368">
        <f t="shared" si="396"/>
        <v>1183.1533333333332</v>
      </c>
      <c r="L423" s="351"/>
      <c r="M423" s="345">
        <f t="shared" si="397"/>
        <v>15.030531441880157</v>
      </c>
      <c r="N423" s="249">
        <f t="shared" si="398"/>
        <v>43.558480118568703</v>
      </c>
      <c r="O423" s="249">
        <f t="shared" si="399"/>
        <v>54.146046588354849</v>
      </c>
      <c r="P423" s="249">
        <f t="shared" si="400"/>
        <v>78.684212720102977</v>
      </c>
      <c r="Q423" s="249">
        <f t="shared" si="401"/>
        <v>85.688954464532642</v>
      </c>
      <c r="R423" s="249">
        <f t="shared" si="402"/>
        <v>107.49258776270935</v>
      </c>
      <c r="S423" s="249">
        <f t="shared" si="403"/>
        <v>112.9820089798979</v>
      </c>
      <c r="T423" s="249">
        <f t="shared" si="404"/>
        <v>133.81148561965824</v>
      </c>
      <c r="U423" s="249" t="e">
        <f t="shared" si="405"/>
        <v>#REF!</v>
      </c>
      <c r="V423" s="251">
        <f t="shared" si="406"/>
        <v>0</v>
      </c>
    </row>
    <row r="424" spans="1:22" x14ac:dyDescent="0.3">
      <c r="A424" s="1019"/>
      <c r="B424" s="252">
        <v>1</v>
      </c>
      <c r="C424" s="253">
        <v>700</v>
      </c>
      <c r="D424" s="254"/>
      <c r="E424" s="249">
        <f t="shared" si="392"/>
        <v>58.31</v>
      </c>
      <c r="F424" s="249">
        <f t="shared" si="407"/>
        <v>32.833333333333336</v>
      </c>
      <c r="G424" s="249">
        <f t="shared" si="393"/>
        <v>58.333333333333336</v>
      </c>
      <c r="H424" s="249">
        <f t="shared" si="394"/>
        <v>78.05</v>
      </c>
      <c r="I424" s="249">
        <f t="shared" si="395"/>
        <v>927.52666666666664</v>
      </c>
      <c r="J424" s="249"/>
      <c r="K424" s="368">
        <f t="shared" si="396"/>
        <v>927.52666666666664</v>
      </c>
      <c r="L424" s="351"/>
      <c r="M424" s="345">
        <f t="shared" si="397"/>
        <v>11.783103959347873</v>
      </c>
      <c r="N424" s="249">
        <f t="shared" si="398"/>
        <v>34.14743527419013</v>
      </c>
      <c r="O424" s="249">
        <f t="shared" si="399"/>
        <v>42.447500835570615</v>
      </c>
      <c r="P424" s="249">
        <f t="shared" si="400"/>
        <v>61.68406366903816</v>
      </c>
      <c r="Q424" s="249">
        <f t="shared" si="401"/>
        <v>67.175393134144144</v>
      </c>
      <c r="R424" s="249">
        <f t="shared" si="402"/>
        <v>84.268233719145968</v>
      </c>
      <c r="S424" s="249">
        <f t="shared" si="403"/>
        <v>88.571635839616278</v>
      </c>
      <c r="T424" s="249">
        <f t="shared" si="404"/>
        <v>104.90079157267549</v>
      </c>
      <c r="U424" s="249" t="e">
        <f t="shared" si="405"/>
        <v>#REF!</v>
      </c>
      <c r="V424" s="251">
        <f t="shared" si="406"/>
        <v>0</v>
      </c>
    </row>
    <row r="425" spans="1:22" x14ac:dyDescent="0.3">
      <c r="A425" s="1019"/>
      <c r="B425" s="252">
        <v>1</v>
      </c>
      <c r="C425" s="521">
        <v>900</v>
      </c>
      <c r="D425" s="254"/>
      <c r="E425" s="249">
        <f t="shared" si="392"/>
        <v>74.97</v>
      </c>
      <c r="F425" s="249">
        <f t="shared" si="407"/>
        <v>32.833333333333336</v>
      </c>
      <c r="G425" s="249">
        <f t="shared" si="393"/>
        <v>75</v>
      </c>
      <c r="H425" s="249">
        <f t="shared" si="394"/>
        <v>100.35000000000001</v>
      </c>
      <c r="I425" s="249">
        <f t="shared" si="395"/>
        <v>1183.1533333333332</v>
      </c>
      <c r="J425" s="249"/>
      <c r="K425" s="368">
        <f t="shared" si="396"/>
        <v>1183.1533333333332</v>
      </c>
      <c r="L425" s="351"/>
      <c r="M425" s="345">
        <f t="shared" si="397"/>
        <v>15.030531441880157</v>
      </c>
      <c r="N425" s="249">
        <f t="shared" si="398"/>
        <v>43.558480118568703</v>
      </c>
      <c r="O425" s="249">
        <f t="shared" si="399"/>
        <v>54.146046588354849</v>
      </c>
      <c r="P425" s="249">
        <f t="shared" si="400"/>
        <v>78.684212720102977</v>
      </c>
      <c r="Q425" s="249">
        <f t="shared" si="401"/>
        <v>85.688954464532642</v>
      </c>
      <c r="R425" s="249">
        <f t="shared" si="402"/>
        <v>107.49258776270935</v>
      </c>
      <c r="S425" s="249">
        <f t="shared" si="403"/>
        <v>112.9820089798979</v>
      </c>
      <c r="T425" s="249">
        <f t="shared" si="404"/>
        <v>133.81148561965824</v>
      </c>
      <c r="U425" s="249" t="e">
        <f t="shared" si="405"/>
        <v>#REF!</v>
      </c>
      <c r="V425" s="251">
        <f t="shared" si="406"/>
        <v>0</v>
      </c>
    </row>
    <row r="426" spans="1:22" x14ac:dyDescent="0.3">
      <c r="A426" s="1019"/>
      <c r="B426" s="252">
        <v>1</v>
      </c>
      <c r="C426" s="253">
        <v>850</v>
      </c>
      <c r="D426" s="254"/>
      <c r="E426" s="249">
        <f t="shared" si="392"/>
        <v>70.804999999999993</v>
      </c>
      <c r="F426" s="249">
        <f t="shared" si="407"/>
        <v>32.833333333333336</v>
      </c>
      <c r="G426" s="249">
        <f t="shared" si="393"/>
        <v>70.833333333333329</v>
      </c>
      <c r="H426" s="249">
        <f t="shared" si="394"/>
        <v>94.775000000000006</v>
      </c>
      <c r="I426" s="249">
        <f t="shared" si="395"/>
        <v>1119.2466666666667</v>
      </c>
      <c r="J426" s="249"/>
      <c r="K426" s="368">
        <f t="shared" si="396"/>
        <v>1119.2466666666667</v>
      </c>
      <c r="L426" s="351"/>
      <c r="M426" s="345">
        <f t="shared" si="397"/>
        <v>14.218674571247089</v>
      </c>
      <c r="N426" s="249">
        <f t="shared" si="398"/>
        <v>41.205718907474065</v>
      </c>
      <c r="O426" s="249">
        <f t="shared" si="399"/>
        <v>51.221410150158803</v>
      </c>
      <c r="P426" s="249">
        <f t="shared" si="400"/>
        <v>74.434175457336778</v>
      </c>
      <c r="Q426" s="249">
        <f t="shared" si="401"/>
        <v>81.060564131935521</v>
      </c>
      <c r="R426" s="249">
        <f t="shared" si="402"/>
        <v>101.6864992518185</v>
      </c>
      <c r="S426" s="249">
        <f t="shared" si="403"/>
        <v>106.87941569482751</v>
      </c>
      <c r="T426" s="249">
        <f t="shared" si="404"/>
        <v>126.58381210791256</v>
      </c>
      <c r="U426" s="249" t="e">
        <f t="shared" si="405"/>
        <v>#REF!</v>
      </c>
      <c r="V426" s="251">
        <f t="shared" si="406"/>
        <v>0</v>
      </c>
    </row>
    <row r="427" spans="1:22" x14ac:dyDescent="0.3">
      <c r="A427" s="1019"/>
      <c r="B427" s="252">
        <v>1</v>
      </c>
      <c r="C427" s="253">
        <v>1300</v>
      </c>
      <c r="D427" s="254"/>
      <c r="E427" s="249">
        <f t="shared" si="392"/>
        <v>108.28999999999999</v>
      </c>
      <c r="F427" s="249">
        <f t="shared" si="407"/>
        <v>32.833333333333336</v>
      </c>
      <c r="G427" s="249">
        <f t="shared" si="393"/>
        <v>108.33333333333333</v>
      </c>
      <c r="H427" s="249">
        <f t="shared" si="394"/>
        <v>144.94999999999999</v>
      </c>
      <c r="I427" s="249">
        <f t="shared" si="395"/>
        <v>1694.4066666666665</v>
      </c>
      <c r="J427" s="249"/>
      <c r="K427" s="368">
        <f t="shared" si="396"/>
        <v>1694.4066666666665</v>
      </c>
      <c r="L427" s="351"/>
      <c r="M427" s="345">
        <f t="shared" si="397"/>
        <v>21.525386406944737</v>
      </c>
      <c r="N427" s="249">
        <f t="shared" si="398"/>
        <v>62.380569807325841</v>
      </c>
      <c r="O427" s="249">
        <f t="shared" si="399"/>
        <v>77.543138093923346</v>
      </c>
      <c r="P427" s="249">
        <f t="shared" si="400"/>
        <v>112.68451082223265</v>
      </c>
      <c r="Q427" s="249">
        <f t="shared" si="401"/>
        <v>122.71607712530965</v>
      </c>
      <c r="R427" s="249">
        <f t="shared" si="402"/>
        <v>153.94129584983617</v>
      </c>
      <c r="S427" s="249">
        <f t="shared" si="403"/>
        <v>161.80275526046123</v>
      </c>
      <c r="T427" s="249">
        <f t="shared" si="404"/>
        <v>191.63287371362381</v>
      </c>
      <c r="U427" s="249" t="e">
        <f t="shared" si="405"/>
        <v>#REF!</v>
      </c>
      <c r="V427" s="251">
        <f t="shared" si="406"/>
        <v>0</v>
      </c>
    </row>
    <row r="428" spans="1:22" x14ac:dyDescent="0.3">
      <c r="A428" s="1019"/>
      <c r="B428" s="252"/>
      <c r="C428" s="253"/>
      <c r="D428" s="254"/>
      <c r="E428" s="249">
        <f t="shared" si="392"/>
        <v>0</v>
      </c>
      <c r="F428" s="249"/>
      <c r="G428" s="249">
        <f t="shared" si="393"/>
        <v>0</v>
      </c>
      <c r="H428" s="249">
        <f t="shared" si="394"/>
        <v>0</v>
      </c>
      <c r="I428" s="249">
        <f t="shared" si="395"/>
        <v>0</v>
      </c>
      <c r="J428" s="249"/>
      <c r="K428" s="368">
        <f t="shared" si="396"/>
        <v>0</v>
      </c>
      <c r="L428" s="351"/>
      <c r="M428" s="345">
        <f t="shared" si="397"/>
        <v>0</v>
      </c>
      <c r="N428" s="249">
        <f t="shared" si="398"/>
        <v>0</v>
      </c>
      <c r="O428" s="249">
        <f t="shared" si="399"/>
        <v>0</v>
      </c>
      <c r="P428" s="249">
        <f t="shared" si="400"/>
        <v>0</v>
      </c>
      <c r="Q428" s="249">
        <f t="shared" si="401"/>
        <v>0</v>
      </c>
      <c r="R428" s="249">
        <f t="shared" si="402"/>
        <v>0</v>
      </c>
      <c r="S428" s="249">
        <f t="shared" si="403"/>
        <v>0</v>
      </c>
      <c r="T428" s="249">
        <f t="shared" si="404"/>
        <v>0</v>
      </c>
      <c r="U428" s="249" t="e">
        <f t="shared" si="405"/>
        <v>#REF!</v>
      </c>
      <c r="V428" s="251">
        <f t="shared" si="406"/>
        <v>0</v>
      </c>
    </row>
    <row r="429" spans="1:22" ht="10.8" thickBot="1" x14ac:dyDescent="0.35">
      <c r="A429" s="1020"/>
      <c r="B429" s="239"/>
      <c r="C429" s="233"/>
      <c r="D429" s="139"/>
      <c r="E429" s="347">
        <f t="shared" si="392"/>
        <v>0</v>
      </c>
      <c r="F429" s="347"/>
      <c r="G429" s="347">
        <f t="shared" si="393"/>
        <v>0</v>
      </c>
      <c r="H429" s="347">
        <f t="shared" si="394"/>
        <v>0</v>
      </c>
      <c r="I429" s="347">
        <f t="shared" si="395"/>
        <v>0</v>
      </c>
      <c r="J429" s="347"/>
      <c r="K429" s="369">
        <f t="shared" si="396"/>
        <v>0</v>
      </c>
      <c r="L429" s="351"/>
      <c r="M429" s="346">
        <f t="shared" si="397"/>
        <v>0</v>
      </c>
      <c r="N429" s="347">
        <f t="shared" si="398"/>
        <v>0</v>
      </c>
      <c r="O429" s="347">
        <f t="shared" si="399"/>
        <v>0</v>
      </c>
      <c r="P429" s="347">
        <f t="shared" si="400"/>
        <v>0</v>
      </c>
      <c r="Q429" s="347">
        <f t="shared" si="401"/>
        <v>0</v>
      </c>
      <c r="R429" s="347">
        <f t="shared" si="402"/>
        <v>0</v>
      </c>
      <c r="S429" s="347">
        <f t="shared" si="403"/>
        <v>0</v>
      </c>
      <c r="T429" s="347">
        <f t="shared" si="404"/>
        <v>0</v>
      </c>
      <c r="U429" s="347" t="e">
        <f t="shared" si="405"/>
        <v>#REF!</v>
      </c>
      <c r="V429" s="348">
        <f t="shared" si="406"/>
        <v>0</v>
      </c>
    </row>
    <row r="430" spans="1:22" ht="10.8" thickBot="1" x14ac:dyDescent="0.35">
      <c r="A430" s="1021" t="s">
        <v>269</v>
      </c>
      <c r="B430" s="256">
        <v>1</v>
      </c>
      <c r="C430" s="257">
        <v>820</v>
      </c>
      <c r="D430" s="258"/>
      <c r="E430" s="245">
        <f t="shared" si="392"/>
        <v>68.305999999999997</v>
      </c>
      <c r="F430" s="245">
        <f t="shared" si="407"/>
        <v>32.833333333333336</v>
      </c>
      <c r="G430" s="245">
        <f t="shared" si="393"/>
        <v>68.333333333333329</v>
      </c>
      <c r="H430" s="245">
        <f t="shared" si="394"/>
        <v>91.43</v>
      </c>
      <c r="I430" s="245">
        <f t="shared" si="395"/>
        <v>1080.9026666666668</v>
      </c>
      <c r="J430" s="245"/>
      <c r="K430" s="362">
        <f t="shared" si="396"/>
        <v>1080.9026666666668</v>
      </c>
      <c r="L430" s="351"/>
      <c r="M430" s="345">
        <f t="shared" si="397"/>
        <v>13.731560448867246</v>
      </c>
      <c r="N430" s="249">
        <f t="shared" si="398"/>
        <v>39.794062180817278</v>
      </c>
      <c r="O430" s="249">
        <f t="shared" si="399"/>
        <v>49.466628287241164</v>
      </c>
      <c r="P430" s="249">
        <f t="shared" si="400"/>
        <v>71.884153099677064</v>
      </c>
      <c r="Q430" s="249">
        <f t="shared" si="401"/>
        <v>78.283529932377263</v>
      </c>
      <c r="R430" s="249">
        <f t="shared" si="402"/>
        <v>98.202846145284013</v>
      </c>
      <c r="S430" s="249">
        <f t="shared" si="403"/>
        <v>103.21785972378527</v>
      </c>
      <c r="T430" s="249">
        <f t="shared" si="404"/>
        <v>122.24720800086516</v>
      </c>
      <c r="U430" s="249" t="e">
        <f t="shared" si="405"/>
        <v>#REF!</v>
      </c>
      <c r="V430" s="251">
        <f t="shared" si="406"/>
        <v>0</v>
      </c>
    </row>
    <row r="431" spans="1:22" x14ac:dyDescent="0.3">
      <c r="A431" s="1022"/>
      <c r="B431" s="252">
        <v>1</v>
      </c>
      <c r="C431" s="253">
        <v>820</v>
      </c>
      <c r="D431" s="254"/>
      <c r="E431" s="249">
        <f t="shared" si="392"/>
        <v>68.305999999999997</v>
      </c>
      <c r="F431" s="245">
        <f t="shared" si="407"/>
        <v>32.833333333333336</v>
      </c>
      <c r="G431" s="249">
        <f t="shared" si="393"/>
        <v>68.333333333333329</v>
      </c>
      <c r="H431" s="249">
        <f t="shared" si="394"/>
        <v>91.43</v>
      </c>
      <c r="I431" s="249">
        <f t="shared" si="395"/>
        <v>1080.9026666666668</v>
      </c>
      <c r="J431" s="249"/>
      <c r="K431" s="368">
        <f t="shared" si="396"/>
        <v>1080.9026666666668</v>
      </c>
      <c r="L431" s="351"/>
      <c r="M431" s="345">
        <f t="shared" si="397"/>
        <v>13.731560448867246</v>
      </c>
      <c r="N431" s="249">
        <f t="shared" si="398"/>
        <v>39.794062180817278</v>
      </c>
      <c r="O431" s="249">
        <f t="shared" si="399"/>
        <v>49.466628287241164</v>
      </c>
      <c r="P431" s="249">
        <f t="shared" si="400"/>
        <v>71.884153099677064</v>
      </c>
      <c r="Q431" s="249">
        <f t="shared" si="401"/>
        <v>78.283529932377263</v>
      </c>
      <c r="R431" s="249">
        <f t="shared" si="402"/>
        <v>98.202846145284013</v>
      </c>
      <c r="S431" s="249">
        <f t="shared" si="403"/>
        <v>103.21785972378527</v>
      </c>
      <c r="T431" s="249">
        <f t="shared" si="404"/>
        <v>122.24720800086516</v>
      </c>
      <c r="U431" s="249" t="e">
        <f t="shared" si="405"/>
        <v>#REF!</v>
      </c>
      <c r="V431" s="251">
        <f t="shared" si="406"/>
        <v>0</v>
      </c>
    </row>
    <row r="432" spans="1:22" ht="10.8" thickBot="1" x14ac:dyDescent="0.35">
      <c r="A432" s="1023"/>
      <c r="B432" s="239"/>
      <c r="C432" s="233"/>
      <c r="D432" s="139"/>
      <c r="E432" s="347">
        <f t="shared" si="392"/>
        <v>0</v>
      </c>
      <c r="F432" s="347"/>
      <c r="G432" s="347">
        <f t="shared" si="393"/>
        <v>0</v>
      </c>
      <c r="H432" s="347">
        <f t="shared" si="394"/>
        <v>0</v>
      </c>
      <c r="I432" s="347">
        <f t="shared" si="395"/>
        <v>0</v>
      </c>
      <c r="J432" s="347"/>
      <c r="K432" s="369">
        <f t="shared" si="396"/>
        <v>0</v>
      </c>
      <c r="L432" s="351"/>
      <c r="M432" s="364">
        <f t="shared" si="397"/>
        <v>0</v>
      </c>
      <c r="N432" s="363">
        <f t="shared" si="398"/>
        <v>0</v>
      </c>
      <c r="O432" s="363">
        <f t="shared" si="399"/>
        <v>0</v>
      </c>
      <c r="P432" s="363">
        <f t="shared" si="400"/>
        <v>0</v>
      </c>
      <c r="Q432" s="363">
        <f t="shared" si="401"/>
        <v>0</v>
      </c>
      <c r="R432" s="363">
        <f t="shared" si="402"/>
        <v>0</v>
      </c>
      <c r="S432" s="363">
        <f t="shared" si="403"/>
        <v>0</v>
      </c>
      <c r="T432" s="363">
        <f t="shared" si="404"/>
        <v>0</v>
      </c>
      <c r="U432" s="363" t="e">
        <f t="shared" si="405"/>
        <v>#REF!</v>
      </c>
      <c r="V432" s="365">
        <f t="shared" si="406"/>
        <v>0</v>
      </c>
    </row>
    <row r="433" spans="1:22" x14ac:dyDescent="0.3">
      <c r="A433" s="1018" t="s">
        <v>270</v>
      </c>
      <c r="B433" s="256">
        <v>1</v>
      </c>
      <c r="C433" s="257">
        <v>700</v>
      </c>
      <c r="D433" s="258"/>
      <c r="E433" s="245">
        <f t="shared" si="392"/>
        <v>58.31</v>
      </c>
      <c r="F433" s="245">
        <f t="shared" si="407"/>
        <v>32.833333333333336</v>
      </c>
      <c r="G433" s="245">
        <f t="shared" si="393"/>
        <v>58.333333333333336</v>
      </c>
      <c r="H433" s="245">
        <f t="shared" si="394"/>
        <v>78.05</v>
      </c>
      <c r="I433" s="245">
        <f t="shared" si="395"/>
        <v>927.52666666666664</v>
      </c>
      <c r="J433" s="245"/>
      <c r="K433" s="362">
        <f t="shared" si="396"/>
        <v>927.52666666666664</v>
      </c>
      <c r="L433" s="351"/>
      <c r="M433" s="366">
        <f t="shared" si="397"/>
        <v>11.783103959347873</v>
      </c>
      <c r="N433" s="245">
        <f t="shared" si="398"/>
        <v>34.14743527419013</v>
      </c>
      <c r="O433" s="245">
        <f t="shared" si="399"/>
        <v>42.447500835570615</v>
      </c>
      <c r="P433" s="245">
        <f t="shared" si="400"/>
        <v>61.68406366903816</v>
      </c>
      <c r="Q433" s="245">
        <f t="shared" si="401"/>
        <v>67.175393134144144</v>
      </c>
      <c r="R433" s="245">
        <f t="shared" si="402"/>
        <v>84.268233719145968</v>
      </c>
      <c r="S433" s="245">
        <f t="shared" si="403"/>
        <v>88.571635839616278</v>
      </c>
      <c r="T433" s="245">
        <f t="shared" si="404"/>
        <v>104.90079157267549</v>
      </c>
      <c r="U433" s="245" t="e">
        <f t="shared" si="405"/>
        <v>#REF!</v>
      </c>
      <c r="V433" s="246">
        <f t="shared" si="406"/>
        <v>0</v>
      </c>
    </row>
    <row r="434" spans="1:22" x14ac:dyDescent="0.3">
      <c r="A434" s="1019"/>
      <c r="B434" s="252"/>
      <c r="C434" s="253"/>
      <c r="D434" s="254"/>
      <c r="E434" s="249">
        <f t="shared" si="392"/>
        <v>0</v>
      </c>
      <c r="F434" s="249"/>
      <c r="G434" s="249">
        <f t="shared" si="393"/>
        <v>0</v>
      </c>
      <c r="H434" s="249">
        <f t="shared" si="394"/>
        <v>0</v>
      </c>
      <c r="I434" s="249">
        <f t="shared" si="395"/>
        <v>0</v>
      </c>
      <c r="J434" s="249"/>
      <c r="K434" s="368">
        <f t="shared" si="396"/>
        <v>0</v>
      </c>
      <c r="L434" s="351"/>
      <c r="M434" s="345">
        <f t="shared" si="397"/>
        <v>0</v>
      </c>
      <c r="N434" s="249">
        <f t="shared" si="398"/>
        <v>0</v>
      </c>
      <c r="O434" s="249">
        <f t="shared" si="399"/>
        <v>0</v>
      </c>
      <c r="P434" s="249">
        <f t="shared" si="400"/>
        <v>0</v>
      </c>
      <c r="Q434" s="249">
        <f t="shared" si="401"/>
        <v>0</v>
      </c>
      <c r="R434" s="249">
        <f t="shared" si="402"/>
        <v>0</v>
      </c>
      <c r="S434" s="249">
        <f t="shared" si="403"/>
        <v>0</v>
      </c>
      <c r="T434" s="249">
        <f t="shared" si="404"/>
        <v>0</v>
      </c>
      <c r="U434" s="249" t="e">
        <f t="shared" si="405"/>
        <v>#REF!</v>
      </c>
      <c r="V434" s="251">
        <f t="shared" si="406"/>
        <v>0</v>
      </c>
    </row>
    <row r="435" spans="1:22" ht="10.8" thickBot="1" x14ac:dyDescent="0.35">
      <c r="A435" s="1019"/>
      <c r="B435" s="252"/>
      <c r="C435" s="253"/>
      <c r="D435" s="254"/>
      <c r="E435" s="363">
        <f>+C435*0.0833</f>
        <v>0</v>
      </c>
      <c r="F435" s="363"/>
      <c r="G435" s="363">
        <f>+C435/12</f>
        <v>0</v>
      </c>
      <c r="H435" s="363">
        <f>+C435*0.1115</f>
        <v>0</v>
      </c>
      <c r="I435" s="363">
        <f>SUM(C435:H435)</f>
        <v>0</v>
      </c>
      <c r="J435" s="363"/>
      <c r="K435" s="370">
        <f>SUM(I435:J435)</f>
        <v>0</v>
      </c>
      <c r="L435" s="351"/>
      <c r="M435" s="346">
        <f t="shared" si="397"/>
        <v>0</v>
      </c>
      <c r="N435" s="347">
        <f t="shared" si="398"/>
        <v>0</v>
      </c>
      <c r="O435" s="347">
        <f t="shared" si="399"/>
        <v>0</v>
      </c>
      <c r="P435" s="347">
        <f t="shared" si="400"/>
        <v>0</v>
      </c>
      <c r="Q435" s="347">
        <f t="shared" si="401"/>
        <v>0</v>
      </c>
      <c r="R435" s="347">
        <f t="shared" si="402"/>
        <v>0</v>
      </c>
      <c r="S435" s="347">
        <f t="shared" si="403"/>
        <v>0</v>
      </c>
      <c r="T435" s="347">
        <f t="shared" si="404"/>
        <v>0</v>
      </c>
      <c r="U435" s="347" t="e">
        <f t="shared" si="405"/>
        <v>#REF!</v>
      </c>
      <c r="V435" s="348">
        <f t="shared" si="406"/>
        <v>0</v>
      </c>
    </row>
    <row r="436" spans="1:22" x14ac:dyDescent="0.3">
      <c r="A436" s="1024" t="s">
        <v>271</v>
      </c>
      <c r="B436" s="236">
        <v>1</v>
      </c>
      <c r="C436" s="245">
        <v>900</v>
      </c>
      <c r="D436" s="255"/>
      <c r="E436" s="245">
        <f>+C436*0.0833</f>
        <v>74.97</v>
      </c>
      <c r="F436" s="245">
        <f>(394/12)</f>
        <v>32.833333333333336</v>
      </c>
      <c r="G436" s="245">
        <f>+C436/12</f>
        <v>75</v>
      </c>
      <c r="H436" s="245">
        <f>+C436*0.1115</f>
        <v>100.35000000000001</v>
      </c>
      <c r="I436" s="245">
        <f>SUM(C436:H436)</f>
        <v>1183.1533333333332</v>
      </c>
      <c r="J436" s="245"/>
      <c r="K436" s="362">
        <f>SUM(I436:J436)</f>
        <v>1183.1533333333332</v>
      </c>
      <c r="L436" s="351"/>
      <c r="M436" s="345">
        <f t="shared" si="397"/>
        <v>15.030531441880157</v>
      </c>
      <c r="N436" s="249">
        <f t="shared" si="398"/>
        <v>43.558480118568703</v>
      </c>
      <c r="O436" s="249">
        <f t="shared" si="399"/>
        <v>54.146046588354849</v>
      </c>
      <c r="P436" s="249">
        <f t="shared" si="400"/>
        <v>78.684212720102977</v>
      </c>
      <c r="Q436" s="249">
        <f t="shared" si="401"/>
        <v>85.688954464532642</v>
      </c>
      <c r="R436" s="249">
        <f t="shared" si="402"/>
        <v>107.49258776270935</v>
      </c>
      <c r="S436" s="249">
        <f t="shared" si="403"/>
        <v>112.9820089798979</v>
      </c>
      <c r="T436" s="249">
        <f t="shared" si="404"/>
        <v>133.81148561965824</v>
      </c>
      <c r="U436" s="249" t="e">
        <f t="shared" si="405"/>
        <v>#REF!</v>
      </c>
      <c r="V436" s="251">
        <f t="shared" si="406"/>
        <v>0</v>
      </c>
    </row>
    <row r="437" spans="1:22" ht="15" customHeight="1" x14ac:dyDescent="0.3">
      <c r="A437" s="1025"/>
      <c r="B437" s="237">
        <v>1</v>
      </c>
      <c r="C437" s="247">
        <v>900</v>
      </c>
      <c r="D437" s="51"/>
      <c r="E437" s="247">
        <f>+C437*0.0833</f>
        <v>74.97</v>
      </c>
      <c r="F437" s="247">
        <f>(394/12)</f>
        <v>32.833333333333336</v>
      </c>
      <c r="G437" s="247">
        <f>+C437/12</f>
        <v>75</v>
      </c>
      <c r="H437" s="247">
        <f>+C437*0.1115</f>
        <v>100.35000000000001</v>
      </c>
      <c r="I437" s="247">
        <f>SUM(C437:H437)</f>
        <v>1183.1533333333332</v>
      </c>
      <c r="J437" s="247"/>
      <c r="K437" s="359">
        <f>SUM(I437:J437)</f>
        <v>1183.1533333333332</v>
      </c>
      <c r="L437" s="351"/>
      <c r="M437" s="345">
        <f>+(K437/$B$2)*$M$2*6</f>
        <v>15.030531441880157</v>
      </c>
      <c r="N437" s="249">
        <f>+(K437/$B$2)*$N$2*6</f>
        <v>43.558480118568703</v>
      </c>
      <c r="O437" s="249">
        <f>+(K437/$B$2)*$O$2*6</f>
        <v>54.146046588354849</v>
      </c>
      <c r="P437" s="249">
        <f>+(K437/$B$2)*$P$2*6</f>
        <v>78.684212720102977</v>
      </c>
      <c r="Q437" s="249">
        <f>+(K437/$B$2)*$Q$2*6</f>
        <v>85.688954464532642</v>
      </c>
      <c r="R437" s="249">
        <f>+(K437/$B$2)*$R$2*6</f>
        <v>107.49258776270935</v>
      </c>
      <c r="S437" s="249">
        <f>+(K437/$B$2)*$S$2*6</f>
        <v>112.9820089798979</v>
      </c>
      <c r="T437" s="249">
        <f>+(K437/$B$2)*$T$2*6</f>
        <v>133.81148561965824</v>
      </c>
      <c r="U437" s="249" t="e">
        <f>+(K437/$B$2)*$U$2*6</f>
        <v>#REF!</v>
      </c>
      <c r="V437" s="251">
        <f>+(K437/$B$2)*$V$2*6</f>
        <v>0</v>
      </c>
    </row>
    <row r="438" spans="1:22" ht="15" customHeight="1" x14ac:dyDescent="0.3">
      <c r="A438" s="1025"/>
      <c r="B438" s="237">
        <v>1</v>
      </c>
      <c r="C438" s="247">
        <v>820</v>
      </c>
      <c r="D438" s="51"/>
      <c r="E438" s="247">
        <f>+C438*0.0833</f>
        <v>68.305999999999997</v>
      </c>
      <c r="F438" s="247">
        <f>(394/12)</f>
        <v>32.833333333333336</v>
      </c>
      <c r="G438" s="247">
        <f>+C438/12</f>
        <v>68.333333333333329</v>
      </c>
      <c r="H438" s="247">
        <f>+C438*0.1115</f>
        <v>91.43</v>
      </c>
      <c r="I438" s="247">
        <f>SUM(C438:H438)</f>
        <v>1080.9026666666668</v>
      </c>
      <c r="J438" s="247"/>
      <c r="K438" s="359">
        <f>SUM(I438:J438)</f>
        <v>1080.9026666666668</v>
      </c>
      <c r="L438" s="351"/>
      <c r="M438" s="345">
        <f>+(K438/$B$2)*$M$2*6</f>
        <v>13.731560448867246</v>
      </c>
      <c r="N438" s="249">
        <f>+(K438/$B$2)*$N$2*6</f>
        <v>39.794062180817278</v>
      </c>
      <c r="O438" s="249">
        <f>+(K438/$B$2)*$O$2*6</f>
        <v>49.466628287241164</v>
      </c>
      <c r="P438" s="249">
        <f>+(K438/$B$2)*$P$2*6</f>
        <v>71.884153099677064</v>
      </c>
      <c r="Q438" s="249">
        <f>+(K438/$B$2)*$Q$2*6</f>
        <v>78.283529932377263</v>
      </c>
      <c r="R438" s="249">
        <f>+(K438/$B$2)*$R$2*6</f>
        <v>98.202846145284013</v>
      </c>
      <c r="S438" s="249">
        <f>+(K438/$B$2)*$S$2*6</f>
        <v>103.21785972378527</v>
      </c>
      <c r="T438" s="249">
        <f>+(K438/$B$2)*$T$2*6</f>
        <v>122.24720800086516</v>
      </c>
      <c r="U438" s="249" t="e">
        <f>+(K438/$B$2)*$U$2*6</f>
        <v>#REF!</v>
      </c>
      <c r="V438" s="251">
        <f>+(K438/$B$2)*$V$2*6</f>
        <v>0</v>
      </c>
    </row>
    <row r="439" spans="1:22" ht="15.75" customHeight="1" thickBot="1" x14ac:dyDescent="0.35">
      <c r="A439" s="1026"/>
      <c r="B439" s="239"/>
      <c r="C439" s="233"/>
      <c r="D439" s="139"/>
      <c r="E439" s="233">
        <f>+C439*0.0833</f>
        <v>0</v>
      </c>
      <c r="F439" s="233"/>
      <c r="G439" s="233">
        <f>+C439/12</f>
        <v>0</v>
      </c>
      <c r="H439" s="233">
        <f>+C439*0.1115</f>
        <v>0</v>
      </c>
      <c r="I439" s="233">
        <f>SUM(C439:H439)</f>
        <v>0</v>
      </c>
      <c r="J439" s="233"/>
      <c r="K439" s="360">
        <f>SUM(I439:J439)</f>
        <v>0</v>
      </c>
      <c r="L439" s="351"/>
      <c r="M439" s="345">
        <f>+(K439/$B$2)*$M$2*6</f>
        <v>0</v>
      </c>
      <c r="N439" s="249">
        <f>+(K439/$B$2)*$N$2*6</f>
        <v>0</v>
      </c>
      <c r="O439" s="249">
        <f>+(K439/$B$2)*$O$2*6</f>
        <v>0</v>
      </c>
      <c r="P439" s="249">
        <f>+(K439/$B$2)*$P$2*6</f>
        <v>0</v>
      </c>
      <c r="Q439" s="249">
        <f>+(K439/$B$2)*$Q$2*6</f>
        <v>0</v>
      </c>
      <c r="R439" s="249">
        <f>+(K439/$B$2)*$R$2*6</f>
        <v>0</v>
      </c>
      <c r="S439" s="249">
        <f>+(K439/$B$2)*$S$2*6</f>
        <v>0</v>
      </c>
      <c r="T439" s="249">
        <f>+(K439/$B$2)*$T$2*6</f>
        <v>0</v>
      </c>
      <c r="U439" s="249" t="e">
        <f>+(K439/$B$2)*$U$2*6</f>
        <v>#REF!</v>
      </c>
      <c r="V439" s="251">
        <f>+(K439/$B$2)*$V$2*6</f>
        <v>0</v>
      </c>
    </row>
    <row r="440" spans="1:22" ht="30.75" customHeight="1" thickBot="1" x14ac:dyDescent="0.35">
      <c r="A440" s="371" t="s">
        <v>272</v>
      </c>
      <c r="B440" s="869">
        <f t="shared" ref="B440:K440" si="408">SUM(B4:B439)</f>
        <v>284</v>
      </c>
      <c r="C440" s="372">
        <f t="shared" si="408"/>
        <v>294850.88</v>
      </c>
      <c r="D440" s="372">
        <f t="shared" si="408"/>
        <v>0</v>
      </c>
      <c r="E440" s="372">
        <f t="shared" si="408"/>
        <v>24561.078304000028</v>
      </c>
      <c r="F440" s="372">
        <f t="shared" si="408"/>
        <v>9310.4433333333236</v>
      </c>
      <c r="G440" s="372">
        <f t="shared" si="408"/>
        <v>24570.906666666619</v>
      </c>
      <c r="H440" s="372">
        <f t="shared" si="408"/>
        <v>32875.873120000004</v>
      </c>
      <c r="I440" s="372">
        <f t="shared" si="408"/>
        <v>386169.18142399972</v>
      </c>
      <c r="J440" s="372">
        <f t="shared" si="408"/>
        <v>0</v>
      </c>
      <c r="K440" s="373">
        <f t="shared" si="408"/>
        <v>386169.18142399972</v>
      </c>
      <c r="L440" s="560" t="s">
        <v>273</v>
      </c>
      <c r="M440" s="564">
        <f t="shared" ref="M440:V440" si="409">SUM(M4:M439)</f>
        <v>4905.8121713825994</v>
      </c>
      <c r="N440" s="565">
        <f t="shared" si="409"/>
        <v>14217.043672666778</v>
      </c>
      <c r="O440" s="566">
        <f t="shared" si="409"/>
        <v>17672.717389437345</v>
      </c>
      <c r="P440" s="566">
        <f t="shared" si="409"/>
        <v>25681.724558479968</v>
      </c>
      <c r="Q440" s="566">
        <f t="shared" si="409"/>
        <v>27968.000824897565</v>
      </c>
      <c r="R440" s="566">
        <f t="shared" si="409"/>
        <v>35084.484365627097</v>
      </c>
      <c r="S440" s="566">
        <f t="shared" si="409"/>
        <v>36876.175466188841</v>
      </c>
      <c r="T440" s="566">
        <f t="shared" si="409"/>
        <v>43674.704208701813</v>
      </c>
      <c r="U440" s="566" t="e">
        <f t="shared" si="409"/>
        <v>#REF!</v>
      </c>
      <c r="V440" s="566">
        <f t="shared" si="409"/>
        <v>0</v>
      </c>
    </row>
    <row r="441" spans="1:22" x14ac:dyDescent="0.3">
      <c r="B441" s="47"/>
    </row>
    <row r="442" spans="1:22" x14ac:dyDescent="0.3">
      <c r="B442" s="469">
        <f>+B440/F2</f>
        <v>0.31874298540965207</v>
      </c>
      <c r="K442" s="259">
        <f>+K440*12</f>
        <v>4634030.1770879962</v>
      </c>
      <c r="L442" s="259"/>
    </row>
  </sheetData>
  <mergeCells count="50">
    <mergeCell ref="A253:A256"/>
    <mergeCell ref="A257:A261"/>
    <mergeCell ref="A353:A370"/>
    <mergeCell ref="A262:A282"/>
    <mergeCell ref="A283:A309"/>
    <mergeCell ref="A310:A327"/>
    <mergeCell ref="A328:A337"/>
    <mergeCell ref="A338:A352"/>
    <mergeCell ref="A197:A207"/>
    <mergeCell ref="A208:A217"/>
    <mergeCell ref="A244:A252"/>
    <mergeCell ref="A235:A239"/>
    <mergeCell ref="A240:A243"/>
    <mergeCell ref="A218:A224"/>
    <mergeCell ref="A225:A234"/>
    <mergeCell ref="A127:A133"/>
    <mergeCell ref="A134:A138"/>
    <mergeCell ref="A139:A145"/>
    <mergeCell ref="A146:A159"/>
    <mergeCell ref="A160:A196"/>
    <mergeCell ref="A71:A80"/>
    <mergeCell ref="A117:A126"/>
    <mergeCell ref="A55:A62"/>
    <mergeCell ref="A81:A85"/>
    <mergeCell ref="A86:A95"/>
    <mergeCell ref="A96:A106"/>
    <mergeCell ref="A107:A111"/>
    <mergeCell ref="A112:A116"/>
    <mergeCell ref="A42:A48"/>
    <mergeCell ref="A49:A54"/>
    <mergeCell ref="A63:A65"/>
    <mergeCell ref="A66:A70"/>
    <mergeCell ref="M1:U1"/>
    <mergeCell ref="A15:A23"/>
    <mergeCell ref="D2:E2"/>
    <mergeCell ref="G2:K2"/>
    <mergeCell ref="A4:A8"/>
    <mergeCell ref="A9:A11"/>
    <mergeCell ref="A12:A14"/>
    <mergeCell ref="A24:A34"/>
    <mergeCell ref="A35:A41"/>
    <mergeCell ref="A410:A429"/>
    <mergeCell ref="A430:A432"/>
    <mergeCell ref="A433:A435"/>
    <mergeCell ref="A436:A439"/>
    <mergeCell ref="A371:A374"/>
    <mergeCell ref="A375:A389"/>
    <mergeCell ref="A390:A397"/>
    <mergeCell ref="A398:A405"/>
    <mergeCell ref="A406:A40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7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9"/>
  <sheetViews>
    <sheetView showGridLines="0" topLeftCell="A19" zoomScaleNormal="100" workbookViewId="0">
      <selection activeCell="B19" sqref="B19"/>
    </sheetView>
  </sheetViews>
  <sheetFormatPr baseColWidth="10" defaultColWidth="11.44140625" defaultRowHeight="13.8" x14ac:dyDescent="0.3"/>
  <cols>
    <col min="1" max="1" width="32.109375" style="571" bestFit="1" customWidth="1"/>
    <col min="2" max="2" width="13.21875" style="48" customWidth="1"/>
    <col min="3" max="3" width="10.33203125" style="48" customWidth="1"/>
    <col min="4" max="4" width="10.6640625" style="48" customWidth="1"/>
    <col min="5" max="5" width="10.88671875" style="48" customWidth="1"/>
    <col min="6" max="6" width="10.5546875" style="48" customWidth="1"/>
    <col min="7" max="7" width="9.88671875" style="48" customWidth="1"/>
    <col min="8" max="8" width="10" style="48" customWidth="1"/>
    <col min="9" max="9" width="10.109375" style="48" customWidth="1"/>
    <col min="10" max="10" width="9.5546875" style="48" customWidth="1"/>
    <col min="11" max="11" width="4.109375" style="48" customWidth="1"/>
    <col min="12" max="12" width="12" style="48" customWidth="1"/>
    <col min="13" max="13" width="6" style="48" customWidth="1"/>
    <col min="14" max="14" width="7.33203125" style="48" customWidth="1"/>
    <col min="15" max="16384" width="11.44140625" style="48"/>
  </cols>
  <sheetData>
    <row r="1" spans="1:16" s="120" customFormat="1" ht="12.75" customHeight="1" thickBot="1" x14ac:dyDescent="0.35">
      <c r="A1" s="577"/>
      <c r="B1" s="920">
        <v>1.05</v>
      </c>
    </row>
    <row r="2" spans="1:16" ht="14.4" thickBot="1" x14ac:dyDescent="0.35"/>
    <row r="3" spans="1:16" s="165" customFormat="1" ht="45" customHeight="1" thickBot="1" x14ac:dyDescent="0.35">
      <c r="A3" s="1039" t="s">
        <v>292</v>
      </c>
      <c r="B3" s="1040"/>
      <c r="C3" s="1040"/>
      <c r="D3" s="1040"/>
      <c r="E3" s="1040"/>
      <c r="F3" s="1040"/>
      <c r="G3" s="1040"/>
      <c r="H3" s="1040"/>
      <c r="I3" s="1040"/>
      <c r="J3" s="1040"/>
      <c r="K3" s="1041"/>
    </row>
    <row r="4" spans="1:16" ht="30" customHeight="1" thickBot="1" x14ac:dyDescent="0.35">
      <c r="A4" s="578" t="s">
        <v>161</v>
      </c>
      <c r="B4" s="384">
        <f>+'1 Estudiantes'!B3</f>
        <v>2023</v>
      </c>
      <c r="C4" s="384">
        <f>+'1 Estudiantes'!C3</f>
        <v>2023</v>
      </c>
      <c r="D4" s="384">
        <f>+'1 Estudiantes'!D3</f>
        <v>2024</v>
      </c>
      <c r="E4" s="384">
        <f>+'1 Estudiantes'!E3</f>
        <v>2024</v>
      </c>
      <c r="F4" s="384">
        <f>+'1 Estudiantes'!F3</f>
        <v>2025</v>
      </c>
      <c r="G4" s="384">
        <f>+'1 Estudiantes'!G3</f>
        <v>2025</v>
      </c>
      <c r="H4" s="384">
        <f>+'1 Estudiantes'!H3</f>
        <v>2026</v>
      </c>
      <c r="I4" s="384">
        <f>+'1 Estudiantes'!I3</f>
        <v>2026</v>
      </c>
      <c r="J4" s="384"/>
      <c r="K4" s="385"/>
    </row>
    <row r="5" spans="1:16" s="165" customFormat="1" ht="21.75" customHeight="1" x14ac:dyDescent="0.3">
      <c r="A5" s="725" t="s">
        <v>293</v>
      </c>
      <c r="B5" s="726">
        <f t="shared" ref="B5:I5" si="0">SUM(B6:B20)</f>
        <v>27376.805803078376</v>
      </c>
      <c r="C5" s="726">
        <f t="shared" si="0"/>
        <v>88847.297146146797</v>
      </c>
      <c r="D5" s="726">
        <f t="shared" si="0"/>
        <v>118741.70896794503</v>
      </c>
      <c r="E5" s="726">
        <f t="shared" si="0"/>
        <v>182905.70207007747</v>
      </c>
      <c r="F5" s="726">
        <f t="shared" si="0"/>
        <v>210184.6182833559</v>
      </c>
      <c r="G5" s="726">
        <f t="shared" si="0"/>
        <v>276049.29719013325</v>
      </c>
      <c r="H5" s="726">
        <f t="shared" si="0"/>
        <v>303307.68325178651</v>
      </c>
      <c r="I5" s="726">
        <f t="shared" si="0"/>
        <v>365252.70491074654</v>
      </c>
      <c r="J5" s="733">
        <f>SUM(B5:I5)</f>
        <v>1572665.81762327</v>
      </c>
      <c r="K5" s="727"/>
    </row>
    <row r="6" spans="1:16" ht="14.25" customHeight="1" x14ac:dyDescent="0.3">
      <c r="A6" s="579" t="s">
        <v>294</v>
      </c>
      <c r="B6" s="588">
        <f>+'8 Mantenimiento'!E4</f>
        <v>3132.9663349565953</v>
      </c>
      <c r="C6" s="588">
        <f>+'8 Mantenimiento'!F4</f>
        <v>9209.1709497776828</v>
      </c>
      <c r="D6" s="588">
        <f>+'8 Mantenimiento'!G4</f>
        <v>11447.603266446835</v>
      </c>
      <c r="E6" s="588">
        <f>+'8 Mantenimiento'!H4</f>
        <v>16943.821093974362</v>
      </c>
      <c r="F6" s="588">
        <f>+'8 Mantenimiento'!I4</f>
        <v>18452.218863032635</v>
      </c>
      <c r="G6" s="588">
        <f>+'8 Mantenimiento'!J4</f>
        <v>22708.249800110374</v>
      </c>
      <c r="H6" s="588">
        <f>+'8 Mantenimiento'!K4</f>
        <v>23867.91253455976</v>
      </c>
      <c r="I6" s="588">
        <f>+'8 Mantenimiento'!L4</f>
        <v>28268.22485921413</v>
      </c>
      <c r="J6" s="734">
        <f>SUM(B6:I6)</f>
        <v>134030.16770207239</v>
      </c>
      <c r="K6" s="272"/>
      <c r="L6" s="278"/>
    </row>
    <row r="7" spans="1:16" ht="14.25" customHeight="1" x14ac:dyDescent="0.3">
      <c r="A7" s="579" t="str">
        <f>+'5 Demanda'!A27</f>
        <v>Capacitación Docente</v>
      </c>
      <c r="B7" s="588">
        <f>+'5 Demanda'!B27</f>
        <v>179.02525252525251</v>
      </c>
      <c r="C7" s="588">
        <f>+'5 Demanda'!C27</f>
        <v>605.28437878787872</v>
      </c>
      <c r="D7" s="588">
        <f>+'5 Demanda'!D27</f>
        <v>807.04583838383837</v>
      </c>
      <c r="E7" s="588">
        <f>+'5 Demanda'!E27</f>
        <v>1271.4825598423736</v>
      </c>
      <c r="F7" s="588">
        <f>+'5 Demanda'!F27</f>
        <v>1490.3443119463886</v>
      </c>
      <c r="G7" s="588">
        <f>+'5 Demanda'!G27</f>
        <v>1932.9713616003683</v>
      </c>
      <c r="H7" s="588">
        <f>+'5 Demanda'!H27</f>
        <v>2133.6623772856524</v>
      </c>
      <c r="I7" s="588">
        <f>+'5 Demanda'!I27</f>
        <v>2505.0358204687532</v>
      </c>
      <c r="J7" s="734">
        <f t="shared" ref="J7:J20" si="1">SUM(B7:I7)</f>
        <v>10924.851900840506</v>
      </c>
      <c r="K7" s="272"/>
      <c r="L7" s="278"/>
    </row>
    <row r="8" spans="1:16" ht="14.25" customHeight="1" x14ac:dyDescent="0.3">
      <c r="A8" s="579" t="str">
        <f>+'5 Demanda'!A28</f>
        <v>Internacionalización</v>
      </c>
      <c r="B8" s="588">
        <f>+'5 Demanda'!B28</f>
        <v>115.71035358882067</v>
      </c>
      <c r="C8" s="588">
        <f>+'5 Demanda'!C28</f>
        <v>340.12380374761801</v>
      </c>
      <c r="D8" s="588">
        <f>+'5 Demanda'!D28</f>
        <v>422.79618741050177</v>
      </c>
      <c r="E8" s="588">
        <f>+'5 Demanda'!E28</f>
        <v>634.73767267117273</v>
      </c>
      <c r="F8" s="588">
        <f>+'5 Demanda'!F28</f>
        <v>691.24422358930815</v>
      </c>
      <c r="G8" s="588">
        <f>+'5 Demanda'!G28</f>
        <v>878.83823358820177</v>
      </c>
      <c r="H8" s="588">
        <f>+'5 Demanda'!H28</f>
        <v>923.71866066086</v>
      </c>
      <c r="I8" s="588">
        <f>+'5 Demanda'!I28</f>
        <v>1108.7855814695911</v>
      </c>
      <c r="J8" s="734">
        <f t="shared" si="1"/>
        <v>5115.9547167260744</v>
      </c>
      <c r="K8" s="272"/>
      <c r="L8" s="278"/>
    </row>
    <row r="9" spans="1:16" ht="14.25" customHeight="1" x14ac:dyDescent="0.3">
      <c r="A9" s="579" t="s">
        <v>295</v>
      </c>
      <c r="B9" s="588"/>
      <c r="C9" s="588"/>
      <c r="D9" s="588"/>
      <c r="E9" s="588"/>
      <c r="F9" s="588"/>
      <c r="G9" s="588"/>
      <c r="H9" s="588"/>
      <c r="I9" s="588"/>
      <c r="J9" s="734"/>
      <c r="K9" s="272"/>
      <c r="L9" s="278"/>
    </row>
    <row r="10" spans="1:16" ht="14.25" customHeight="1" x14ac:dyDescent="0.3">
      <c r="A10" s="579" t="str">
        <f>+'7 Sueldos'!D202</f>
        <v>Tiempo Completo PhD</v>
      </c>
      <c r="B10" s="588">
        <f>+'7 Sueldos'!E202*$B$1</f>
        <v>5637.9052799999999</v>
      </c>
      <c r="C10" s="588">
        <f>+'7 Sueldos'!F202*$B$1</f>
        <v>19050.992835840003</v>
      </c>
      <c r="D10" s="588">
        <f>+'7 Sueldos'!G202*$B$1</f>
        <v>25401.323781120005</v>
      </c>
      <c r="E10" s="588">
        <f>+'7 Sueldos'!H202*$B$1</f>
        <v>39303.763010564777</v>
      </c>
      <c r="F10" s="588">
        <f>+'7 Sueldos'!I202*$B$1</f>
        <v>46069.164840252168</v>
      </c>
      <c r="G10" s="588">
        <f>+'7 Sueldos'!J202*$B$1</f>
        <v>60916.623514221712</v>
      </c>
      <c r="H10" s="588">
        <f>+'7 Sueldos'!K202*$B$1</f>
        <v>67241.300272528882</v>
      </c>
      <c r="I10" s="588">
        <f>+'7 Sueldos'!L202*$B$1</f>
        <v>78972.632545264263</v>
      </c>
      <c r="J10" s="734">
        <f t="shared" si="1"/>
        <v>342593.70607979182</v>
      </c>
      <c r="K10" s="272"/>
      <c r="L10" s="278">
        <f>+J10+J11+J12+J13+J14</f>
        <v>1140204.1366543884</v>
      </c>
    </row>
    <row r="11" spans="1:16" ht="14.25" customHeight="1" x14ac:dyDescent="0.3">
      <c r="A11" s="579" t="str">
        <f>+'7 Sueldos'!D203</f>
        <v>Tiempo Completo Mgs.</v>
      </c>
      <c r="B11" s="588">
        <f>+'7 Sueldos'!E203*$B$1</f>
        <v>9105.9192000000003</v>
      </c>
      <c r="C11" s="588">
        <f>+'7 Sueldos'!F203*$B$1</f>
        <v>30775.167057600003</v>
      </c>
      <c r="D11" s="588">
        <f>+'7 Sueldos'!G203*$B$1</f>
        <v>41033.5560768</v>
      </c>
      <c r="E11" s="588">
        <f>+'7 Sueldos'!H203*$B$1</f>
        <v>63503.024481264823</v>
      </c>
      <c r="F11" s="588">
        <f>+'7 Sueldos'!I203*$B$1</f>
        <v>74433.872957548112</v>
      </c>
      <c r="G11" s="588">
        <f>+'7 Sueldos'!J203*$B$1</f>
        <v>98431.329799642001</v>
      </c>
      <c r="H11" s="588">
        <f>+'7 Sueldos'!K203*$B$1</f>
        <v>108650.97606299281</v>
      </c>
      <c r="I11" s="588">
        <f>+'7 Sueldos'!L203*$B$1</f>
        <v>127631.37346113895</v>
      </c>
      <c r="J11" s="734">
        <f t="shared" si="1"/>
        <v>553565.21909698669</v>
      </c>
      <c r="K11" s="272"/>
      <c r="L11" s="278"/>
      <c r="O11" s="448"/>
      <c r="P11" s="448"/>
    </row>
    <row r="12" spans="1:16" ht="14.25" customHeight="1" x14ac:dyDescent="0.3">
      <c r="A12" s="579" t="str">
        <f>+'7 Sueldos'!D204</f>
        <v>Medio Tiempo</v>
      </c>
      <c r="B12" s="588">
        <f>+'7 Sueldos'!E204*$B$1</f>
        <v>0</v>
      </c>
      <c r="C12" s="588">
        <f>+'7 Sueldos'!F204*$B$1</f>
        <v>0</v>
      </c>
      <c r="D12" s="588">
        <f>+'7 Sueldos'!G204*$B$1</f>
        <v>0</v>
      </c>
      <c r="E12" s="588">
        <f>+'7 Sueldos'!H204*$B$1</f>
        <v>0</v>
      </c>
      <c r="F12" s="588">
        <f>+'7 Sueldos'!I204*$B$1</f>
        <v>0</v>
      </c>
      <c r="G12" s="588">
        <f>+'7 Sueldos'!J204*$B$1</f>
        <v>0</v>
      </c>
      <c r="H12" s="588">
        <f>+'7 Sueldos'!K204*$B$1</f>
        <v>0</v>
      </c>
      <c r="I12" s="588">
        <f>+'7 Sueldos'!L204*$B$1</f>
        <v>0</v>
      </c>
      <c r="J12" s="734">
        <f t="shared" si="1"/>
        <v>0</v>
      </c>
      <c r="K12" s="272"/>
      <c r="L12" s="279"/>
      <c r="P12" s="448"/>
    </row>
    <row r="13" spans="1:16" ht="14.25" customHeight="1" x14ac:dyDescent="0.3">
      <c r="A13" s="579" t="str">
        <f>+'7 Sueldos'!D205</f>
        <v>Tiempo Parcial</v>
      </c>
      <c r="B13" s="588">
        <f>+'7 Sueldos'!E205*$B$1</f>
        <v>608.3148288000001</v>
      </c>
      <c r="C13" s="588">
        <f>+'7 Sueldos'!F205*$B$1</f>
        <v>2058.9866916864012</v>
      </c>
      <c r="D13" s="588">
        <f>+'7 Sueldos'!G205*$B$1</f>
        <v>2745.3155889152022</v>
      </c>
      <c r="E13" s="588">
        <f>+'7 Sueldos'!H205*$B$1</f>
        <v>4255.0113268009491</v>
      </c>
      <c r="F13" s="588">
        <f>+'7 Sueldos'!I205*$B$1</f>
        <v>4987.4313092830798</v>
      </c>
      <c r="G13" s="588">
        <f>+'7 Sueldos'!J205*$B$1</f>
        <v>6600.1430791770881</v>
      </c>
      <c r="H13" s="588">
        <f>+'7 Sueldos'!K205*$B$1</f>
        <v>7285.4038360315417</v>
      </c>
      <c r="I13" s="588">
        <f>+'7 Sueldos'!L205*$B$1</f>
        <v>8571.9170803128927</v>
      </c>
      <c r="J13" s="734">
        <f t="shared" si="1"/>
        <v>37112.523741007157</v>
      </c>
      <c r="K13" s="272"/>
      <c r="L13" s="278"/>
      <c r="O13" s="448"/>
      <c r="P13" s="448"/>
    </row>
    <row r="14" spans="1:16" ht="14.25" customHeight="1" x14ac:dyDescent="0.3">
      <c r="A14" s="579" t="str">
        <f>+'7 Sueldos'!D206</f>
        <v>Ocasional Tipo 2 (Técnico Docente)</v>
      </c>
      <c r="B14" s="588">
        <f>+'7 Sueldos'!E206*$B$1</f>
        <v>2858.7247500000003</v>
      </c>
      <c r="C14" s="588">
        <f>+'7 Sueldos'!F206*$B$1</f>
        <v>9276.6501172800017</v>
      </c>
      <c r="D14" s="588">
        <f>+'7 Sueldos'!G206*$B$1</f>
        <v>12755.393911260002</v>
      </c>
      <c r="E14" s="588">
        <f>+'7 Sueldos'!H206*$B$1</f>
        <v>20596.633080531166</v>
      </c>
      <c r="F14" s="588">
        <f>+'7 Sueldos'!I206*$B$1</f>
        <v>25010.19731207356</v>
      </c>
      <c r="G14" s="588">
        <f>+'7 Sueldos'!J206*$B$1</f>
        <v>35880.814578712372</v>
      </c>
      <c r="H14" s="588">
        <f>+'7 Sueldos'!K206*$B$1</f>
        <v>42266.383274923901</v>
      </c>
      <c r="I14" s="588">
        <f>+'7 Sueldos'!L206*$B$1</f>
        <v>58287.890711821557</v>
      </c>
      <c r="J14" s="734">
        <f t="shared" si="1"/>
        <v>206932.68773660256</v>
      </c>
      <c r="K14" s="272"/>
      <c r="L14" s="278"/>
    </row>
    <row r="15" spans="1:16" ht="14.25" customHeight="1" x14ac:dyDescent="0.3">
      <c r="A15" s="579" t="str">
        <f>+'5 Demanda'!A33</f>
        <v>Costo del Seguro Estudiantil</v>
      </c>
      <c r="B15" s="588">
        <f>+'5 Demanda'!B33</f>
        <v>921.0247723904298</v>
      </c>
      <c r="C15" s="588">
        <f>+'5 Demanda'!C33</f>
        <v>2707.2983463900064</v>
      </c>
      <c r="D15" s="588">
        <f>+'5 Demanda'!D33</f>
        <v>3365.3493416938386</v>
      </c>
      <c r="E15" s="588">
        <f>+'5 Demanda'!E33</f>
        <v>5052.3492701182095</v>
      </c>
      <c r="F15" s="588">
        <f>+'5 Demanda'!F33</f>
        <v>5502.1269398234044</v>
      </c>
      <c r="G15" s="588">
        <f>+'5 Demanda'!G33</f>
        <v>6995.3272023946529</v>
      </c>
      <c r="H15" s="588">
        <f>+'5 Demanda'!H33</f>
        <v>7352.5639046198376</v>
      </c>
      <c r="I15" s="588">
        <f>+'5 Demanda'!I33</f>
        <v>8825.6491846161425</v>
      </c>
      <c r="J15" s="734">
        <f t="shared" si="1"/>
        <v>40721.688962046523</v>
      </c>
      <c r="K15" s="272"/>
      <c r="L15" s="278"/>
      <c r="O15" s="448"/>
    </row>
    <row r="16" spans="1:16" ht="14.25" customHeight="1" x14ac:dyDescent="0.3">
      <c r="A16" s="579" t="str">
        <f>+'5 Demanda'!A34</f>
        <v>Becas Institucionales 10 % estudiantes</v>
      </c>
      <c r="B16" s="588"/>
      <c r="C16" s="588"/>
      <c r="D16" s="588"/>
      <c r="E16" s="588"/>
      <c r="F16" s="588"/>
      <c r="G16" s="588"/>
      <c r="H16" s="588"/>
      <c r="I16" s="588"/>
      <c r="J16" s="734">
        <f t="shared" si="1"/>
        <v>0</v>
      </c>
      <c r="K16" s="272"/>
      <c r="L16" s="278"/>
    </row>
    <row r="17" spans="1:16" ht="14.25" customHeight="1" x14ac:dyDescent="0.3">
      <c r="A17" s="579" t="str">
        <f>+'9 Inv. Vin. Becas'!A8</f>
        <v>Investigación 5%</v>
      </c>
      <c r="B17" s="588">
        <f>+'9 Inv. Vin. Becas'!B8*$B$1</f>
        <v>3471.023359014398</v>
      </c>
      <c r="C17" s="588">
        <f>+'9 Inv. Vin. Becas'!C8*$B$1</f>
        <v>10731.037961464919</v>
      </c>
      <c r="D17" s="588">
        <f>+'9 Inv. Vin. Becas'!D8*$B$1</f>
        <v>13339.383739314379</v>
      </c>
      <c r="E17" s="588">
        <f>+'9 Inv. Vin. Becas'!E8*$B$1</f>
        <v>19340.955886349715</v>
      </c>
      <c r="F17" s="588">
        <f>+'9 Inv. Vin. Becas'!F8*$B$1</f>
        <v>21062.754915542682</v>
      </c>
      <c r="G17" s="588">
        <f>+'9 Inv. Vin. Becas'!G8*$B$1</f>
        <v>27245.556983412069</v>
      </c>
      <c r="H17" s="588">
        <f>+'9 Inv. Vin. Becas'!H8*$B$1</f>
        <v>28636.93048824407</v>
      </c>
      <c r="I17" s="588">
        <f>+'9 Inv. Vin. Becas'!I8*$B$1</f>
        <v>34406.103019555361</v>
      </c>
      <c r="J17" s="734">
        <f t="shared" si="1"/>
        <v>158233.74635289761</v>
      </c>
      <c r="K17" s="272"/>
      <c r="O17" s="282"/>
      <c r="P17" s="282"/>
    </row>
    <row r="18" spans="1:16" ht="14.25" customHeight="1" x14ac:dyDescent="0.3">
      <c r="A18" s="579" t="str">
        <f>+'9 Inv. Vin. Becas'!A9</f>
        <v>Vinculación 1%</v>
      </c>
      <c r="B18" s="588">
        <f>+'9 Inv. Vin. Becas'!B9*$B$1</f>
        <v>694.20467180287949</v>
      </c>
      <c r="C18" s="588">
        <f>+'9 Inv. Vin. Becas'!C9*$B$1</f>
        <v>2146.2075922929835</v>
      </c>
      <c r="D18" s="588">
        <f>+'9 Inv. Vin. Becas'!D9*$B$1</f>
        <v>2667.8767478628756</v>
      </c>
      <c r="E18" s="588">
        <f>+'9 Inv. Vin. Becas'!E9*$B$1</f>
        <v>3868.1911772699441</v>
      </c>
      <c r="F18" s="588">
        <f>+'9 Inv. Vin. Becas'!F9*$B$1</f>
        <v>4212.5509831085374</v>
      </c>
      <c r="G18" s="588">
        <f>+'9 Inv. Vin. Becas'!G9*$B$1</f>
        <v>5449.111396682415</v>
      </c>
      <c r="H18" s="588">
        <f>+'9 Inv. Vin. Becas'!H9*$B$1</f>
        <v>5727.386097648814</v>
      </c>
      <c r="I18" s="588">
        <f>+'9 Inv. Vin. Becas'!I9*$B$1</f>
        <v>6881.2206039110724</v>
      </c>
      <c r="J18" s="734">
        <f t="shared" si="1"/>
        <v>31646.749270579523</v>
      </c>
      <c r="K18" s="272"/>
    </row>
    <row r="19" spans="1:16" s="281" customFormat="1" ht="14.25" customHeight="1" x14ac:dyDescent="0.3">
      <c r="A19" s="580" t="s">
        <v>296</v>
      </c>
      <c r="B19" s="590">
        <f>+'5 Demanda'!B105*$B$1</f>
        <v>651.98700000000008</v>
      </c>
      <c r="C19" s="590">
        <f>+'5 Demanda'!C105*$B$1</f>
        <v>1670.3290057293002</v>
      </c>
      <c r="D19" s="590">
        <f>+'5 Demanda'!D105*$B$1</f>
        <v>2053.8854871999115</v>
      </c>
      <c r="E19" s="590">
        <f>+'5 Demanda'!E105*$B$1</f>
        <v>2989.5903011067303</v>
      </c>
      <c r="F19" s="590">
        <f>+'5 Demanda'!F105*$B$1</f>
        <v>3111.9262976080104</v>
      </c>
      <c r="G19" s="590">
        <f>+'5 Demanda'!G105*$B$1</f>
        <v>3813.4750930748964</v>
      </c>
      <c r="H19" s="590">
        <f>+'5 Demanda'!H105*$B$1</f>
        <v>4017.9491262518</v>
      </c>
      <c r="I19" s="590">
        <f>+'5 Demanda'!I105*$B$1</f>
        <v>4746.4182753372779</v>
      </c>
      <c r="J19" s="734">
        <f t="shared" si="1"/>
        <v>23055.560586307925</v>
      </c>
      <c r="K19" s="273"/>
      <c r="L19" s="280"/>
    </row>
    <row r="20" spans="1:16" ht="14.25" customHeight="1" x14ac:dyDescent="0.3">
      <c r="A20" s="579" t="s">
        <v>297</v>
      </c>
      <c r="B20" s="588"/>
      <c r="C20" s="588">
        <f>+Depreciación!N56</f>
        <v>276.04840554999998</v>
      </c>
      <c r="D20" s="588">
        <f>+Depreciación!O56</f>
        <v>2702.17900153765</v>
      </c>
      <c r="E20" s="588">
        <f>+Depreciación!P56</f>
        <v>5146.1422095832604</v>
      </c>
      <c r="F20" s="588">
        <f>+Depreciación!Q56</f>
        <v>5160.7853295480199</v>
      </c>
      <c r="G20" s="588">
        <f>+Depreciación!R56</f>
        <v>5196.8561475170918</v>
      </c>
      <c r="H20" s="588">
        <f>+Depreciación!S56</f>
        <v>5203.4966160386175</v>
      </c>
      <c r="I20" s="588">
        <f>+Depreciación!T56</f>
        <v>5047.4537676366199</v>
      </c>
      <c r="J20" s="734">
        <f t="shared" si="1"/>
        <v>28732.96147741126</v>
      </c>
      <c r="K20" s="597"/>
    </row>
    <row r="21" spans="1:16" s="165" customFormat="1" ht="20.25" customHeight="1" x14ac:dyDescent="0.3">
      <c r="A21" s="581" t="s">
        <v>298</v>
      </c>
      <c r="B21" s="1138">
        <f t="shared" ref="B21:I21" si="2">SUM(B22:B32)</f>
        <v>32340.875790430222</v>
      </c>
      <c r="C21" s="303">
        <f t="shared" si="2"/>
        <v>56507.954505110196</v>
      </c>
      <c r="D21" s="303">
        <f t="shared" si="2"/>
        <v>64268.401309718305</v>
      </c>
      <c r="E21" s="303">
        <f t="shared" si="2"/>
        <v>81492.480233081151</v>
      </c>
      <c r="F21" s="303">
        <f t="shared" si="2"/>
        <v>85875.288407093351</v>
      </c>
      <c r="G21" s="303">
        <f t="shared" si="2"/>
        <v>100894.09501126304</v>
      </c>
      <c r="H21" s="303">
        <f t="shared" si="2"/>
        <v>104027.9689208155</v>
      </c>
      <c r="I21" s="303">
        <f t="shared" si="2"/>
        <v>116452.87914897857</v>
      </c>
      <c r="J21" s="735">
        <f>SUM(B21:I21)</f>
        <v>641859.94332649023</v>
      </c>
      <c r="K21" s="304"/>
      <c r="L21" s="305"/>
    </row>
    <row r="22" spans="1:16" ht="14.25" customHeight="1" x14ac:dyDescent="0.3">
      <c r="A22" s="579" t="s">
        <v>299</v>
      </c>
      <c r="B22" s="588">
        <f>+'Planta central'!M440</f>
        <v>4905.8121713825994</v>
      </c>
      <c r="C22" s="588">
        <f>+'Planta central'!N440</f>
        <v>14217.043672666778</v>
      </c>
      <c r="D22" s="588">
        <f>+'Planta central'!O440</f>
        <v>17672.717389437345</v>
      </c>
      <c r="E22" s="588">
        <f>+'Planta central'!P440</f>
        <v>25681.724558479968</v>
      </c>
      <c r="F22" s="588">
        <f>+'Planta central'!Q440</f>
        <v>27968.000824897565</v>
      </c>
      <c r="G22" s="588">
        <f>+'Planta central'!R440</f>
        <v>35084.484365627097</v>
      </c>
      <c r="H22" s="588">
        <f>+'Planta central'!S440</f>
        <v>36876.175466188841</v>
      </c>
      <c r="I22" s="588">
        <f>+'Planta central'!T440</f>
        <v>43674.704208701813</v>
      </c>
      <c r="J22" s="734">
        <f>SUM(B22:I22)</f>
        <v>206080.662657382</v>
      </c>
      <c r="K22" s="272"/>
    </row>
    <row r="23" spans="1:16" ht="14.25" customHeight="1" x14ac:dyDescent="0.3">
      <c r="A23" s="579" t="str">
        <f>+'7 Sueldos'!D195</f>
        <v>Decano</v>
      </c>
      <c r="B23" s="588">
        <f>+'7 Sueldos'!E195</f>
        <v>2945.2327619047614</v>
      </c>
      <c r="C23" s="588">
        <f>+'7 Sueldos'!F195</f>
        <v>7327.1991940103881</v>
      </c>
      <c r="D23" s="588">
        <f>+'7 Sueldos'!G195</f>
        <v>8618.5197056198267</v>
      </c>
      <c r="E23" s="588">
        <f>+'7 Sueldos'!H195</f>
        <v>11298.594117421366</v>
      </c>
      <c r="F23" s="588">
        <f>+'7 Sueldos'!I195</f>
        <v>11927.203093714816</v>
      </c>
      <c r="G23" s="588">
        <f>+'7 Sueldos'!J195</f>
        <v>14112.354576339299</v>
      </c>
      <c r="H23" s="588">
        <f>+'7 Sueldos'!K195</f>
        <v>14514.693789664027</v>
      </c>
      <c r="I23" s="588">
        <f>+'7 Sueldos'!L195</f>
        <v>16114.781967111096</v>
      </c>
      <c r="J23" s="734">
        <f t="shared" ref="J23:J32" si="3">SUM(B23:I23)</f>
        <v>86858.579205785572</v>
      </c>
      <c r="K23" s="272"/>
    </row>
    <row r="24" spans="1:16" ht="14.25" customHeight="1" x14ac:dyDescent="0.3">
      <c r="A24" s="579" t="str">
        <f>+'7 Sueldos'!D196</f>
        <v>Subdecano</v>
      </c>
      <c r="B24" s="588">
        <f>+'7 Sueldos'!E196</f>
        <v>2191.0613333333331</v>
      </c>
      <c r="C24" s="588">
        <f>+'7 Sueldos'!F196</f>
        <v>5451.3970691386357</v>
      </c>
      <c r="D24" s="588">
        <f>+'7 Sueldos'!G196</f>
        <v>6412.1326334263831</v>
      </c>
      <c r="E24" s="588">
        <f>+'7 Sueldos'!H196</f>
        <v>8406.7755516527141</v>
      </c>
      <c r="F24" s="588">
        <f>+'7 Sueldos'!I196</f>
        <v>8874.4952093847223</v>
      </c>
      <c r="G24" s="588">
        <f>+'7 Sueldos'!J196</f>
        <v>10500.777744303792</v>
      </c>
      <c r="H24" s="588">
        <f>+'7 Sueldos'!K196</f>
        <v>10800.151929815287</v>
      </c>
      <c r="I24" s="588">
        <f>+'7 Sueldos'!L196</f>
        <v>11991.798227586291</v>
      </c>
      <c r="J24" s="734">
        <f t="shared" si="3"/>
        <v>64628.589698641154</v>
      </c>
      <c r="K24" s="272"/>
      <c r="M24" s="282"/>
    </row>
    <row r="25" spans="1:16" ht="14.25" customHeight="1" x14ac:dyDescent="0.3">
      <c r="A25" s="579" t="str">
        <f>+'7 Sueldos'!D197</f>
        <v>Director de Carrera</v>
      </c>
      <c r="B25" s="1137">
        <f>+'7 Sueldos'!E197</f>
        <v>17621.36</v>
      </c>
      <c r="C25" s="588">
        <f>+'7 Sueldos'!F197</f>
        <v>17864.806224</v>
      </c>
      <c r="D25" s="588">
        <f>+'7 Sueldos'!G197</f>
        <v>17864.806224</v>
      </c>
      <c r="E25" s="588">
        <f>+'7 Sueldos'!H197</f>
        <v>18127.7699530032</v>
      </c>
      <c r="F25" s="588">
        <f>+'7 Sueldos'!I197</f>
        <v>18127.7699530032</v>
      </c>
      <c r="G25" s="588">
        <f>+'7 Sueldos'!J197</f>
        <v>18731.525588447606</v>
      </c>
      <c r="H25" s="588">
        <f>+'7 Sueldos'!K197</f>
        <v>18731.525588447606</v>
      </c>
      <c r="I25" s="588">
        <f>+'7 Sueldos'!L197</f>
        <v>18992.851846391652</v>
      </c>
      <c r="J25" s="734">
        <f t="shared" si="3"/>
        <v>146062.41537729325</v>
      </c>
      <c r="K25" s="272"/>
    </row>
    <row r="26" spans="1:16" ht="14.25" customHeight="1" x14ac:dyDescent="0.3">
      <c r="A26" s="579" t="str">
        <f>+'7 Sueldos'!D198</f>
        <v>Secretario</v>
      </c>
      <c r="B26" s="588">
        <f>+'7 Sueldos'!E198</f>
        <v>773.2190476190475</v>
      </c>
      <c r="C26" s="588">
        <f>+'7 Sueldos'!F198</f>
        <v>1924.8890743797388</v>
      </c>
      <c r="D26" s="588">
        <f>+'7 Sueldos'!G198</f>
        <v>2264.1249377027057</v>
      </c>
      <c r="E26" s="588">
        <f>+'7 Sueldos'!H198</f>
        <v>2970.1566480076522</v>
      </c>
      <c r="F26" s="588">
        <f>+'7 Sueldos'!I198</f>
        <v>3135.4043868441531</v>
      </c>
      <c r="G26" s="588">
        <f>+'7 Sueldos'!J198</f>
        <v>3711.0133000770365</v>
      </c>
      <c r="H26" s="588">
        <f>+'7 Sueldos'!K198</f>
        <v>3816.8132332996538</v>
      </c>
      <c r="I26" s="588">
        <f>+'7 Sueldos'!L198</f>
        <v>4240.5887972796645</v>
      </c>
      <c r="J26" s="734">
        <f t="shared" si="3"/>
        <v>22836.20942520965</v>
      </c>
      <c r="K26" s="272"/>
    </row>
    <row r="27" spans="1:16" ht="14.25" customHeight="1" x14ac:dyDescent="0.3">
      <c r="A27" s="579" t="str">
        <f>+'7 Sueldos'!D199</f>
        <v>Auxiliar de Secretaria</v>
      </c>
      <c r="B27" s="588">
        <f>+'7 Sueldos'!E199</f>
        <v>660.09333333333325</v>
      </c>
      <c r="C27" s="588">
        <f>+'7 Sueldos'!F199</f>
        <v>1643.5187556489757</v>
      </c>
      <c r="D27" s="588">
        <f>+'7 Sueldos'!G199</f>
        <v>1933.166876873689</v>
      </c>
      <c r="E27" s="588">
        <f>+'7 Sueldos'!H199</f>
        <v>2536.383863142355</v>
      </c>
      <c r="F27" s="588">
        <f>+'7 Sueldos'!I199</f>
        <v>2677.4982041946396</v>
      </c>
      <c r="G27" s="588">
        <f>+'7 Sueldos'!J199</f>
        <v>3169.2767752717114</v>
      </c>
      <c r="H27" s="588">
        <f>+'7 Sueldos'!K199</f>
        <v>3259.6319543223435</v>
      </c>
      <c r="I27" s="588">
        <f>+'7 Sueldos'!L199</f>
        <v>3622.1412363509453</v>
      </c>
      <c r="J27" s="734">
        <f t="shared" si="3"/>
        <v>19501.710999137991</v>
      </c>
      <c r="K27" s="272"/>
    </row>
    <row r="28" spans="1:16" ht="14.25" customHeight="1" x14ac:dyDescent="0.3">
      <c r="A28" s="579" t="str">
        <f>+'7 Sueldos'!D200</f>
        <v xml:space="preserve">Coordinador  </v>
      </c>
      <c r="B28" s="588">
        <f>+'7 Sueldos'!E200</f>
        <v>697.80190476190478</v>
      </c>
      <c r="C28" s="588">
        <f>+'7 Sueldos'!F200</f>
        <v>1737.3088618925633</v>
      </c>
      <c r="D28" s="588">
        <f>+'7 Sueldos'!G200</f>
        <v>2043.4862304833612</v>
      </c>
      <c r="E28" s="588">
        <f>+'7 Sueldos'!H200</f>
        <v>2680.9747914307873</v>
      </c>
      <c r="F28" s="588">
        <f>+'7 Sueldos'!I200</f>
        <v>2830.1335984111442</v>
      </c>
      <c r="G28" s="588">
        <f>+'7 Sueldos'!J200</f>
        <v>3349.8556168734858</v>
      </c>
      <c r="H28" s="588">
        <f>+'7 Sueldos'!K200</f>
        <v>3445.3590473147797</v>
      </c>
      <c r="I28" s="588">
        <f>+'7 Sueldos'!L200</f>
        <v>3828.2904233271856</v>
      </c>
      <c r="J28" s="734">
        <f t="shared" si="3"/>
        <v>20613.210474495208</v>
      </c>
      <c r="K28" s="272"/>
    </row>
    <row r="29" spans="1:16" ht="14.25" customHeight="1" x14ac:dyDescent="0.3">
      <c r="A29" s="579" t="str">
        <f>+'7 Sueldos'!D201</f>
        <v>Bienestar Estudiantil</v>
      </c>
      <c r="B29" s="588">
        <f>+'7 Sueldos'!E201</f>
        <v>697.80190476190478</v>
      </c>
      <c r="C29" s="588">
        <f>+'7 Sueldos'!F201</f>
        <v>1737.3088618925633</v>
      </c>
      <c r="D29" s="588">
        <f>+'7 Sueldos'!G201</f>
        <v>2043.4862304833612</v>
      </c>
      <c r="E29" s="588">
        <f>+'7 Sueldos'!H201</f>
        <v>2680.9747914307873</v>
      </c>
      <c r="F29" s="588">
        <f>+'7 Sueldos'!I201</f>
        <v>2830.1335984111442</v>
      </c>
      <c r="G29" s="588">
        <f>+'7 Sueldos'!J201</f>
        <v>3349.8556168734858</v>
      </c>
      <c r="H29" s="588">
        <f>+'7 Sueldos'!K201</f>
        <v>3445.3590473147797</v>
      </c>
      <c r="I29" s="588">
        <f>+'7 Sueldos'!L201</f>
        <v>3828.2904233271856</v>
      </c>
      <c r="J29" s="734">
        <f t="shared" si="3"/>
        <v>20613.210474495208</v>
      </c>
      <c r="K29" s="272"/>
    </row>
    <row r="30" spans="1:16" ht="14.25" customHeight="1" x14ac:dyDescent="0.3">
      <c r="A30" s="579" t="str">
        <f>+'7 Sueldos'!D15</f>
        <v>Bibliotecario</v>
      </c>
      <c r="B30" s="588">
        <f>+'7 Sueldos'!E207</f>
        <v>622.38476190476183</v>
      </c>
      <c r="C30" s="588">
        <f>+'7 Sueldos'!F207</f>
        <v>1549.7286494053878</v>
      </c>
      <c r="D30" s="588">
        <f>+'7 Sueldos'!G207</f>
        <v>1822.8475232640167</v>
      </c>
      <c r="E30" s="588">
        <f>+'7 Sueldos'!H207</f>
        <v>2391.7929348539228</v>
      </c>
      <c r="F30" s="588">
        <f>+'7 Sueldos'!I207</f>
        <v>2524.8628099781354</v>
      </c>
      <c r="G30" s="588">
        <f>+'7 Sueldos'!J207</f>
        <v>2988.6979336699351</v>
      </c>
      <c r="H30" s="588">
        <f>+'7 Sueldos'!K207</f>
        <v>3073.904861329906</v>
      </c>
      <c r="I30" s="588">
        <f>+'7 Sueldos'!L207</f>
        <v>3415.9920493747049</v>
      </c>
      <c r="J30" s="734">
        <f t="shared" si="3"/>
        <v>18390.21152378077</v>
      </c>
      <c r="K30" s="272"/>
    </row>
    <row r="31" spans="1:16" ht="14.25" customHeight="1" x14ac:dyDescent="0.3">
      <c r="A31" s="579" t="str">
        <f>+'7 Sueldos'!D16</f>
        <v>Auxiliar de Servicio</v>
      </c>
      <c r="B31" s="588">
        <f>+'7 Sueldos'!E208</f>
        <v>716.84952380952382</v>
      </c>
      <c r="C31" s="588">
        <f>+'7 Sueldos'!F208</f>
        <v>1786.3958114005484</v>
      </c>
      <c r="D31" s="588">
        <f>+'7 Sueldos'!G208</f>
        <v>2101.2240959926221</v>
      </c>
      <c r="E31" s="588">
        <f>+'7 Sueldos'!H208</f>
        <v>2759.3128736697895</v>
      </c>
      <c r="F31" s="588">
        <f>+'7 Sueldos'!I208</f>
        <v>2912.8301009252068</v>
      </c>
      <c r="G31" s="588">
        <f>+'7 Sueldos'!J208</f>
        <v>3449.2920849150155</v>
      </c>
      <c r="H31" s="588">
        <f>+'7 Sueldos'!K208</f>
        <v>3547.630420765694</v>
      </c>
      <c r="I31" s="588">
        <f>+'7 Sueldos'!L208</f>
        <v>3945.8954810820501</v>
      </c>
      <c r="J31" s="734">
        <f t="shared" si="3"/>
        <v>21219.430392560451</v>
      </c>
      <c r="K31" s="272"/>
    </row>
    <row r="32" spans="1:16" ht="14.25" customHeight="1" x14ac:dyDescent="0.3">
      <c r="A32" s="579" t="str">
        <f>+'7 Sueldos'!D17</f>
        <v>Guardia</v>
      </c>
      <c r="B32" s="588">
        <f>+'7 Sueldos'!E209</f>
        <v>509.25904761904764</v>
      </c>
      <c r="C32" s="588">
        <f>+'7 Sueldos'!F209</f>
        <v>1268.3583306746248</v>
      </c>
      <c r="D32" s="588">
        <f>+'7 Sueldos'!G209</f>
        <v>1491.8894624349998</v>
      </c>
      <c r="E32" s="588">
        <f>+'7 Sueldos'!H209</f>
        <v>1958.0201499886248</v>
      </c>
      <c r="F32" s="588">
        <f>+'7 Sueldos'!I209</f>
        <v>2066.9566273286218</v>
      </c>
      <c r="G32" s="588">
        <f>+'7 Sueldos'!J209</f>
        <v>2446.9614088646085</v>
      </c>
      <c r="H32" s="588">
        <f>+'7 Sueldos'!K209</f>
        <v>2516.7235823525943</v>
      </c>
      <c r="I32" s="588">
        <f>+'7 Sueldos'!L209</f>
        <v>2797.5444884459844</v>
      </c>
      <c r="J32" s="734">
        <f t="shared" si="3"/>
        <v>15055.713097709106</v>
      </c>
      <c r="K32" s="272"/>
    </row>
    <row r="33" spans="1:13" s="165" customFormat="1" ht="15.75" customHeight="1" x14ac:dyDescent="0.3">
      <c r="A33" s="581" t="s">
        <v>300</v>
      </c>
      <c r="B33" s="589">
        <f>+B34</f>
        <v>87.867880584374348</v>
      </c>
      <c r="C33" s="589">
        <f t="shared" ref="C33:J33" si="4">+C34</f>
        <v>258.28248591996612</v>
      </c>
      <c r="D33" s="303">
        <f t="shared" si="4"/>
        <v>321.06206363286043</v>
      </c>
      <c r="E33" s="303">
        <f t="shared" si="4"/>
        <v>482.00573496530046</v>
      </c>
      <c r="F33" s="303">
        <f t="shared" si="4"/>
        <v>524.91555862683049</v>
      </c>
      <c r="G33" s="303">
        <f t="shared" si="4"/>
        <v>667.37029632040947</v>
      </c>
      <c r="H33" s="303">
        <f t="shared" si="4"/>
        <v>701.45149894649035</v>
      </c>
      <c r="I33" s="303">
        <f t="shared" si="4"/>
        <v>841.98722106108028</v>
      </c>
      <c r="J33" s="735">
        <f t="shared" si="4"/>
        <v>3884.9427400573122</v>
      </c>
      <c r="K33" s="304"/>
    </row>
    <row r="34" spans="1:13" ht="14.25" customHeight="1" x14ac:dyDescent="0.3">
      <c r="A34" s="579" t="str">
        <f>+'5 Demanda'!A29</f>
        <v>Marketing y Comunicación</v>
      </c>
      <c r="B34" s="588">
        <f>+'5 Demanda'!B29</f>
        <v>87.867880584374348</v>
      </c>
      <c r="C34" s="588">
        <f>+'5 Demanda'!C29</f>
        <v>258.28248591996612</v>
      </c>
      <c r="D34" s="271">
        <f>+'5 Demanda'!D29</f>
        <v>321.06206363286043</v>
      </c>
      <c r="E34" s="271">
        <f>+'5 Demanda'!E29</f>
        <v>482.00573496530046</v>
      </c>
      <c r="F34" s="271">
        <f>+'5 Demanda'!F29</f>
        <v>524.91555862683049</v>
      </c>
      <c r="G34" s="271">
        <f>+'5 Demanda'!G29</f>
        <v>667.37029632040947</v>
      </c>
      <c r="H34" s="271">
        <f>+'5 Demanda'!H29</f>
        <v>701.45149894649035</v>
      </c>
      <c r="I34" s="271">
        <f>+'5 Demanda'!I29</f>
        <v>841.98722106108028</v>
      </c>
      <c r="J34" s="734">
        <f>SUM(B34:I34)</f>
        <v>3884.9427400573122</v>
      </c>
      <c r="K34" s="272"/>
    </row>
    <row r="35" spans="1:13" ht="15" customHeight="1" x14ac:dyDescent="0.3">
      <c r="A35" s="581" t="s">
        <v>301</v>
      </c>
      <c r="B35" s="589">
        <f t="shared" ref="B35:J35" si="5">SUM(B36:B37)</f>
        <v>1120.050815159856</v>
      </c>
      <c r="C35" s="589">
        <f t="shared" si="5"/>
        <v>3292.3237361846282</v>
      </c>
      <c r="D35" s="303">
        <f t="shared" si="5"/>
        <v>4212.5742569104386</v>
      </c>
      <c r="E35" s="303">
        <f t="shared" si="5"/>
        <v>6117.4990597502447</v>
      </c>
      <c r="F35" s="303">
        <f t="shared" si="5"/>
        <v>6656.7586527973672</v>
      </c>
      <c r="G35" s="303">
        <f t="shared" si="5"/>
        <v>8178.3105658298227</v>
      </c>
      <c r="H35" s="303">
        <f t="shared" si="5"/>
        <v>8592.895675327507</v>
      </c>
      <c r="I35" s="303">
        <f t="shared" si="5"/>
        <v>10166.02889134573</v>
      </c>
      <c r="J35" s="735">
        <f t="shared" si="5"/>
        <v>47976.441653305592</v>
      </c>
      <c r="K35" s="304"/>
      <c r="L35" s="278"/>
    </row>
    <row r="36" spans="1:13" ht="14.25" customHeight="1" x14ac:dyDescent="0.3">
      <c r="A36" s="579" t="s">
        <v>278</v>
      </c>
      <c r="B36" s="588">
        <f>+'8 Mantenimiento'!E3</f>
        <v>1120.050815159856</v>
      </c>
      <c r="C36" s="588">
        <f>+'8 Mantenimiento'!F3</f>
        <v>3292.3237361846282</v>
      </c>
      <c r="D36" s="271">
        <f>+'8 Mantenimiento'!G3</f>
        <v>4092.5742569104382</v>
      </c>
      <c r="E36" s="271">
        <f>+'8 Mantenimiento'!H3</f>
        <v>6057.4990597502447</v>
      </c>
      <c r="F36" s="271">
        <f>+'8 Mantenimiento'!I3</f>
        <v>6596.7586527973672</v>
      </c>
      <c r="G36" s="271">
        <f>+'8 Mantenimiento'!J3</f>
        <v>8118.3105658298227</v>
      </c>
      <c r="H36" s="271">
        <f>+'8 Mantenimiento'!K3</f>
        <v>8532.895675327507</v>
      </c>
      <c r="I36" s="271">
        <f>+'8 Mantenimiento'!L3</f>
        <v>10106.02889134573</v>
      </c>
      <c r="J36" s="734">
        <f>SUM(B36:I36)</f>
        <v>47916.441653305592</v>
      </c>
      <c r="K36" s="272"/>
    </row>
    <row r="37" spans="1:13" ht="14.25" customHeight="1" x14ac:dyDescent="0.3">
      <c r="A37" s="579" t="s">
        <v>302</v>
      </c>
      <c r="B37" s="588"/>
      <c r="C37" s="588"/>
      <c r="D37" s="271">
        <f>+'Amortización '!D5</f>
        <v>120</v>
      </c>
      <c r="E37" s="271">
        <f>+'Amortización '!E5</f>
        <v>60</v>
      </c>
      <c r="F37" s="271">
        <f>+'Amortización '!F5</f>
        <v>60</v>
      </c>
      <c r="G37" s="271">
        <f>+'Amortización '!G5</f>
        <v>60</v>
      </c>
      <c r="H37" s="271">
        <f>+'Amortización '!H5</f>
        <v>60</v>
      </c>
      <c r="I37" s="271">
        <f>+'Amortización '!I5</f>
        <v>60</v>
      </c>
      <c r="J37" s="734">
        <f>+'Amortización '!J5</f>
        <v>60</v>
      </c>
      <c r="K37" s="272"/>
    </row>
    <row r="38" spans="1:13" ht="14.25" customHeight="1" x14ac:dyDescent="0.3">
      <c r="A38" s="581" t="s">
        <v>303</v>
      </c>
      <c r="B38" s="589">
        <f t="shared" ref="B38:J38" si="6">SUM(B39)</f>
        <v>0</v>
      </c>
      <c r="C38" s="589">
        <f t="shared" si="6"/>
        <v>0</v>
      </c>
      <c r="D38" s="303">
        <f t="shared" si="6"/>
        <v>0</v>
      </c>
      <c r="E38" s="303">
        <f t="shared" si="6"/>
        <v>0</v>
      </c>
      <c r="F38" s="303">
        <f t="shared" si="6"/>
        <v>0</v>
      </c>
      <c r="G38" s="303">
        <f t="shared" si="6"/>
        <v>0</v>
      </c>
      <c r="H38" s="303">
        <f t="shared" si="6"/>
        <v>0</v>
      </c>
      <c r="I38" s="303">
        <f t="shared" si="6"/>
        <v>0</v>
      </c>
      <c r="J38" s="736">
        <f t="shared" si="6"/>
        <v>0</v>
      </c>
      <c r="K38" s="304"/>
      <c r="M38" s="278"/>
    </row>
    <row r="39" spans="1:13" ht="14.25" customHeight="1" x14ac:dyDescent="0.3">
      <c r="A39" s="579" t="s">
        <v>304</v>
      </c>
      <c r="B39" s="588">
        <f>+$E$1/'Planta central'!$B$2*'Planta central'!M2*6</f>
        <v>0</v>
      </c>
      <c r="C39" s="588">
        <f>+$E$1/'Planta central'!$B$2*'Planta central'!N2*6</f>
        <v>0</v>
      </c>
      <c r="D39" s="271">
        <f>+$E$1/'Planta central'!$B$2*'Planta central'!O2*6</f>
        <v>0</v>
      </c>
      <c r="E39" s="271">
        <f>+$E$1/'Planta central'!$B$2*'Planta central'!P2*6</f>
        <v>0</v>
      </c>
      <c r="F39" s="271">
        <f>+$E$1/'Planta central'!$B$2*'Planta central'!Q2*6</f>
        <v>0</v>
      </c>
      <c r="G39" s="271">
        <f>+$E$1/'Planta central'!$B$2*'Planta central'!R2*6</f>
        <v>0</v>
      </c>
      <c r="H39" s="271">
        <f>+$E$1/'Planta central'!$B$2*'Planta central'!S2*6</f>
        <v>0</v>
      </c>
      <c r="I39" s="271">
        <f>+$E$1/'Planta central'!$B$2*'Planta central'!T2*6</f>
        <v>0</v>
      </c>
      <c r="J39" s="734">
        <v>0</v>
      </c>
      <c r="K39" s="272"/>
    </row>
    <row r="40" spans="1:13" ht="25.5" customHeight="1" thickBot="1" x14ac:dyDescent="0.35">
      <c r="A40" s="640" t="s">
        <v>305</v>
      </c>
      <c r="B40" s="641">
        <f>+B5+B21+B33+B35+B38</f>
        <v>60925.600289252827</v>
      </c>
      <c r="C40" s="641">
        <f t="shared" ref="C40:I40" si="7">+C5+C21+C33+C35+C38</f>
        <v>148905.85787336159</v>
      </c>
      <c r="D40" s="641">
        <f t="shared" si="7"/>
        <v>187543.74659820664</v>
      </c>
      <c r="E40" s="641">
        <f t="shared" si="7"/>
        <v>270997.68709787418</v>
      </c>
      <c r="F40" s="641">
        <f t="shared" si="7"/>
        <v>303241.58090187341</v>
      </c>
      <c r="G40" s="641">
        <f t="shared" si="7"/>
        <v>385789.0730635465</v>
      </c>
      <c r="H40" s="641">
        <f t="shared" si="7"/>
        <v>416629.99934687599</v>
      </c>
      <c r="I40" s="641">
        <f t="shared" si="7"/>
        <v>492713.6001721319</v>
      </c>
      <c r="J40" s="686">
        <f>SUM(B40:I40)+'5 Demanda'!J34</f>
        <v>2525907.3663406628</v>
      </c>
      <c r="K40" s="728"/>
    </row>
    <row r="41" spans="1:13" x14ac:dyDescent="0.3">
      <c r="B41" s="277"/>
      <c r="C41" s="277"/>
      <c r="D41" s="277"/>
      <c r="E41" s="277"/>
      <c r="F41" s="277"/>
      <c r="G41" s="277"/>
      <c r="H41" s="277"/>
      <c r="I41" s="277"/>
    </row>
    <row r="42" spans="1:13" ht="14.4" thickBot="1" x14ac:dyDescent="0.35">
      <c r="B42" s="277"/>
      <c r="C42" s="277"/>
      <c r="D42" s="277"/>
      <c r="E42" s="277"/>
      <c r="F42" s="277"/>
      <c r="G42" s="277"/>
      <c r="H42" s="277"/>
      <c r="I42" s="277"/>
    </row>
    <row r="43" spans="1:13" ht="26.25" customHeight="1" thickBot="1" x14ac:dyDescent="0.35">
      <c r="A43" s="1039" t="s">
        <v>292</v>
      </c>
      <c r="B43" s="1040"/>
      <c r="C43" s="1040"/>
      <c r="D43" s="1040"/>
      <c r="E43" s="1040"/>
      <c r="F43" s="1040"/>
      <c r="G43" s="1040"/>
      <c r="H43" s="1040"/>
      <c r="I43" s="1040"/>
      <c r="J43" s="1040"/>
      <c r="K43" s="1041"/>
    </row>
    <row r="44" spans="1:13" ht="21" customHeight="1" x14ac:dyDescent="0.3">
      <c r="A44" s="1042" t="s">
        <v>161</v>
      </c>
      <c r="B44" s="987" t="s">
        <v>306</v>
      </c>
      <c r="C44" s="987"/>
      <c r="D44" s="987"/>
      <c r="E44" s="987"/>
      <c r="F44" s="987"/>
      <c r="G44" s="987"/>
      <c r="H44" s="987"/>
      <c r="I44" s="987"/>
      <c r="J44" s="987"/>
      <c r="K44" s="1043"/>
    </row>
    <row r="45" spans="1:13" ht="24.75" customHeight="1" thickBot="1" x14ac:dyDescent="0.35">
      <c r="A45" s="1036"/>
      <c r="B45" s="141">
        <f t="shared" ref="B45:I45" si="8">+B4</f>
        <v>2023</v>
      </c>
      <c r="C45" s="141">
        <f t="shared" si="8"/>
        <v>2023</v>
      </c>
      <c r="D45" s="141">
        <f t="shared" si="8"/>
        <v>2024</v>
      </c>
      <c r="E45" s="141">
        <f t="shared" si="8"/>
        <v>2024</v>
      </c>
      <c r="F45" s="141">
        <f t="shared" si="8"/>
        <v>2025</v>
      </c>
      <c r="G45" s="141">
        <f t="shared" si="8"/>
        <v>2025</v>
      </c>
      <c r="H45" s="141">
        <f t="shared" si="8"/>
        <v>2026</v>
      </c>
      <c r="I45" s="141">
        <f t="shared" si="8"/>
        <v>2026</v>
      </c>
      <c r="J45" s="568"/>
      <c r="K45" s="764"/>
    </row>
    <row r="46" spans="1:13" x14ac:dyDescent="0.3">
      <c r="A46" s="586" t="str">
        <f t="shared" ref="A46:A81" si="9">+A5</f>
        <v>COSTOS POR SERVICIOS</v>
      </c>
      <c r="B46" s="823">
        <f t="shared" ref="B46:J46" si="10">(B5/(B$40))</f>
        <v>0.44934815041793846</v>
      </c>
      <c r="C46" s="824">
        <f t="shared" si="10"/>
        <v>0.59666757517160829</v>
      </c>
      <c r="D46" s="824">
        <f t="shared" si="10"/>
        <v>0.63314139299102856</v>
      </c>
      <c r="E46" s="824">
        <f t="shared" si="10"/>
        <v>0.67493455028647098</v>
      </c>
      <c r="F46" s="824">
        <f t="shared" si="10"/>
        <v>0.69312598113439461</v>
      </c>
      <c r="G46" s="824">
        <f t="shared" si="10"/>
        <v>0.71554462390038431</v>
      </c>
      <c r="H46" s="824">
        <f t="shared" si="10"/>
        <v>0.72800250516588438</v>
      </c>
      <c r="I46" s="824">
        <f t="shared" si="10"/>
        <v>0.74130834785795185</v>
      </c>
      <c r="J46" s="825">
        <f t="shared" si="10"/>
        <v>0.62261420928576061</v>
      </c>
      <c r="K46" s="821"/>
    </row>
    <row r="47" spans="1:13" x14ac:dyDescent="0.3">
      <c r="A47" s="583" t="str">
        <f t="shared" si="9"/>
        <v>Mantenimiento Edificio</v>
      </c>
      <c r="B47" s="285">
        <f t="shared" ref="B47:J47" si="11">(B6/(B$40))</f>
        <v>5.1422822591528007E-2</v>
      </c>
      <c r="C47" s="286">
        <f t="shared" si="11"/>
        <v>6.1845592116394177E-2</v>
      </c>
      <c r="D47" s="286">
        <f t="shared" si="11"/>
        <v>6.1039642611876353E-2</v>
      </c>
      <c r="E47" s="286">
        <f t="shared" si="11"/>
        <v>6.2523858692029685E-2</v>
      </c>
      <c r="F47" s="286">
        <f t="shared" si="11"/>
        <v>6.084989666705249E-2</v>
      </c>
      <c r="G47" s="286">
        <f t="shared" si="11"/>
        <v>5.8861827318706643E-2</v>
      </c>
      <c r="H47" s="286">
        <f t="shared" si="11"/>
        <v>5.7288031519515996E-2</v>
      </c>
      <c r="I47" s="286">
        <f t="shared" si="11"/>
        <v>5.7372528075820287E-2</v>
      </c>
      <c r="J47" s="287">
        <f t="shared" si="11"/>
        <v>5.3062186479247188E-2</v>
      </c>
      <c r="K47" s="822"/>
    </row>
    <row r="48" spans="1:13" x14ac:dyDescent="0.3">
      <c r="A48" s="583" t="str">
        <f t="shared" si="9"/>
        <v>Capacitación Docente</v>
      </c>
      <c r="B48" s="285">
        <f t="shared" ref="B48:J48" si="12">(B7/(B$40))</f>
        <v>2.9384241053892787E-3</v>
      </c>
      <c r="C48" s="286">
        <f t="shared" si="12"/>
        <v>4.0648795650648521E-3</v>
      </c>
      <c r="D48" s="286">
        <f t="shared" si="12"/>
        <v>4.3032404600130544E-3</v>
      </c>
      <c r="E48" s="286">
        <f t="shared" si="12"/>
        <v>4.6918576075638679E-3</v>
      </c>
      <c r="F48" s="286">
        <f t="shared" si="12"/>
        <v>4.9147096104496706E-3</v>
      </c>
      <c r="G48" s="286">
        <f t="shared" si="12"/>
        <v>5.0104357447209825E-3</v>
      </c>
      <c r="H48" s="286">
        <f t="shared" si="12"/>
        <v>5.1212403826667724E-3</v>
      </c>
      <c r="I48" s="286">
        <f t="shared" si="12"/>
        <v>5.0841621168841427E-3</v>
      </c>
      <c r="J48" s="287">
        <f t="shared" si="12"/>
        <v>4.3251197753413967E-3</v>
      </c>
      <c r="K48" s="822"/>
    </row>
    <row r="49" spans="1:14" x14ac:dyDescent="0.3">
      <c r="A49" s="583" t="str">
        <f t="shared" si="9"/>
        <v>Internacionalización</v>
      </c>
      <c r="B49" s="285">
        <f t="shared" ref="B49:I49" si="13">(B8/(B$40))</f>
        <v>1.8992074438244275E-3</v>
      </c>
      <c r="C49" s="286">
        <f t="shared" si="13"/>
        <v>2.2841532805034409E-3</v>
      </c>
      <c r="D49" s="286">
        <f t="shared" si="13"/>
        <v>2.2543870167865397E-3</v>
      </c>
      <c r="E49" s="286">
        <f t="shared" si="13"/>
        <v>2.3422254243886938E-3</v>
      </c>
      <c r="F49" s="286">
        <f t="shared" si="13"/>
        <v>2.279516620159652E-3</v>
      </c>
      <c r="G49" s="286">
        <f t="shared" si="13"/>
        <v>2.2780278005526638E-3</v>
      </c>
      <c r="H49" s="286">
        <f t="shared" si="13"/>
        <v>2.2171198956122081E-3</v>
      </c>
      <c r="I49" s="286">
        <f t="shared" si="13"/>
        <v>2.250365285395474E-3</v>
      </c>
      <c r="J49" s="287">
        <f t="shared" ref="J49:J81" si="14">(J8/(J$40))</f>
        <v>2.0253928488825263E-3</v>
      </c>
      <c r="K49" s="822"/>
    </row>
    <row r="50" spans="1:14" hidden="1" x14ac:dyDescent="0.3">
      <c r="A50" s="583" t="str">
        <f t="shared" si="9"/>
        <v>Insumos Prácticas y Laboratorios</v>
      </c>
      <c r="B50" s="285">
        <f t="shared" ref="B50:B80" si="15">(B9/(B$40))</f>
        <v>0</v>
      </c>
      <c r="C50" s="285">
        <f t="shared" ref="C50:I50" si="16">(C9/(C$40))</f>
        <v>0</v>
      </c>
      <c r="D50" s="285">
        <f t="shared" si="16"/>
        <v>0</v>
      </c>
      <c r="E50" s="285">
        <f t="shared" si="16"/>
        <v>0</v>
      </c>
      <c r="F50" s="285">
        <f t="shared" si="16"/>
        <v>0</v>
      </c>
      <c r="G50" s="285">
        <f t="shared" si="16"/>
        <v>0</v>
      </c>
      <c r="H50" s="285">
        <f t="shared" si="16"/>
        <v>0</v>
      </c>
      <c r="I50" s="285">
        <f t="shared" si="16"/>
        <v>0</v>
      </c>
      <c r="J50" s="287">
        <f t="shared" si="14"/>
        <v>0</v>
      </c>
      <c r="K50" s="822"/>
    </row>
    <row r="51" spans="1:14" x14ac:dyDescent="0.3">
      <c r="A51" s="583" t="str">
        <f t="shared" si="9"/>
        <v>Tiempo Completo PhD</v>
      </c>
      <c r="B51" s="285">
        <f t="shared" si="15"/>
        <v>9.2537541743261523E-2</v>
      </c>
      <c r="C51" s="286">
        <f t="shared" ref="C51:I60" si="17">(C10/(C$40))</f>
        <v>0.12793984808873068</v>
      </c>
      <c r="D51" s="286">
        <f t="shared" si="17"/>
        <v>0.1354421261271897</v>
      </c>
      <c r="E51" s="286">
        <f t="shared" si="17"/>
        <v>0.14503357364954092</v>
      </c>
      <c r="F51" s="286">
        <f t="shared" si="17"/>
        <v>0.15192232115146434</v>
      </c>
      <c r="G51" s="286">
        <f t="shared" si="17"/>
        <v>0.15790137089804934</v>
      </c>
      <c r="H51" s="286">
        <f t="shared" si="17"/>
        <v>0.16139332351952268</v>
      </c>
      <c r="I51" s="286">
        <f t="shared" si="17"/>
        <v>0.16028100811033993</v>
      </c>
      <c r="J51" s="287">
        <f t="shared" si="14"/>
        <v>0.13563193593125103</v>
      </c>
      <c r="K51" s="822"/>
    </row>
    <row r="52" spans="1:14" x14ac:dyDescent="0.3">
      <c r="A52" s="583" t="str">
        <f t="shared" si="9"/>
        <v>Tiempo Completo Mgs.</v>
      </c>
      <c r="B52" s="285">
        <f t="shared" si="15"/>
        <v>0.14945965500164746</v>
      </c>
      <c r="C52" s="286">
        <f t="shared" si="17"/>
        <v>0.20667532827199478</v>
      </c>
      <c r="D52" s="286">
        <f t="shared" si="17"/>
        <v>0.21879458430949561</v>
      </c>
      <c r="E52" s="286">
        <f t="shared" si="17"/>
        <v>0.23433050356009097</v>
      </c>
      <c r="F52" s="286">
        <f t="shared" si="17"/>
        <v>0.2454606414337166</v>
      </c>
      <c r="G52" s="286">
        <f t="shared" si="17"/>
        <v>0.2551428660692745</v>
      </c>
      <c r="H52" s="286">
        <f t="shared" si="17"/>
        <v>0.26078529206566486</v>
      </c>
      <c r="I52" s="286">
        <f t="shared" si="17"/>
        <v>0.25903765070935797</v>
      </c>
      <c r="J52" s="287">
        <f t="shared" si="14"/>
        <v>0.21915499613073647</v>
      </c>
      <c r="K52" s="822"/>
    </row>
    <row r="53" spans="1:14" x14ac:dyDescent="0.3">
      <c r="A53" s="583" t="str">
        <f t="shared" si="9"/>
        <v>Medio Tiempo</v>
      </c>
      <c r="B53" s="285">
        <f t="shared" si="15"/>
        <v>0</v>
      </c>
      <c r="C53" s="286">
        <f t="shared" si="17"/>
        <v>0</v>
      </c>
      <c r="D53" s="286">
        <f t="shared" si="17"/>
        <v>0</v>
      </c>
      <c r="E53" s="286">
        <f t="shared" si="17"/>
        <v>0</v>
      </c>
      <c r="F53" s="286">
        <f t="shared" si="17"/>
        <v>0</v>
      </c>
      <c r="G53" s="286">
        <f t="shared" si="17"/>
        <v>0</v>
      </c>
      <c r="H53" s="286">
        <f t="shared" si="17"/>
        <v>0</v>
      </c>
      <c r="I53" s="286">
        <f t="shared" si="17"/>
        <v>0</v>
      </c>
      <c r="J53" s="287">
        <f t="shared" si="14"/>
        <v>0</v>
      </c>
      <c r="K53" s="822"/>
      <c r="M53" s="288"/>
    </row>
    <row r="54" spans="1:14" x14ac:dyDescent="0.3">
      <c r="A54" s="583" t="str">
        <f t="shared" si="9"/>
        <v>Tiempo Parcial</v>
      </c>
      <c r="B54" s="285">
        <f t="shared" si="15"/>
        <v>9.9845520751858027E-3</v>
      </c>
      <c r="C54" s="286">
        <f t="shared" si="17"/>
        <v>1.3827439169233261E-2</v>
      </c>
      <c r="D54" s="286">
        <f t="shared" si="17"/>
        <v>1.4638267810639195E-2</v>
      </c>
      <c r="E54" s="286">
        <f t="shared" si="17"/>
        <v>1.5701282813030796E-2</v>
      </c>
      <c r="F54" s="286">
        <f t="shared" si="17"/>
        <v>1.6447056153875459E-2</v>
      </c>
      <c r="G54" s="286">
        <f t="shared" si="17"/>
        <v>1.7108164901523594E-2</v>
      </c>
      <c r="H54" s="286">
        <f t="shared" si="17"/>
        <v>1.7486508046593859E-2</v>
      </c>
      <c r="I54" s="286">
        <f t="shared" si="17"/>
        <v>1.7397362437972592E-2</v>
      </c>
      <c r="J54" s="287">
        <f t="shared" si="14"/>
        <v>1.469274932072148E-2</v>
      </c>
      <c r="K54" s="822"/>
    </row>
    <row r="55" spans="1:14" x14ac:dyDescent="0.3">
      <c r="A55" s="583" t="str">
        <f t="shared" si="9"/>
        <v>Ocasional Tipo 2 (Técnico Docente)</v>
      </c>
      <c r="B55" s="285">
        <f t="shared" si="15"/>
        <v>4.6921568871341503E-2</v>
      </c>
      <c r="C55" s="286">
        <f t="shared" si="17"/>
        <v>6.2298758757828171E-2</v>
      </c>
      <c r="D55" s="286">
        <f t="shared" si="17"/>
        <v>6.8012899084218106E-2</v>
      </c>
      <c r="E55" s="286">
        <f t="shared" si="17"/>
        <v>7.6002984752753397E-2</v>
      </c>
      <c r="F55" s="286">
        <f t="shared" si="17"/>
        <v>8.2476147359773405E-2</v>
      </c>
      <c r="G55" s="286">
        <f t="shared" si="17"/>
        <v>9.3006300810396847E-2</v>
      </c>
      <c r="H55" s="286">
        <f t="shared" si="17"/>
        <v>0.10144824746461413</v>
      </c>
      <c r="I55" s="286">
        <f t="shared" si="17"/>
        <v>0.11829973983153377</v>
      </c>
      <c r="J55" s="287">
        <f t="shared" si="14"/>
        <v>8.1924100026039545E-2</v>
      </c>
      <c r="K55" s="822"/>
    </row>
    <row r="56" spans="1:14" x14ac:dyDescent="0.3">
      <c r="A56" s="583" t="str">
        <f t="shared" si="9"/>
        <v>Costo del Seguro Estudiantil</v>
      </c>
      <c r="B56" s="285">
        <f t="shared" si="15"/>
        <v>1.5117204722115755E-2</v>
      </c>
      <c r="C56" s="286">
        <f t="shared" si="17"/>
        <v>1.8181274968325653E-2</v>
      </c>
      <c r="D56" s="286">
        <f t="shared" si="17"/>
        <v>1.7944343134531467E-2</v>
      </c>
      <c r="E56" s="286">
        <f t="shared" si="17"/>
        <v>1.8643514356982284E-2</v>
      </c>
      <c r="F56" s="286">
        <f t="shared" si="17"/>
        <v>1.8144368339788629E-2</v>
      </c>
      <c r="G56" s="286">
        <f t="shared" si="17"/>
        <v>1.8132517717116357E-2</v>
      </c>
      <c r="H56" s="286">
        <f t="shared" si="17"/>
        <v>1.7647706396913276E-2</v>
      </c>
      <c r="I56" s="286">
        <f t="shared" si="17"/>
        <v>1.7912331182928294E-2</v>
      </c>
      <c r="J56" s="287">
        <f t="shared" si="14"/>
        <v>1.612160822074838E-2</v>
      </c>
      <c r="K56" s="822"/>
    </row>
    <row r="57" spans="1:14" x14ac:dyDescent="0.3">
      <c r="A57" s="583" t="str">
        <f t="shared" si="9"/>
        <v>Becas Institucionales 10 % estudiantes</v>
      </c>
      <c r="B57" s="285">
        <f t="shared" si="15"/>
        <v>0</v>
      </c>
      <c r="C57" s="286">
        <f t="shared" si="17"/>
        <v>0</v>
      </c>
      <c r="D57" s="286">
        <f t="shared" si="17"/>
        <v>0</v>
      </c>
      <c r="E57" s="286">
        <f t="shared" si="17"/>
        <v>0</v>
      </c>
      <c r="F57" s="286">
        <f t="shared" si="17"/>
        <v>0</v>
      </c>
      <c r="G57" s="286">
        <f t="shared" si="17"/>
        <v>0</v>
      </c>
      <c r="H57" s="286">
        <f t="shared" si="17"/>
        <v>0</v>
      </c>
      <c r="I57" s="286">
        <f t="shared" si="17"/>
        <v>0</v>
      </c>
      <c r="J57" s="287">
        <f t="shared" si="14"/>
        <v>0</v>
      </c>
      <c r="K57" s="822"/>
    </row>
    <row r="58" spans="1:14" x14ac:dyDescent="0.3">
      <c r="A58" s="583" t="str">
        <f t="shared" si="9"/>
        <v>Investigación 5%</v>
      </c>
      <c r="B58" s="285">
        <f t="shared" si="15"/>
        <v>5.6971508570046549E-2</v>
      </c>
      <c r="C58" s="286">
        <f t="shared" si="17"/>
        <v>7.2065922151909115E-2</v>
      </c>
      <c r="D58" s="286">
        <f t="shared" si="17"/>
        <v>7.1126784983626512E-2</v>
      </c>
      <c r="E58" s="286">
        <f t="shared" si="17"/>
        <v>7.1369450025470099E-2</v>
      </c>
      <c r="F58" s="286">
        <f t="shared" si="17"/>
        <v>6.945866346198222E-2</v>
      </c>
      <c r="G58" s="286">
        <f t="shared" si="17"/>
        <v>7.0622935914320797E-2</v>
      </c>
      <c r="H58" s="286">
        <f t="shared" si="17"/>
        <v>6.87346819315372E-2</v>
      </c>
      <c r="I58" s="286">
        <f t="shared" si="17"/>
        <v>6.9829822045779574E-2</v>
      </c>
      <c r="J58" s="287">
        <f t="shared" si="14"/>
        <v>6.2644318814483804E-2</v>
      </c>
      <c r="K58" s="822"/>
    </row>
    <row r="59" spans="1:14" x14ac:dyDescent="0.3">
      <c r="A59" s="583" t="str">
        <f t="shared" si="9"/>
        <v>Vinculación 1%</v>
      </c>
      <c r="B59" s="285">
        <f t="shared" si="15"/>
        <v>1.1394301714009309E-2</v>
      </c>
      <c r="C59" s="286">
        <f t="shared" si="17"/>
        <v>1.4413184430381821E-2</v>
      </c>
      <c r="D59" s="286">
        <f t="shared" si="17"/>
        <v>1.4225356996725301E-2</v>
      </c>
      <c r="E59" s="286">
        <f t="shared" si="17"/>
        <v>1.4273890005094025E-2</v>
      </c>
      <c r="F59" s="286">
        <f t="shared" si="17"/>
        <v>1.3891732692396448E-2</v>
      </c>
      <c r="G59" s="286">
        <f t="shared" si="17"/>
        <v>1.4124587182864162E-2</v>
      </c>
      <c r="H59" s="286">
        <f t="shared" si="17"/>
        <v>1.3746936386307439E-2</v>
      </c>
      <c r="I59" s="286">
        <f t="shared" si="17"/>
        <v>1.3965964409155917E-2</v>
      </c>
      <c r="J59" s="287">
        <f t="shared" si="14"/>
        <v>1.2528863762896761E-2</v>
      </c>
      <c r="K59" s="822"/>
    </row>
    <row r="60" spans="1:14" x14ac:dyDescent="0.3">
      <c r="A60" s="583" t="str">
        <f t="shared" si="9"/>
        <v>Materiales y Suministros</v>
      </c>
      <c r="B60" s="285">
        <f t="shared" si="15"/>
        <v>1.0701363579588882E-2</v>
      </c>
      <c r="C60" s="286">
        <f t="shared" si="17"/>
        <v>1.1217349200256766E-2</v>
      </c>
      <c r="D60" s="286">
        <f t="shared" si="17"/>
        <v>1.0951500780242766E-2</v>
      </c>
      <c r="E60" s="286">
        <f t="shared" si="17"/>
        <v>1.1031792681046029E-2</v>
      </c>
      <c r="F60" s="286">
        <f t="shared" si="17"/>
        <v>1.0262201800797909E-2</v>
      </c>
      <c r="G60" s="286">
        <f t="shared" si="17"/>
        <v>9.8848706698511073E-3</v>
      </c>
      <c r="H60" s="286">
        <f t="shared" si="17"/>
        <v>9.6439265836605146E-3</v>
      </c>
      <c r="I60" s="286">
        <f t="shared" si="17"/>
        <v>9.6332195289090729E-3</v>
      </c>
      <c r="J60" s="287">
        <f t="shared" si="14"/>
        <v>9.1276350405949443E-3</v>
      </c>
      <c r="K60" s="822"/>
    </row>
    <row r="61" spans="1:14" x14ac:dyDescent="0.3">
      <c r="A61" s="583" t="str">
        <f t="shared" si="9"/>
        <v>Depreciación</v>
      </c>
      <c r="B61" s="285">
        <f t="shared" si="15"/>
        <v>0</v>
      </c>
      <c r="C61" s="286">
        <f t="shared" ref="C61:D80" si="18">(C20/(C$40))</f>
        <v>1.8538451709856035E-3</v>
      </c>
      <c r="D61" s="286">
        <f t="shared" si="18"/>
        <v>1.4408259675684059E-2</v>
      </c>
      <c r="E61" s="286">
        <f>(C20/(E$40))</f>
        <v>1.0186374965270521E-3</v>
      </c>
      <c r="F61" s="286">
        <f>(D20/(F$40))</f>
        <v>8.9109778200637136E-3</v>
      </c>
      <c r="G61" s="286">
        <f>(E20/(G$40))</f>
        <v>1.3339263781417669E-2</v>
      </c>
      <c r="H61" s="286">
        <f>(F20/(H$40))</f>
        <v>1.2386974864119844E-2</v>
      </c>
      <c r="I61" s="286">
        <f>(G20/(I$40))</f>
        <v>1.0547417700062562E-2</v>
      </c>
      <c r="J61" s="287">
        <f t="shared" si="14"/>
        <v>1.1375302934817174E-2</v>
      </c>
      <c r="K61" s="822"/>
    </row>
    <row r="62" spans="1:14" x14ac:dyDescent="0.3">
      <c r="A62" s="582" t="str">
        <f t="shared" si="9"/>
        <v>GASTOS DE ADMINISTRACIÓN</v>
      </c>
      <c r="B62" s="283">
        <f t="shared" si="15"/>
        <v>0.53082572246949367</v>
      </c>
      <c r="C62" s="284">
        <f t="shared" si="18"/>
        <v>0.37948778719751863</v>
      </c>
      <c r="D62" s="284">
        <f t="shared" si="18"/>
        <v>0.34268485340333316</v>
      </c>
      <c r="E62" s="284">
        <f t="shared" ref="E62:I71" si="19">(E21/(E$40))</f>
        <v>0.30071282565466739</v>
      </c>
      <c r="F62" s="284">
        <f t="shared" si="19"/>
        <v>0.28319100616640669</v>
      </c>
      <c r="G62" s="284">
        <f t="shared" si="19"/>
        <v>0.26152657515689653</v>
      </c>
      <c r="H62" s="284">
        <f t="shared" si="19"/>
        <v>0.24968909844200718</v>
      </c>
      <c r="I62" s="284">
        <f t="shared" si="19"/>
        <v>0.23635004008067806</v>
      </c>
      <c r="J62" s="287">
        <f t="shared" si="14"/>
        <v>0.25411064232983599</v>
      </c>
      <c r="K62" s="821"/>
      <c r="L62" s="289"/>
    </row>
    <row r="63" spans="1:14" x14ac:dyDescent="0.3">
      <c r="A63" s="583" t="str">
        <f t="shared" si="9"/>
        <v>Administración Central</v>
      </c>
      <c r="B63" s="285">
        <f t="shared" si="15"/>
        <v>8.0521359627013414E-2</v>
      </c>
      <c r="C63" s="286">
        <f t="shared" si="18"/>
        <v>9.5476725198801779E-2</v>
      </c>
      <c r="D63" s="286">
        <f t="shared" si="18"/>
        <v>9.4232506868380639E-2</v>
      </c>
      <c r="E63" s="286">
        <f t="shared" si="19"/>
        <v>9.4767320096000279E-2</v>
      </c>
      <c r="F63" s="286">
        <f t="shared" si="19"/>
        <v>9.2230098331890012E-2</v>
      </c>
      <c r="G63" s="286">
        <f t="shared" si="19"/>
        <v>9.0942141225052384E-2</v>
      </c>
      <c r="H63" s="286">
        <f t="shared" si="19"/>
        <v>8.8510610191290223E-2</v>
      </c>
      <c r="I63" s="286">
        <f t="shared" si="19"/>
        <v>8.8641158257949118E-2</v>
      </c>
      <c r="J63" s="287">
        <f t="shared" si="14"/>
        <v>8.1586785566065925E-2</v>
      </c>
      <c r="K63" s="822"/>
    </row>
    <row r="64" spans="1:14" x14ac:dyDescent="0.3">
      <c r="A64" s="583" t="str">
        <f t="shared" si="9"/>
        <v>Decano</v>
      </c>
      <c r="B64" s="285">
        <f t="shared" si="15"/>
        <v>4.8341464801690194E-2</v>
      </c>
      <c r="C64" s="286">
        <f t="shared" si="18"/>
        <v>4.9206923748035987E-2</v>
      </c>
      <c r="D64" s="286">
        <f t="shared" si="18"/>
        <v>4.5954716496541613E-2</v>
      </c>
      <c r="E64" s="286">
        <f t="shared" si="19"/>
        <v>4.1692585049040429E-2</v>
      </c>
      <c r="F64" s="286">
        <f t="shared" si="19"/>
        <v>3.9332347029197044E-2</v>
      </c>
      <c r="G64" s="286">
        <f t="shared" si="19"/>
        <v>3.6580493232411318E-2</v>
      </c>
      <c r="H64" s="286">
        <f t="shared" si="19"/>
        <v>3.4838330922923884E-2</v>
      </c>
      <c r="I64" s="286">
        <f t="shared" si="19"/>
        <v>3.2706184610047942E-2</v>
      </c>
      <c r="J64" s="287">
        <f t="shared" si="14"/>
        <v>3.4387080208574512E-2</v>
      </c>
      <c r="K64" s="822"/>
      <c r="N64" s="195"/>
    </row>
    <row r="65" spans="1:11" x14ac:dyDescent="0.3">
      <c r="A65" s="583" t="str">
        <f t="shared" si="9"/>
        <v>Subdecano</v>
      </c>
      <c r="B65" s="285">
        <f t="shared" si="15"/>
        <v>3.5962901028975709E-2</v>
      </c>
      <c r="C65" s="286">
        <f t="shared" si="18"/>
        <v>3.6609688476962596E-2</v>
      </c>
      <c r="D65" s="286">
        <f t="shared" si="18"/>
        <v>3.4190063650395786E-2</v>
      </c>
      <c r="E65" s="286">
        <f t="shared" si="19"/>
        <v>3.1021576758389464E-2</v>
      </c>
      <c r="F65" s="286">
        <f t="shared" si="19"/>
        <v>2.9265429836472324E-2</v>
      </c>
      <c r="G65" s="286">
        <f t="shared" si="19"/>
        <v>2.7218961026856565E-2</v>
      </c>
      <c r="H65" s="286">
        <f t="shared" si="19"/>
        <v>2.5922645865026496E-2</v>
      </c>
      <c r="I65" s="286">
        <f t="shared" si="19"/>
        <v>2.4338273234992696E-2</v>
      </c>
      <c r="J65" s="287">
        <f t="shared" si="14"/>
        <v>2.5586286559775944E-2</v>
      </c>
      <c r="K65" s="822"/>
    </row>
    <row r="66" spans="1:11" x14ac:dyDescent="0.3">
      <c r="A66" s="583" t="str">
        <f t="shared" si="9"/>
        <v>Director de Carrera</v>
      </c>
      <c r="B66" s="285">
        <f t="shared" si="15"/>
        <v>0.28922751546706349</v>
      </c>
      <c r="C66" s="286">
        <f t="shared" si="18"/>
        <v>0.11997383097710834</v>
      </c>
      <c r="D66" s="286">
        <f t="shared" si="18"/>
        <v>9.525674168317394E-2</v>
      </c>
      <c r="E66" s="286">
        <f t="shared" si="19"/>
        <v>6.6892710956813928E-2</v>
      </c>
      <c r="F66" s="286">
        <f t="shared" si="19"/>
        <v>5.9779961241097752E-2</v>
      </c>
      <c r="G66" s="286">
        <f t="shared" si="19"/>
        <v>4.85538002403769E-2</v>
      </c>
      <c r="H66" s="286">
        <f t="shared" si="19"/>
        <v>4.495961792912611E-2</v>
      </c>
      <c r="I66" s="286">
        <f t="shared" si="19"/>
        <v>3.8547447928687993E-2</v>
      </c>
      <c r="J66" s="287">
        <f t="shared" si="14"/>
        <v>5.7825721292739669E-2</v>
      </c>
      <c r="K66" s="822"/>
    </row>
    <row r="67" spans="1:11" x14ac:dyDescent="0.3">
      <c r="A67" s="583" t="str">
        <f t="shared" si="9"/>
        <v>Secretario</v>
      </c>
      <c r="B67" s="285">
        <f t="shared" si="15"/>
        <v>1.2691201136272465E-2</v>
      </c>
      <c r="C67" s="286">
        <f t="shared" si="18"/>
        <v>1.2926886167344599E-2</v>
      </c>
      <c r="D67" s="286">
        <f t="shared" si="18"/>
        <v>1.2072516299641612E-2</v>
      </c>
      <c r="E67" s="286">
        <f t="shared" si="19"/>
        <v>1.096008117196566E-2</v>
      </c>
      <c r="F67" s="286">
        <f t="shared" si="19"/>
        <v>1.0339625514149874E-2</v>
      </c>
      <c r="G67" s="286">
        <f t="shared" si="19"/>
        <v>9.6192804804136195E-3</v>
      </c>
      <c r="H67" s="286">
        <f t="shared" si="19"/>
        <v>9.1611579561794061E-3</v>
      </c>
      <c r="I67" s="286">
        <f t="shared" si="19"/>
        <v>8.606599849888848E-3</v>
      </c>
      <c r="J67" s="287">
        <f t="shared" si="14"/>
        <v>9.0407945000346417E-3</v>
      </c>
      <c r="K67" s="822"/>
    </row>
    <row r="68" spans="1:11" x14ac:dyDescent="0.3">
      <c r="A68" s="583" t="str">
        <f t="shared" si="9"/>
        <v>Auxiliar de Secretaria</v>
      </c>
      <c r="B68" s="285">
        <f t="shared" si="15"/>
        <v>1.0834416570365293E-2</v>
      </c>
      <c r="C68" s="286">
        <f t="shared" si="18"/>
        <v>1.1037300876683588E-2</v>
      </c>
      <c r="D68" s="286">
        <f t="shared" si="18"/>
        <v>1.0307818372719737E-2</v>
      </c>
      <c r="E68" s="286">
        <f t="shared" si="19"/>
        <v>9.3594299283680186E-3</v>
      </c>
      <c r="F68" s="286">
        <f t="shared" si="19"/>
        <v>8.8295879352411656E-3</v>
      </c>
      <c r="G68" s="286">
        <f t="shared" si="19"/>
        <v>8.2150506495804083E-3</v>
      </c>
      <c r="H68" s="286">
        <f t="shared" si="19"/>
        <v>7.8238051974947997E-3</v>
      </c>
      <c r="I68" s="286">
        <f t="shared" si="19"/>
        <v>7.3514131436305643E-3</v>
      </c>
      <c r="J68" s="287">
        <f t="shared" si="14"/>
        <v>7.7206754527148575E-3</v>
      </c>
      <c r="K68" s="822"/>
    </row>
    <row r="69" spans="1:11" x14ac:dyDescent="0.3">
      <c r="A69" s="583" t="str">
        <f t="shared" si="9"/>
        <v xml:space="preserve">Coordinador  </v>
      </c>
      <c r="B69" s="285">
        <f t="shared" si="15"/>
        <v>1.1453344759001019E-2</v>
      </c>
      <c r="C69" s="286">
        <f t="shared" si="18"/>
        <v>1.1667162640237259E-2</v>
      </c>
      <c r="D69" s="286">
        <f t="shared" si="18"/>
        <v>1.0896051015027029E-2</v>
      </c>
      <c r="E69" s="286">
        <f t="shared" si="19"/>
        <v>9.8929803429005647E-3</v>
      </c>
      <c r="F69" s="286">
        <f t="shared" si="19"/>
        <v>9.3329337948774016E-3</v>
      </c>
      <c r="G69" s="286">
        <f t="shared" si="19"/>
        <v>8.6831272598581442E-3</v>
      </c>
      <c r="H69" s="286">
        <f t="shared" si="19"/>
        <v>8.2695894503896673E-3</v>
      </c>
      <c r="I69" s="286">
        <f t="shared" si="19"/>
        <v>7.7698087123833273E-3</v>
      </c>
      <c r="J69" s="287">
        <f t="shared" si="14"/>
        <v>8.1607151351547839E-3</v>
      </c>
      <c r="K69" s="822"/>
    </row>
    <row r="70" spans="1:11" x14ac:dyDescent="0.3">
      <c r="A70" s="583" t="str">
        <f t="shared" si="9"/>
        <v>Bienestar Estudiantil</v>
      </c>
      <c r="B70" s="285">
        <f t="shared" si="15"/>
        <v>1.1453344759001019E-2</v>
      </c>
      <c r="C70" s="286">
        <f t="shared" si="18"/>
        <v>1.1667162640237259E-2</v>
      </c>
      <c r="D70" s="286">
        <f t="shared" si="18"/>
        <v>1.0896051015027029E-2</v>
      </c>
      <c r="E70" s="286">
        <f t="shared" si="19"/>
        <v>9.8929803429005647E-3</v>
      </c>
      <c r="F70" s="286">
        <f t="shared" si="19"/>
        <v>9.3329337948774016E-3</v>
      </c>
      <c r="G70" s="286">
        <f t="shared" si="19"/>
        <v>8.6831272598581442E-3</v>
      </c>
      <c r="H70" s="286">
        <f t="shared" si="19"/>
        <v>8.2695894503896673E-3</v>
      </c>
      <c r="I70" s="286">
        <f t="shared" si="19"/>
        <v>7.7698087123833273E-3</v>
      </c>
      <c r="J70" s="287">
        <f t="shared" si="14"/>
        <v>8.1607151351547839E-3</v>
      </c>
      <c r="K70" s="822"/>
    </row>
    <row r="71" spans="1:11" x14ac:dyDescent="0.3">
      <c r="A71" s="583" t="str">
        <f t="shared" si="9"/>
        <v>Bibliotecario</v>
      </c>
      <c r="B71" s="285">
        <f t="shared" si="15"/>
        <v>1.0215488381729568E-2</v>
      </c>
      <c r="C71" s="286">
        <f t="shared" si="18"/>
        <v>1.0407439113129918E-2</v>
      </c>
      <c r="D71" s="286">
        <f t="shared" si="18"/>
        <v>9.7195857304124451E-3</v>
      </c>
      <c r="E71" s="286">
        <f t="shared" si="19"/>
        <v>8.8258795138354707E-3</v>
      </c>
      <c r="F71" s="286">
        <f t="shared" si="19"/>
        <v>8.3262420756049314E-3</v>
      </c>
      <c r="G71" s="286">
        <f t="shared" si="19"/>
        <v>7.7469740393026681E-3</v>
      </c>
      <c r="H71" s="286">
        <f t="shared" si="19"/>
        <v>7.3780209445999294E-3</v>
      </c>
      <c r="I71" s="286">
        <f t="shared" si="19"/>
        <v>6.9330175748778021E-3</v>
      </c>
      <c r="J71" s="287">
        <f t="shared" si="14"/>
        <v>7.2806357702749295E-3</v>
      </c>
      <c r="K71" s="822"/>
    </row>
    <row r="72" spans="1:11" x14ac:dyDescent="0.3">
      <c r="A72" s="583" t="str">
        <f t="shared" si="9"/>
        <v>Auxiliar de Servicio</v>
      </c>
      <c r="B72" s="285">
        <f t="shared" si="15"/>
        <v>1.1765982122558994E-2</v>
      </c>
      <c r="C72" s="286">
        <f t="shared" si="18"/>
        <v>1.1996813536508454E-2</v>
      </c>
      <c r="D72" s="286">
        <f t="shared" si="18"/>
        <v>1.1203914468522806E-2</v>
      </c>
      <c r="E72" s="286">
        <f t="shared" ref="E72:I80" si="20">(E31/(E$40))</f>
        <v>1.0182053224215266E-2</v>
      </c>
      <c r="F72" s="286">
        <f t="shared" si="20"/>
        <v>9.6056421163025641E-3</v>
      </c>
      <c r="G72" s="286">
        <f t="shared" si="20"/>
        <v>8.9408755347170094E-3</v>
      </c>
      <c r="H72" s="286">
        <f t="shared" si="20"/>
        <v>8.5150623486716891E-3</v>
      </c>
      <c r="I72" s="286">
        <f t="shared" si="20"/>
        <v>8.0084971872169397E-3</v>
      </c>
      <c r="J72" s="287">
        <f t="shared" si="14"/>
        <v>8.4007159863908644E-3</v>
      </c>
      <c r="K72" s="822"/>
    </row>
    <row r="73" spans="1:11" x14ac:dyDescent="0.3">
      <c r="A73" s="583" t="str">
        <f t="shared" si="9"/>
        <v>Guardia</v>
      </c>
      <c r="B73" s="285">
        <f t="shared" si="15"/>
        <v>8.3587038158223961E-3</v>
      </c>
      <c r="C73" s="286">
        <f t="shared" si="18"/>
        <v>8.5178538224689061E-3</v>
      </c>
      <c r="D73" s="286">
        <f t="shared" si="18"/>
        <v>7.9548878034905682E-3</v>
      </c>
      <c r="E73" s="286">
        <f t="shared" si="20"/>
        <v>7.2252282702378245E-3</v>
      </c>
      <c r="F73" s="286">
        <f t="shared" si="20"/>
        <v>6.8162044966962251E-3</v>
      </c>
      <c r="G73" s="286">
        <f t="shared" si="20"/>
        <v>6.3427442084694535E-3</v>
      </c>
      <c r="H73" s="286">
        <f t="shared" si="20"/>
        <v>6.0406681859153204E-3</v>
      </c>
      <c r="I73" s="286">
        <f t="shared" si="20"/>
        <v>5.6778308686195158E-3</v>
      </c>
      <c r="J73" s="287">
        <f t="shared" si="14"/>
        <v>5.9605167229551436E-3</v>
      </c>
      <c r="K73" s="822"/>
    </row>
    <row r="74" spans="1:11" x14ac:dyDescent="0.3">
      <c r="A74" s="582" t="str">
        <f t="shared" si="9"/>
        <v>GASTOS DE VENTAS</v>
      </c>
      <c r="B74" s="283">
        <f t="shared" si="15"/>
        <v>1.4422160826846066E-3</v>
      </c>
      <c r="C74" s="284">
        <f t="shared" si="18"/>
        <v>1.7345354280126771E-3</v>
      </c>
      <c r="D74" s="284">
        <f t="shared" si="18"/>
        <v>1.7119315863978295E-3</v>
      </c>
      <c r="E74" s="284">
        <f t="shared" si="20"/>
        <v>1.778634128309804E-3</v>
      </c>
      <c r="F74" s="284">
        <f t="shared" si="20"/>
        <v>1.7310144508074208E-3</v>
      </c>
      <c r="G74" s="284">
        <f t="shared" si="20"/>
        <v>1.7298838741616753E-3</v>
      </c>
      <c r="H74" s="284">
        <f t="shared" si="20"/>
        <v>1.6836317597055197E-3</v>
      </c>
      <c r="I74" s="284">
        <f t="shared" si="20"/>
        <v>1.7088775726241936E-3</v>
      </c>
      <c r="J74" s="287">
        <f t="shared" si="14"/>
        <v>1.5380384854277193E-3</v>
      </c>
      <c r="K74" s="821"/>
    </row>
    <row r="75" spans="1:11" x14ac:dyDescent="0.3">
      <c r="A75" s="583" t="str">
        <f t="shared" si="9"/>
        <v>Marketing y Comunicación</v>
      </c>
      <c r="B75" s="285">
        <f t="shared" si="15"/>
        <v>1.4422160826846066E-3</v>
      </c>
      <c r="C75" s="286">
        <f t="shared" si="18"/>
        <v>1.7345354280126771E-3</v>
      </c>
      <c r="D75" s="286">
        <f t="shared" si="18"/>
        <v>1.7119315863978295E-3</v>
      </c>
      <c r="E75" s="286">
        <f t="shared" si="20"/>
        <v>1.778634128309804E-3</v>
      </c>
      <c r="F75" s="286">
        <f t="shared" si="20"/>
        <v>1.7310144508074208E-3</v>
      </c>
      <c r="G75" s="286">
        <f t="shared" si="20"/>
        <v>1.7298838741616753E-3</v>
      </c>
      <c r="H75" s="286">
        <f t="shared" si="20"/>
        <v>1.6836317597055197E-3</v>
      </c>
      <c r="I75" s="286">
        <f t="shared" si="20"/>
        <v>1.7088775726241936E-3</v>
      </c>
      <c r="J75" s="287">
        <f t="shared" si="14"/>
        <v>1.5380384854277193E-3</v>
      </c>
      <c r="K75" s="822"/>
    </row>
    <row r="76" spans="1:11" x14ac:dyDescent="0.3">
      <c r="A76" s="582" t="str">
        <f t="shared" si="9"/>
        <v>OTROS GASTOS</v>
      </c>
      <c r="B76" s="283">
        <f t="shared" si="15"/>
        <v>1.8383911029883297E-2</v>
      </c>
      <c r="C76" s="284">
        <f t="shared" si="18"/>
        <v>2.2110102202860391E-2</v>
      </c>
      <c r="D76" s="284">
        <f t="shared" si="18"/>
        <v>2.2461822019240393E-2</v>
      </c>
      <c r="E76" s="284">
        <f t="shared" si="20"/>
        <v>2.2573989930551819E-2</v>
      </c>
      <c r="F76" s="284">
        <f t="shared" si="20"/>
        <v>2.1951998248391408E-2</v>
      </c>
      <c r="G76" s="284">
        <f t="shared" si="20"/>
        <v>2.1198917068557577E-2</v>
      </c>
      <c r="H76" s="284">
        <f t="shared" si="20"/>
        <v>2.0624764632402939E-2</v>
      </c>
      <c r="I76" s="284">
        <f t="shared" si="20"/>
        <v>2.0632734488745953E-2</v>
      </c>
      <c r="J76" s="287">
        <f t="shared" si="14"/>
        <v>1.8993745492262494E-2</v>
      </c>
      <c r="K76" s="821"/>
    </row>
    <row r="77" spans="1:11" x14ac:dyDescent="0.3">
      <c r="A77" s="583" t="str">
        <f t="shared" si="9"/>
        <v>Servicios Básicos</v>
      </c>
      <c r="B77" s="285">
        <f t="shared" si="15"/>
        <v>1.8383911029883297E-2</v>
      </c>
      <c r="C77" s="286">
        <f t="shared" si="18"/>
        <v>2.2110102202860391E-2</v>
      </c>
      <c r="D77" s="286">
        <f t="shared" si="18"/>
        <v>2.1821971306131373E-2</v>
      </c>
      <c r="E77" s="286">
        <f t="shared" si="20"/>
        <v>2.2352585826913362E-2</v>
      </c>
      <c r="F77" s="286">
        <f t="shared" si="20"/>
        <v>2.1754136201169675E-2</v>
      </c>
      <c r="G77" s="286">
        <f t="shared" si="20"/>
        <v>2.1043391668308317E-2</v>
      </c>
      <c r="H77" s="286">
        <f t="shared" si="20"/>
        <v>2.0480751959061943E-2</v>
      </c>
      <c r="I77" s="286">
        <f t="shared" si="20"/>
        <v>2.0510959891943594E-2</v>
      </c>
      <c r="J77" s="287">
        <f t="shared" si="14"/>
        <v>1.8969991652038762E-2</v>
      </c>
      <c r="K77" s="822"/>
    </row>
    <row r="78" spans="1:11" x14ac:dyDescent="0.3">
      <c r="A78" s="583" t="str">
        <f t="shared" si="9"/>
        <v xml:space="preserve">Amortizacion </v>
      </c>
      <c r="B78" s="285">
        <f t="shared" si="15"/>
        <v>0</v>
      </c>
      <c r="C78" s="286">
        <f t="shared" si="18"/>
        <v>0</v>
      </c>
      <c r="D78" s="286">
        <f t="shared" si="18"/>
        <v>6.398507131090208E-4</v>
      </c>
      <c r="E78" s="286">
        <f t="shared" si="20"/>
        <v>2.2140410363845746E-4</v>
      </c>
      <c r="F78" s="286">
        <f t="shared" si="20"/>
        <v>1.9786204722173483E-4</v>
      </c>
      <c r="G78" s="286">
        <f t="shared" si="20"/>
        <v>1.5552540024926239E-4</v>
      </c>
      <c r="H78" s="286">
        <f t="shared" si="20"/>
        <v>1.4401267334099353E-4</v>
      </c>
      <c r="I78" s="286">
        <f t="shared" si="20"/>
        <v>1.2177459680235882E-4</v>
      </c>
      <c r="J78" s="287">
        <f t="shared" si="14"/>
        <v>2.3753840223730498E-5</v>
      </c>
      <c r="K78" s="822"/>
    </row>
    <row r="79" spans="1:11" x14ac:dyDescent="0.3">
      <c r="A79" s="582" t="str">
        <f t="shared" si="9"/>
        <v>GASTO FINANCIERO</v>
      </c>
      <c r="B79" s="283">
        <f t="shared" si="15"/>
        <v>0</v>
      </c>
      <c r="C79" s="284">
        <f t="shared" si="18"/>
        <v>0</v>
      </c>
      <c r="D79" s="284">
        <f t="shared" si="18"/>
        <v>0</v>
      </c>
      <c r="E79" s="284">
        <f t="shared" si="20"/>
        <v>0</v>
      </c>
      <c r="F79" s="284">
        <f t="shared" si="20"/>
        <v>0</v>
      </c>
      <c r="G79" s="284">
        <f t="shared" si="20"/>
        <v>0</v>
      </c>
      <c r="H79" s="284">
        <f t="shared" si="20"/>
        <v>0</v>
      </c>
      <c r="I79" s="284">
        <f t="shared" si="20"/>
        <v>0</v>
      </c>
      <c r="J79" s="287">
        <f t="shared" si="14"/>
        <v>0</v>
      </c>
      <c r="K79" s="821"/>
    </row>
    <row r="80" spans="1:11" ht="14.4" thickBot="1" x14ac:dyDescent="0.35">
      <c r="A80" s="584" t="str">
        <f t="shared" si="9"/>
        <v>Interes</v>
      </c>
      <c r="B80" s="290">
        <f t="shared" si="15"/>
        <v>0</v>
      </c>
      <c r="C80" s="601">
        <f t="shared" si="18"/>
        <v>0</v>
      </c>
      <c r="D80" s="601">
        <f t="shared" si="18"/>
        <v>0</v>
      </c>
      <c r="E80" s="601">
        <f t="shared" si="20"/>
        <v>0</v>
      </c>
      <c r="F80" s="601">
        <f t="shared" si="20"/>
        <v>0</v>
      </c>
      <c r="G80" s="601">
        <f t="shared" si="20"/>
        <v>0</v>
      </c>
      <c r="H80" s="601">
        <f t="shared" si="20"/>
        <v>0</v>
      </c>
      <c r="I80" s="601">
        <f t="shared" si="20"/>
        <v>0</v>
      </c>
      <c r="J80" s="287">
        <f t="shared" si="14"/>
        <v>0</v>
      </c>
      <c r="K80" s="822"/>
    </row>
    <row r="81" spans="1:11" ht="14.4" thickBot="1" x14ac:dyDescent="0.35">
      <c r="A81" s="585" t="str">
        <f t="shared" si="9"/>
        <v>TOTAL COSTOS Y GASTOS</v>
      </c>
      <c r="B81" s="291">
        <f t="shared" ref="B81:I81" si="21">SUM(B47:B61)+SUM(B63:B73)+SUM(B75)+SUM(B77:B78)+B80</f>
        <v>1</v>
      </c>
      <c r="C81" s="292">
        <f t="shared" si="21"/>
        <v>1.0000000000000002</v>
      </c>
      <c r="D81" s="292">
        <f t="shared" si="21"/>
        <v>1</v>
      </c>
      <c r="E81" s="292">
        <f t="shared" si="21"/>
        <v>0.98202902077804699</v>
      </c>
      <c r="F81" s="292">
        <f t="shared" si="21"/>
        <v>0.99189225197712605</v>
      </c>
      <c r="G81" s="292">
        <f t="shared" si="21"/>
        <v>0.99986854490841059</v>
      </c>
      <c r="H81" s="292">
        <f t="shared" si="21"/>
        <v>0.99989748389084443</v>
      </c>
      <c r="I81" s="292">
        <f t="shared" si="21"/>
        <v>1.0003032235761877</v>
      </c>
      <c r="J81" s="602">
        <f t="shared" si="14"/>
        <v>1</v>
      </c>
      <c r="K81" s="234"/>
    </row>
    <row r="83" spans="1:11" ht="14.4" hidden="1" thickBot="1" x14ac:dyDescent="0.35"/>
    <row r="84" spans="1:11" ht="10.8" hidden="1" thickBot="1" x14ac:dyDescent="0.35">
      <c r="A84" s="1003" t="s">
        <v>292</v>
      </c>
      <c r="B84" s="1034"/>
      <c r="C84" s="1034"/>
      <c r="D84" s="1034"/>
      <c r="E84" s="1034"/>
      <c r="F84" s="1034"/>
      <c r="G84" s="1034"/>
      <c r="H84" s="1034"/>
      <c r="I84" s="1034"/>
      <c r="J84" s="1034"/>
      <c r="K84" s="1004"/>
    </row>
    <row r="85" spans="1:11" ht="10.199999999999999" hidden="1" x14ac:dyDescent="0.3">
      <c r="A85" s="1035" t="s">
        <v>161</v>
      </c>
      <c r="B85" s="1037" t="s">
        <v>307</v>
      </c>
      <c r="C85" s="1037"/>
      <c r="D85" s="1037"/>
      <c r="E85" s="1037"/>
      <c r="F85" s="1037"/>
      <c r="G85" s="1037"/>
      <c r="H85" s="1037"/>
      <c r="I85" s="1037"/>
      <c r="J85" s="1037"/>
      <c r="K85" s="1038"/>
    </row>
    <row r="86" spans="1:11" ht="10.8" hidden="1" thickBot="1" x14ac:dyDescent="0.35">
      <c r="A86" s="1036"/>
      <c r="B86" s="275">
        <f t="shared" ref="B86:K86" si="22">+B45</f>
        <v>2023</v>
      </c>
      <c r="C86" s="275">
        <f t="shared" si="22"/>
        <v>2023</v>
      </c>
      <c r="D86" s="275">
        <f t="shared" si="22"/>
        <v>2024</v>
      </c>
      <c r="E86" s="275">
        <f t="shared" si="22"/>
        <v>2024</v>
      </c>
      <c r="F86" s="275">
        <f t="shared" si="22"/>
        <v>2025</v>
      </c>
      <c r="G86" s="275">
        <f t="shared" si="22"/>
        <v>2025</v>
      </c>
      <c r="H86" s="275">
        <f t="shared" si="22"/>
        <v>2026</v>
      </c>
      <c r="I86" s="275">
        <f t="shared" si="22"/>
        <v>2026</v>
      </c>
      <c r="J86" s="275">
        <f t="shared" si="22"/>
        <v>0</v>
      </c>
      <c r="K86" s="276">
        <f t="shared" si="22"/>
        <v>0</v>
      </c>
    </row>
    <row r="87" spans="1:11" hidden="1" x14ac:dyDescent="0.3">
      <c r="A87" s="586" t="str">
        <f>+A46</f>
        <v>COSTOS POR SERVICIOS</v>
      </c>
      <c r="B87" s="293" t="e">
        <f>SUM(B88:B95)</f>
        <v>#REF!</v>
      </c>
      <c r="C87" s="293" t="e">
        <f t="shared" ref="C87:K87" si="23">SUM(C88:C95)</f>
        <v>#REF!</v>
      </c>
      <c r="D87" s="293">
        <f t="shared" si="23"/>
        <v>53716.438830360319</v>
      </c>
      <c r="E87" s="293">
        <f t="shared" si="23"/>
        <v>78864.907564841153</v>
      </c>
      <c r="F87" s="293">
        <f t="shared" si="23"/>
        <v>88497.10759494119</v>
      </c>
      <c r="G87" s="293">
        <f t="shared" si="23"/>
        <v>113526.87598818724</v>
      </c>
      <c r="H87" s="293">
        <f t="shared" si="23"/>
        <v>119434.22921201089</v>
      </c>
      <c r="I87" s="293">
        <f t="shared" si="23"/>
        <v>141028.53952907407</v>
      </c>
      <c r="J87" s="293" t="e">
        <f t="shared" si="23"/>
        <v>#REF!</v>
      </c>
      <c r="K87" s="294" t="e">
        <f t="shared" si="23"/>
        <v>#REF!</v>
      </c>
    </row>
    <row r="88" spans="1:11" hidden="1" x14ac:dyDescent="0.3">
      <c r="A88" s="583" t="str">
        <f>+A47</f>
        <v>Mantenimiento Edificio</v>
      </c>
      <c r="B88" s="295">
        <f>'10 Costos y Gastos'!B6-(SUM('9 Inv. Vin. Becas'!B13:B14)*'10 Costos y Gastos'!B47)</f>
        <v>3132.9663349565953</v>
      </c>
      <c r="C88" s="295">
        <f>'10 Costos y Gastos'!C6-(SUM('9 Inv. Vin. Becas'!$C$13:$C$14)*'10 Costos y Gastos'!C47)</f>
        <v>9209.1709497776828</v>
      </c>
      <c r="D88" s="295">
        <f>'10 Costos y Gastos'!D6-(SUM('9 Inv. Vin. Becas'!$D$13:$D$14)*'10 Costos y Gastos'!D47)</f>
        <v>11447.603266446835</v>
      </c>
      <c r="E88" s="295">
        <f>'10 Costos y Gastos'!E6-(SUM('9 Inv. Vin. Becas'!$E$13:$E$14)*'10 Costos y Gastos'!E47)</f>
        <v>16943.821093974362</v>
      </c>
      <c r="F88" s="295">
        <f>'10 Costos y Gastos'!F6-(SUM('9 Inv. Vin. Becas'!$F$13:$F$14)*'10 Costos y Gastos'!F47)</f>
        <v>18452.218863032635</v>
      </c>
      <c r="G88" s="295">
        <f>'10 Costos y Gastos'!G6-(SUM('9 Inv. Vin. Becas'!$G$13:$G$14)*'10 Costos y Gastos'!G47)</f>
        <v>22708.249800110374</v>
      </c>
      <c r="H88" s="295">
        <f>'10 Costos y Gastos'!H6-(SUM('9 Inv. Vin. Becas'!$H$13:$H$14)*'10 Costos y Gastos'!H47)</f>
        <v>23867.91253455976</v>
      </c>
      <c r="I88" s="295">
        <f>'10 Costos y Gastos'!I6-(SUM('9 Inv. Vin. Becas'!$I$13:$I$14)*'10 Costos y Gastos'!I47)</f>
        <v>28268.22485921413</v>
      </c>
      <c r="J88" s="295" t="e">
        <f>'10 Costos y Gastos'!J6-(SUM('9 Inv. Vin. Becas'!#REF!)*'10 Costos y Gastos'!J47)</f>
        <v>#REF!</v>
      </c>
      <c r="K88" s="296" t="e">
        <f>'10 Costos y Gastos'!K6-(SUM('9 Inv. Vin. Becas'!#REF!)*'10 Costos y Gastos'!K47)</f>
        <v>#REF!</v>
      </c>
    </row>
    <row r="89" spans="1:11" hidden="1" x14ac:dyDescent="0.3">
      <c r="A89" s="583" t="str">
        <f>+A53</f>
        <v>Medio Tiempo</v>
      </c>
      <c r="B89" s="295">
        <f>'10 Costos y Gastos'!B12-(SUM('9 Inv. Vin. Becas'!$B$13:$B$14)*'10 Costos y Gastos'!B53)</f>
        <v>0</v>
      </c>
      <c r="C89" s="295">
        <f>'10 Costos y Gastos'!C12-(SUM('9 Inv. Vin. Becas'!$C$13:$C$14)*'10 Costos y Gastos'!C53)</f>
        <v>0</v>
      </c>
      <c r="D89" s="295">
        <f>'10 Costos y Gastos'!D12-(SUM('9 Inv. Vin. Becas'!$D$13:$D$14)*'10 Costos y Gastos'!D53)</f>
        <v>0</v>
      </c>
      <c r="E89" s="295">
        <f>'10 Costos y Gastos'!E12-(SUM('9 Inv. Vin. Becas'!$E$13:$E$14)*'10 Costos y Gastos'!E53)</f>
        <v>0</v>
      </c>
      <c r="F89" s="295">
        <f>'10 Costos y Gastos'!F12-(SUM('9 Inv. Vin. Becas'!$F$13:$F$14)*'10 Costos y Gastos'!F53)</f>
        <v>0</v>
      </c>
      <c r="G89" s="295">
        <f>'10 Costos y Gastos'!G12-(SUM('9 Inv. Vin. Becas'!$G$13:$G$14)*'10 Costos y Gastos'!G53)</f>
        <v>0</v>
      </c>
      <c r="H89" s="295">
        <f>'10 Costos y Gastos'!H12-(SUM('9 Inv. Vin. Becas'!$H$13:$H$14)*'10 Costos y Gastos'!H53)</f>
        <v>0</v>
      </c>
      <c r="I89" s="295">
        <f>'10 Costos y Gastos'!I12-(SUM('9 Inv. Vin. Becas'!$I$13:$I$14)*'10 Costos y Gastos'!I53)</f>
        <v>0</v>
      </c>
      <c r="J89" s="295" t="e">
        <f>'10 Costos y Gastos'!J12-(SUM('9 Inv. Vin. Becas'!#REF!)*'10 Costos y Gastos'!J53)</f>
        <v>#REF!</v>
      </c>
      <c r="K89" s="296" t="e">
        <f>'10 Costos y Gastos'!K12-(SUM('9 Inv. Vin. Becas'!#REF!)*'10 Costos y Gastos'!K53)</f>
        <v>#REF!</v>
      </c>
    </row>
    <row r="90" spans="1:11" hidden="1" x14ac:dyDescent="0.3">
      <c r="A90" s="583" t="str">
        <f>+A54</f>
        <v>Tiempo Parcial</v>
      </c>
      <c r="B90" s="295">
        <f>'10 Costos y Gastos'!B13-(SUM('9 Inv. Vin. Becas'!$B$13:$B$14)*'10 Costos y Gastos'!B54)</f>
        <v>608.3148288000001</v>
      </c>
      <c r="C90" s="295">
        <f>'10 Costos y Gastos'!C13-(SUM('9 Inv. Vin. Becas'!$C$13:$C$14)*'10 Costos y Gastos'!C54)</f>
        <v>2058.9866916864012</v>
      </c>
      <c r="D90" s="295">
        <f>'10 Costos y Gastos'!D13-(SUM('9 Inv. Vin. Becas'!$D$13:$D$14)*'10 Costos y Gastos'!D54)</f>
        <v>2745.3155889152022</v>
      </c>
      <c r="E90" s="295">
        <f>'10 Costos y Gastos'!E13-(SUM('9 Inv. Vin. Becas'!$E$13:$E$14)*'10 Costos y Gastos'!E54)</f>
        <v>4255.0113268009491</v>
      </c>
      <c r="F90" s="295">
        <f>'10 Costos y Gastos'!F13-(SUM('9 Inv. Vin. Becas'!$F$13:$F$14)*'10 Costos y Gastos'!F54)</f>
        <v>4987.4313092830798</v>
      </c>
      <c r="G90" s="295">
        <f>'10 Costos y Gastos'!G13-(SUM('9 Inv. Vin. Becas'!$G$13:$G$14)*'10 Costos y Gastos'!G54)</f>
        <v>6600.1430791770881</v>
      </c>
      <c r="H90" s="295">
        <f>'10 Costos y Gastos'!H13-(SUM('9 Inv. Vin. Becas'!$H$13:$H$14)*'10 Costos y Gastos'!H54)</f>
        <v>7285.4038360315417</v>
      </c>
      <c r="I90" s="295">
        <f>'10 Costos y Gastos'!I13-(SUM('9 Inv. Vin. Becas'!$I$13:$I$14)*'10 Costos y Gastos'!I54)</f>
        <v>8571.9170803128927</v>
      </c>
      <c r="J90" s="295" t="e">
        <f>'10 Costos y Gastos'!J13-(SUM('9 Inv. Vin. Becas'!#REF!)*'10 Costos y Gastos'!J54)</f>
        <v>#REF!</v>
      </c>
      <c r="K90" s="296" t="e">
        <f>'10 Costos y Gastos'!K13-(SUM('9 Inv. Vin. Becas'!#REF!)*'10 Costos y Gastos'!K54)</f>
        <v>#REF!</v>
      </c>
    </row>
    <row r="91" spans="1:11" hidden="1" x14ac:dyDescent="0.3">
      <c r="A91" s="583" t="str">
        <f t="shared" ref="A91:A99" si="24">+A57</f>
        <v>Becas Institucionales 10 % estudiantes</v>
      </c>
      <c r="B91" s="295">
        <f>+'5 Demanda'!B34</f>
        <v>6169.3870260000003</v>
      </c>
      <c r="C91" s="295">
        <f>+'5 Demanda'!C34</f>
        <v>17878.883601348003</v>
      </c>
      <c r="D91" s="295">
        <f>+'5 Demanda'!D34</f>
        <v>22224.624500010508</v>
      </c>
      <c r="E91" s="295">
        <f>+'5 Demanda'!E34</f>
        <v>32296.486853009439</v>
      </c>
      <c r="F91" s="295">
        <f>+'5 Demanda'!F34</f>
        <v>35171.632220002481</v>
      </c>
      <c r="G91" s="295">
        <f>+'5 Demanda'!G34</f>
        <v>44121.086396627834</v>
      </c>
      <c r="H91" s="295">
        <f>+'5 Demanda'!H34</f>
        <v>46374.257827626541</v>
      </c>
      <c r="I91" s="295">
        <f>+'5 Demanda'!I34</f>
        <v>54923.862572915103</v>
      </c>
      <c r="J91" s="295" t="e">
        <f>+'5 Demanda'!#REF!</f>
        <v>#REF!</v>
      </c>
      <c r="K91" s="295" t="e">
        <f>+'5 Demanda'!#REF!</f>
        <v>#REF!</v>
      </c>
    </row>
    <row r="92" spans="1:11" hidden="1" x14ac:dyDescent="0.3">
      <c r="A92" s="583" t="str">
        <f t="shared" si="24"/>
        <v>Investigación 5%</v>
      </c>
      <c r="B92" s="295">
        <f>+'9 Inv. Vin. Becas'!B8</f>
        <v>3305.7365323946647</v>
      </c>
      <c r="C92" s="295">
        <f>+'9 Inv. Vin. Becas'!C8</f>
        <v>10220.036153776113</v>
      </c>
      <c r="D92" s="295">
        <f>+'9 Inv. Vin. Becas'!D8</f>
        <v>12704.174989823217</v>
      </c>
      <c r="E92" s="295">
        <f>+'9 Inv. Vin. Becas'!E8</f>
        <v>18419.957986999729</v>
      </c>
      <c r="F92" s="295">
        <f>+'9 Inv. Vin. Becas'!F8</f>
        <v>20059.766586231126</v>
      </c>
      <c r="G92" s="295">
        <f>+'9 Inv. Vin. Becas'!G8</f>
        <v>25948.149508011495</v>
      </c>
      <c r="H92" s="295">
        <f>+'9 Inv. Vin. Becas'!H8</f>
        <v>27273.267131661018</v>
      </c>
      <c r="I92" s="295">
        <f>+'9 Inv. Vin. Becas'!I8</f>
        <v>32767.717161481298</v>
      </c>
      <c r="J92" s="295" t="e">
        <f>+'9 Inv. Vin. Becas'!#REF!</f>
        <v>#REF!</v>
      </c>
      <c r="K92" s="296" t="e">
        <f>+'9 Inv. Vin. Becas'!#REF!</f>
        <v>#REF!</v>
      </c>
    </row>
    <row r="93" spans="1:11" hidden="1" x14ac:dyDescent="0.3">
      <c r="A93" s="583" t="str">
        <f t="shared" si="24"/>
        <v>Vinculación 1%</v>
      </c>
      <c r="B93" s="295">
        <f>+'9 Inv. Vin. Becas'!B9</f>
        <v>661.14730647893282</v>
      </c>
      <c r="C93" s="295">
        <f>+'9 Inv. Vin. Becas'!C9</f>
        <v>2044.0072307552223</v>
      </c>
      <c r="D93" s="295">
        <f>+'9 Inv. Vin. Becas'!D9</f>
        <v>2540.8349979646432</v>
      </c>
      <c r="E93" s="295">
        <f>+'9 Inv. Vin. Becas'!E9</f>
        <v>3683.9915973999464</v>
      </c>
      <c r="F93" s="295">
        <f>+'9 Inv. Vin. Becas'!F9</f>
        <v>4011.9533172462261</v>
      </c>
      <c r="G93" s="295">
        <f>+'9 Inv. Vin. Becas'!G9</f>
        <v>5189.6299016022995</v>
      </c>
      <c r="H93" s="295">
        <f>+'9 Inv. Vin. Becas'!H9</f>
        <v>5454.6534263322037</v>
      </c>
      <c r="I93" s="295">
        <f>+'9 Inv. Vin. Becas'!I9</f>
        <v>6553.5434322962592</v>
      </c>
      <c r="J93" s="295" t="e">
        <f>+'9 Inv. Vin. Becas'!#REF!</f>
        <v>#REF!</v>
      </c>
      <c r="K93" s="296" t="e">
        <f>+'9 Inv. Vin. Becas'!#REF!</f>
        <v>#REF!</v>
      </c>
    </row>
    <row r="94" spans="1:11" hidden="1" x14ac:dyDescent="0.3">
      <c r="A94" s="583" t="str">
        <f t="shared" si="24"/>
        <v>Materiales y Suministros</v>
      </c>
      <c r="B94" s="295">
        <f>'10 Costos y Gastos'!B19-(SUM('9 Inv. Vin. Becas'!$B$13:$B$14)*'10 Costos y Gastos'!B60)</f>
        <v>651.98700000000008</v>
      </c>
      <c r="C94" s="295">
        <f>'10 Costos y Gastos'!C19-(SUM('9 Inv. Vin. Becas'!$C$13:$C$14)*'10 Costos y Gastos'!C60)</f>
        <v>1670.3290057293002</v>
      </c>
      <c r="D94" s="295">
        <f>'10 Costos y Gastos'!D19-(SUM('9 Inv. Vin. Becas'!$D$13:$D$14)*'10 Costos y Gastos'!D60)</f>
        <v>2053.8854871999115</v>
      </c>
      <c r="E94" s="295">
        <f>'10 Costos y Gastos'!E19-(SUM('9 Inv. Vin. Becas'!$E$13:$E$14)*'10 Costos y Gastos'!E60)</f>
        <v>2989.5903011067303</v>
      </c>
      <c r="F94" s="295">
        <f>'10 Costos y Gastos'!F19-(SUM('9 Inv. Vin. Becas'!$F$13:$F$14)*'10 Costos y Gastos'!F60)</f>
        <v>3111.9262976080104</v>
      </c>
      <c r="G94" s="295">
        <f>'10 Costos y Gastos'!G19-(SUM('9 Inv. Vin. Becas'!$G$13:$G$14)*'10 Costos y Gastos'!G60)</f>
        <v>3813.4750930748964</v>
      </c>
      <c r="H94" s="295">
        <f>'10 Costos y Gastos'!H19-(SUM('9 Inv. Vin. Becas'!$H$13:$H$14)*'10 Costos y Gastos'!H60)</f>
        <v>4017.9491262518</v>
      </c>
      <c r="I94" s="295">
        <f>'10 Costos y Gastos'!I19-(SUM('9 Inv. Vin. Becas'!$I$13:$I$14)*'10 Costos y Gastos'!I60)</f>
        <v>4746.4182753372779</v>
      </c>
      <c r="J94" s="295" t="e">
        <f>'10 Costos y Gastos'!J19-(SUM('9 Inv. Vin. Becas'!#REF!)*'10 Costos y Gastos'!J60)</f>
        <v>#REF!</v>
      </c>
      <c r="K94" s="296" t="e">
        <f>'10 Costos y Gastos'!K19-(SUM('9 Inv. Vin. Becas'!#REF!)*'10 Costos y Gastos'!K60)</f>
        <v>#REF!</v>
      </c>
    </row>
    <row r="95" spans="1:11" hidden="1" x14ac:dyDescent="0.3">
      <c r="A95" s="583" t="str">
        <f t="shared" si="24"/>
        <v>Depreciación</v>
      </c>
      <c r="B95" s="295" t="e">
        <f>'10 Costos y Gastos'!#REF!-(SUM('9 Inv. Vin. Becas'!$B$13:$B$14)*'10 Costos y Gastos'!B61)</f>
        <v>#REF!</v>
      </c>
      <c r="C95" s="295" t="e">
        <f>'10 Costos y Gastos'!#REF!-(SUM('9 Inv. Vin. Becas'!$C$13:$C$14)*'10 Costos y Gastos'!C61)</f>
        <v>#REF!</v>
      </c>
      <c r="D95" s="295">
        <f>'10 Costos y Gastos'!B20-(SUM('9 Inv. Vin. Becas'!$D$13:$D$14)*'10 Costos y Gastos'!D61)</f>
        <v>0</v>
      </c>
      <c r="E95" s="295">
        <f>'10 Costos y Gastos'!C20-(SUM('9 Inv. Vin. Becas'!$E$13:$E$14)*'10 Costos y Gastos'!E61)</f>
        <v>276.04840554999998</v>
      </c>
      <c r="F95" s="295">
        <f>'10 Costos y Gastos'!D20-(SUM('9 Inv. Vin. Becas'!$F$13:$F$14)*'10 Costos y Gastos'!F61)</f>
        <v>2702.17900153765</v>
      </c>
      <c r="G95" s="295">
        <f>'10 Costos y Gastos'!E20-(SUM('9 Inv. Vin. Becas'!$G$13:$G$14)*'10 Costos y Gastos'!G61)</f>
        <v>5146.1422095832604</v>
      </c>
      <c r="H95" s="295">
        <f>'10 Costos y Gastos'!F20-(SUM('9 Inv. Vin. Becas'!$H$13:$H$14)*'10 Costos y Gastos'!H61)</f>
        <v>5160.7853295480199</v>
      </c>
      <c r="I95" s="295">
        <f>'10 Costos y Gastos'!G20-(SUM('9 Inv. Vin. Becas'!$I$13:$I$14)*'10 Costos y Gastos'!I61)</f>
        <v>5196.8561475170918</v>
      </c>
      <c r="J95" s="295" t="e">
        <f>'10 Costos y Gastos'!H20-(SUM('9 Inv. Vin. Becas'!#REF!)*'10 Costos y Gastos'!J61)</f>
        <v>#REF!</v>
      </c>
      <c r="K95" s="296" t="e">
        <f>'10 Costos y Gastos'!I20-(SUM('9 Inv. Vin. Becas'!#REF!)*'10 Costos y Gastos'!K61)</f>
        <v>#REF!</v>
      </c>
    </row>
    <row r="96" spans="1:11" hidden="1" x14ac:dyDescent="0.3">
      <c r="A96" s="582" t="str">
        <f t="shared" si="24"/>
        <v>GASTOS DE ADMINISTRACIÓN</v>
      </c>
      <c r="B96" s="297" t="e">
        <f>SUM(B97:B107)</f>
        <v>#REF!</v>
      </c>
      <c r="C96" s="297" t="e">
        <f t="shared" ref="C96:K96" si="25">SUM(C97:C107)</f>
        <v>#REF!</v>
      </c>
      <c r="D96" s="297" t="e">
        <f t="shared" si="25"/>
        <v>#REF!</v>
      </c>
      <c r="E96" s="297" t="e">
        <f t="shared" si="25"/>
        <v>#REF!</v>
      </c>
      <c r="F96" s="297" t="e">
        <f t="shared" si="25"/>
        <v>#REF!</v>
      </c>
      <c r="G96" s="297" t="e">
        <f t="shared" si="25"/>
        <v>#REF!</v>
      </c>
      <c r="H96" s="297" t="e">
        <f t="shared" si="25"/>
        <v>#REF!</v>
      </c>
      <c r="I96" s="297" t="e">
        <f t="shared" si="25"/>
        <v>#REF!</v>
      </c>
      <c r="J96" s="297" t="e">
        <f t="shared" si="25"/>
        <v>#REF!</v>
      </c>
      <c r="K96" s="298" t="e">
        <f t="shared" si="25"/>
        <v>#REF!</v>
      </c>
    </row>
    <row r="97" spans="1:11" hidden="1" x14ac:dyDescent="0.3">
      <c r="A97" s="583" t="str">
        <f t="shared" si="24"/>
        <v>Administración Central</v>
      </c>
      <c r="B97" s="295">
        <f>'10 Costos y Gastos'!B22-(SUM('9 Inv. Vin. Becas'!$B$13:$B$14)*'10 Costos y Gastos'!B63)</f>
        <v>4905.8121713825994</v>
      </c>
      <c r="C97" s="295">
        <f>'10 Costos y Gastos'!C22-(SUM('9 Inv. Vin. Becas'!$C$13:$C$14)*'10 Costos y Gastos'!C63)</f>
        <v>14217.043672666778</v>
      </c>
      <c r="D97" s="295">
        <f>'10 Costos y Gastos'!D22-(SUM('9 Inv. Vin. Becas'!$D$13:$D$14)*'10 Costos y Gastos'!D63)</f>
        <v>17672.717389437345</v>
      </c>
      <c r="E97" s="295">
        <f>'10 Costos y Gastos'!E22-(SUM('9 Inv. Vin. Becas'!$E$13:$E$14)*'10 Costos y Gastos'!E63)</f>
        <v>25681.724558479968</v>
      </c>
      <c r="F97" s="295">
        <f>'10 Costos y Gastos'!F22-(SUM('9 Inv. Vin. Becas'!$F$13:$F$14)*'10 Costos y Gastos'!F63)</f>
        <v>27968.000824897565</v>
      </c>
      <c r="G97" s="295">
        <f>'10 Costos y Gastos'!G22-(SUM('9 Inv. Vin. Becas'!$G$13:$G$14)*'10 Costos y Gastos'!G63)</f>
        <v>35084.484365627097</v>
      </c>
      <c r="H97" s="295">
        <f>'10 Costos y Gastos'!H22-(SUM('9 Inv. Vin. Becas'!$H$13:$H$14)*'10 Costos y Gastos'!H63)</f>
        <v>36876.175466188841</v>
      </c>
      <c r="I97" s="295">
        <f>'10 Costos y Gastos'!I22-(SUM('9 Inv. Vin. Becas'!$I$13:$I$14)*'10 Costos y Gastos'!I63)</f>
        <v>43674.704208701813</v>
      </c>
      <c r="J97" s="295" t="e">
        <f>'10 Costos y Gastos'!J22-(SUM('9 Inv. Vin. Becas'!#REF!)*'10 Costos y Gastos'!J63)</f>
        <v>#REF!</v>
      </c>
      <c r="K97" s="296" t="e">
        <f>'10 Costos y Gastos'!K22-(SUM('9 Inv. Vin. Becas'!#REF!)*'10 Costos y Gastos'!K63)</f>
        <v>#REF!</v>
      </c>
    </row>
    <row r="98" spans="1:11" hidden="1" x14ac:dyDescent="0.3">
      <c r="A98" s="583" t="str">
        <f t="shared" si="24"/>
        <v>Decano</v>
      </c>
      <c r="B98" s="295">
        <f>'10 Costos y Gastos'!B23-(SUM('9 Inv. Vin. Becas'!$B$13:$B$14)*'10 Costos y Gastos'!B64)</f>
        <v>2945.2327619047614</v>
      </c>
      <c r="C98" s="295">
        <f>'10 Costos y Gastos'!C23-(SUM('9 Inv. Vin. Becas'!$C$13:$C$14)*'10 Costos y Gastos'!C64)</f>
        <v>7327.1991940103881</v>
      </c>
      <c r="D98" s="295">
        <f>'10 Costos y Gastos'!D23-(SUM('9 Inv. Vin. Becas'!$D$13:$D$14)*'10 Costos y Gastos'!D64)</f>
        <v>8618.5197056198267</v>
      </c>
      <c r="E98" s="295">
        <f>'10 Costos y Gastos'!E23-(SUM('9 Inv. Vin. Becas'!$E$13:$E$14)*'10 Costos y Gastos'!E64)</f>
        <v>11298.594117421366</v>
      </c>
      <c r="F98" s="295">
        <f>'10 Costos y Gastos'!F23-(SUM('9 Inv. Vin. Becas'!$F$13:$F$14)*'10 Costos y Gastos'!F64)</f>
        <v>11927.203093714816</v>
      </c>
      <c r="G98" s="295">
        <f>'10 Costos y Gastos'!G23-(SUM('9 Inv. Vin. Becas'!$G$13:$G$14)*'10 Costos y Gastos'!G64)</f>
        <v>14112.354576339299</v>
      </c>
      <c r="H98" s="295">
        <f>'10 Costos y Gastos'!H23-(SUM('9 Inv. Vin. Becas'!$H$13:$H$14)*'10 Costos y Gastos'!H64)</f>
        <v>14514.693789664027</v>
      </c>
      <c r="I98" s="295">
        <f>'10 Costos y Gastos'!I23-(SUM('9 Inv. Vin. Becas'!$I$13:$I$14)*'10 Costos y Gastos'!I64)</f>
        <v>16114.781967111096</v>
      </c>
      <c r="J98" s="295" t="e">
        <f>'10 Costos y Gastos'!J23-(SUM('9 Inv. Vin. Becas'!#REF!)*'10 Costos y Gastos'!J64)</f>
        <v>#REF!</v>
      </c>
      <c r="K98" s="296" t="e">
        <f>'10 Costos y Gastos'!K23-(SUM('9 Inv. Vin. Becas'!#REF!)*'10 Costos y Gastos'!K64)</f>
        <v>#REF!</v>
      </c>
    </row>
    <row r="99" spans="1:11" hidden="1" x14ac:dyDescent="0.3">
      <c r="A99" s="583" t="str">
        <f t="shared" si="24"/>
        <v>Subdecano</v>
      </c>
      <c r="B99" s="295">
        <f>'10 Costos y Gastos'!B24-(SUM('9 Inv. Vin. Becas'!$B$13:$B$14)*'10 Costos y Gastos'!B65)</f>
        <v>2191.0613333333331</v>
      </c>
      <c r="C99" s="295">
        <f>'10 Costos y Gastos'!C24-(SUM('9 Inv. Vin. Becas'!$C$13:$C$14)*'10 Costos y Gastos'!C65)</f>
        <v>5451.3970691386357</v>
      </c>
      <c r="D99" s="295">
        <f>'10 Costos y Gastos'!D24-(SUM('9 Inv. Vin. Becas'!$D$13:$D$14)*'10 Costos y Gastos'!D65)</f>
        <v>6412.1326334263831</v>
      </c>
      <c r="E99" s="295">
        <f>'10 Costos y Gastos'!E24-(SUM('9 Inv. Vin. Becas'!$E$13:$E$14)*'10 Costos y Gastos'!E65)</f>
        <v>8406.7755516527141</v>
      </c>
      <c r="F99" s="295">
        <f>'10 Costos y Gastos'!F24-(SUM('9 Inv. Vin. Becas'!$F$13:$F$14)*'10 Costos y Gastos'!F65)</f>
        <v>8874.4952093847223</v>
      </c>
      <c r="G99" s="295">
        <f>'10 Costos y Gastos'!G24-(SUM('9 Inv. Vin. Becas'!$G$13:$G$14)*'10 Costos y Gastos'!G65)</f>
        <v>10500.777744303792</v>
      </c>
      <c r="H99" s="295">
        <f>'10 Costos y Gastos'!H24-(SUM('9 Inv. Vin. Becas'!$H$13:$H$14)*'10 Costos y Gastos'!H65)</f>
        <v>10800.151929815287</v>
      </c>
      <c r="I99" s="295">
        <f>'10 Costos y Gastos'!I24-(SUM('9 Inv. Vin. Becas'!$I$13:$I$14)*'10 Costos y Gastos'!I65)</f>
        <v>11991.798227586291</v>
      </c>
      <c r="J99" s="295" t="e">
        <f>'10 Costos y Gastos'!J24-(SUM('9 Inv. Vin. Becas'!#REF!)*'10 Costos y Gastos'!J65)</f>
        <v>#REF!</v>
      </c>
      <c r="K99" s="296" t="e">
        <f>'10 Costos y Gastos'!K24-(SUM('9 Inv. Vin. Becas'!#REF!)*'10 Costos y Gastos'!K65)</f>
        <v>#REF!</v>
      </c>
    </row>
    <row r="100" spans="1:11" hidden="1" x14ac:dyDescent="0.3">
      <c r="A100" s="583" t="e">
        <f>+#REF!</f>
        <v>#REF!</v>
      </c>
      <c r="B100" s="295" t="e">
        <f>'10 Costos y Gastos'!#REF!-(SUM('9 Inv. Vin. Becas'!$B$13:$B$14)*'10 Costos y Gastos'!#REF!)</f>
        <v>#REF!</v>
      </c>
      <c r="C100" s="295" t="e">
        <f>'10 Costos y Gastos'!#REF!-(SUM('9 Inv. Vin. Becas'!$C$13:$C$14)*'10 Costos y Gastos'!#REF!)</f>
        <v>#REF!</v>
      </c>
      <c r="D100" s="295" t="e">
        <f>'10 Costos y Gastos'!#REF!-(SUM('9 Inv. Vin. Becas'!$D$13:$D$14)*'10 Costos y Gastos'!#REF!)</f>
        <v>#REF!</v>
      </c>
      <c r="E100" s="295" t="e">
        <f>'10 Costos y Gastos'!#REF!-(SUM('9 Inv. Vin. Becas'!$E$13:$E$14)*'10 Costos y Gastos'!#REF!)</f>
        <v>#REF!</v>
      </c>
      <c r="F100" s="295" t="e">
        <f>'10 Costos y Gastos'!#REF!-(SUM('9 Inv. Vin. Becas'!$F$13:$F$14)*'10 Costos y Gastos'!#REF!)</f>
        <v>#REF!</v>
      </c>
      <c r="G100" s="295" t="e">
        <f>'10 Costos y Gastos'!#REF!-(SUM('9 Inv. Vin. Becas'!$G$13:$G$14)*'10 Costos y Gastos'!#REF!)</f>
        <v>#REF!</v>
      </c>
      <c r="H100" s="295" t="e">
        <f>'10 Costos y Gastos'!#REF!-(SUM('9 Inv. Vin. Becas'!$H$13:$H$14)*'10 Costos y Gastos'!#REF!)</f>
        <v>#REF!</v>
      </c>
      <c r="I100" s="295" t="e">
        <f>'10 Costos y Gastos'!#REF!-(SUM('9 Inv. Vin. Becas'!$I$13:$I$14)*'10 Costos y Gastos'!#REF!)</f>
        <v>#REF!</v>
      </c>
      <c r="J100" s="295" t="e">
        <f>'10 Costos y Gastos'!#REF!-(SUM('9 Inv. Vin. Becas'!#REF!)*'10 Costos y Gastos'!#REF!)</f>
        <v>#REF!</v>
      </c>
      <c r="K100" s="296" t="e">
        <f>'10 Costos y Gastos'!#REF!-(SUM('9 Inv. Vin. Becas'!#REF!)*'10 Costos y Gastos'!#REF!)</f>
        <v>#REF!</v>
      </c>
    </row>
    <row r="101" spans="1:11" hidden="1" x14ac:dyDescent="0.3">
      <c r="A101" s="583" t="str">
        <f t="shared" ref="A101:A115" si="26">+A67</f>
        <v>Secretario</v>
      </c>
      <c r="B101" s="295">
        <f>'10 Costos y Gastos'!B26-(SUM('9 Inv. Vin. Becas'!$B$13:$B$14)*'10 Costos y Gastos'!B67)</f>
        <v>773.2190476190475</v>
      </c>
      <c r="C101" s="295">
        <f>'10 Costos y Gastos'!C26-(SUM('9 Inv. Vin. Becas'!$C$13:$C$14)*'10 Costos y Gastos'!C67)</f>
        <v>1924.8890743797388</v>
      </c>
      <c r="D101" s="295">
        <f>'10 Costos y Gastos'!D26-(SUM('9 Inv. Vin. Becas'!$D$13:$D$14)*'10 Costos y Gastos'!D67)</f>
        <v>2264.1249377027057</v>
      </c>
      <c r="E101" s="295">
        <f>'10 Costos y Gastos'!E26-(SUM('9 Inv. Vin. Becas'!$E$13:$E$14)*'10 Costos y Gastos'!E67)</f>
        <v>2970.1566480076522</v>
      </c>
      <c r="F101" s="295">
        <f>'10 Costos y Gastos'!F26-(SUM('9 Inv. Vin. Becas'!$F$13:$F$14)*'10 Costos y Gastos'!F67)</f>
        <v>3135.4043868441531</v>
      </c>
      <c r="G101" s="295">
        <f>'10 Costos y Gastos'!G26-(SUM('9 Inv. Vin. Becas'!$G$13:$G$14)*'10 Costos y Gastos'!G67)</f>
        <v>3711.0133000770365</v>
      </c>
      <c r="H101" s="295">
        <f>'10 Costos y Gastos'!H26-(SUM('9 Inv. Vin. Becas'!$H$13:$H$14)*'10 Costos y Gastos'!H67)</f>
        <v>3816.8132332996538</v>
      </c>
      <c r="I101" s="295">
        <f>'10 Costos y Gastos'!I26-(SUM('9 Inv. Vin. Becas'!$I$13:$I$14)*'10 Costos y Gastos'!I67)</f>
        <v>4240.5887972796645</v>
      </c>
      <c r="J101" s="295" t="e">
        <f>'10 Costos y Gastos'!J26-(SUM('9 Inv. Vin. Becas'!#REF!)*'10 Costos y Gastos'!J67)</f>
        <v>#REF!</v>
      </c>
      <c r="K101" s="296" t="e">
        <f>'10 Costos y Gastos'!K26-(SUM('9 Inv. Vin. Becas'!#REF!)*'10 Costos y Gastos'!K67)</f>
        <v>#REF!</v>
      </c>
    </row>
    <row r="102" spans="1:11" hidden="1" x14ac:dyDescent="0.3">
      <c r="A102" s="583" t="str">
        <f t="shared" si="26"/>
        <v>Auxiliar de Secretaria</v>
      </c>
      <c r="B102" s="295">
        <f>'10 Costos y Gastos'!B27-(SUM('9 Inv. Vin. Becas'!$B$13:$B$14)*'10 Costos y Gastos'!B68)</f>
        <v>660.09333333333325</v>
      </c>
      <c r="C102" s="295">
        <f>'10 Costos y Gastos'!C27-(SUM('9 Inv. Vin. Becas'!$C$13:$C$14)*'10 Costos y Gastos'!C68)</f>
        <v>1643.5187556489757</v>
      </c>
      <c r="D102" s="295">
        <f>'10 Costos y Gastos'!D27-(SUM('9 Inv. Vin. Becas'!$D$13:$D$14)*'10 Costos y Gastos'!D68)</f>
        <v>1933.166876873689</v>
      </c>
      <c r="E102" s="295">
        <f>'10 Costos y Gastos'!E27-(SUM('9 Inv. Vin. Becas'!$E$13:$E$14)*'10 Costos y Gastos'!E68)</f>
        <v>2536.383863142355</v>
      </c>
      <c r="F102" s="295">
        <f>'10 Costos y Gastos'!F27-(SUM('9 Inv. Vin. Becas'!$F$13:$F$14)*'10 Costos y Gastos'!F68)</f>
        <v>2677.4982041946396</v>
      </c>
      <c r="G102" s="295">
        <f>'10 Costos y Gastos'!G27-(SUM('9 Inv. Vin. Becas'!$G$13:$G$14)*'10 Costos y Gastos'!G68)</f>
        <v>3169.2767752717114</v>
      </c>
      <c r="H102" s="295">
        <f>'10 Costos y Gastos'!H27-(SUM('9 Inv. Vin. Becas'!$H$13:$H$14)*'10 Costos y Gastos'!H68)</f>
        <v>3259.6319543223435</v>
      </c>
      <c r="I102" s="295">
        <f>'10 Costos y Gastos'!I27-(SUM('9 Inv. Vin. Becas'!$I$13:$I$14)*'10 Costos y Gastos'!I68)</f>
        <v>3622.1412363509453</v>
      </c>
      <c r="J102" s="295" t="e">
        <f>'10 Costos y Gastos'!J27-(SUM('9 Inv. Vin. Becas'!#REF!)*'10 Costos y Gastos'!J68)</f>
        <v>#REF!</v>
      </c>
      <c r="K102" s="296" t="e">
        <f>'10 Costos y Gastos'!K27-(SUM('9 Inv. Vin. Becas'!#REF!)*'10 Costos y Gastos'!K68)</f>
        <v>#REF!</v>
      </c>
    </row>
    <row r="103" spans="1:11" hidden="1" x14ac:dyDescent="0.3">
      <c r="A103" s="583" t="str">
        <f t="shared" si="26"/>
        <v xml:space="preserve">Coordinador  </v>
      </c>
      <c r="B103" s="295">
        <f>'10 Costos y Gastos'!B28-(SUM('9 Inv. Vin. Becas'!$B$13:$B$14)*'10 Costos y Gastos'!B69)</f>
        <v>697.80190476190478</v>
      </c>
      <c r="C103" s="295">
        <f>'10 Costos y Gastos'!C28-(SUM('9 Inv. Vin. Becas'!$C$13:$C$14)*'10 Costos y Gastos'!C69)</f>
        <v>1737.3088618925633</v>
      </c>
      <c r="D103" s="295">
        <f>'10 Costos y Gastos'!D28-(SUM('9 Inv. Vin. Becas'!$D$13:$D$14)*'10 Costos y Gastos'!D69)</f>
        <v>2043.4862304833612</v>
      </c>
      <c r="E103" s="295">
        <f>'10 Costos y Gastos'!E28-(SUM('9 Inv. Vin. Becas'!$E$13:$E$14)*'10 Costos y Gastos'!E69)</f>
        <v>2680.9747914307873</v>
      </c>
      <c r="F103" s="295">
        <f>'10 Costos y Gastos'!F28-(SUM('9 Inv. Vin. Becas'!$F$13:$F$14)*'10 Costos y Gastos'!F69)</f>
        <v>2830.1335984111442</v>
      </c>
      <c r="G103" s="295">
        <f>'10 Costos y Gastos'!G28-(SUM('9 Inv. Vin. Becas'!$G$13:$G$14)*'10 Costos y Gastos'!G69)</f>
        <v>3349.8556168734858</v>
      </c>
      <c r="H103" s="295">
        <f>'10 Costos y Gastos'!H28-(SUM('9 Inv. Vin. Becas'!$H$13:$H$14)*'10 Costos y Gastos'!H69)</f>
        <v>3445.3590473147797</v>
      </c>
      <c r="I103" s="295">
        <f>'10 Costos y Gastos'!I28-(SUM('9 Inv. Vin. Becas'!$I$13:$I$14)*'10 Costos y Gastos'!I69)</f>
        <v>3828.2904233271856</v>
      </c>
      <c r="J103" s="295" t="e">
        <f>'10 Costos y Gastos'!J28-(SUM('9 Inv. Vin. Becas'!#REF!)*'10 Costos y Gastos'!J69)</f>
        <v>#REF!</v>
      </c>
      <c r="K103" s="296" t="e">
        <f>'10 Costos y Gastos'!K28-(SUM('9 Inv. Vin. Becas'!#REF!)*'10 Costos y Gastos'!K69)</f>
        <v>#REF!</v>
      </c>
    </row>
    <row r="104" spans="1:11" hidden="1" x14ac:dyDescent="0.3">
      <c r="A104" s="583" t="str">
        <f t="shared" si="26"/>
        <v>Bienestar Estudiantil</v>
      </c>
      <c r="B104" s="295">
        <f>'10 Costos y Gastos'!B29-(SUM('9 Inv. Vin. Becas'!$B$13:$B$14)*'10 Costos y Gastos'!B70)</f>
        <v>697.80190476190478</v>
      </c>
      <c r="C104" s="295">
        <f>'10 Costos y Gastos'!C29-(SUM('9 Inv. Vin. Becas'!$C$13:$C$14)*'10 Costos y Gastos'!C70)</f>
        <v>1737.3088618925633</v>
      </c>
      <c r="D104" s="295">
        <f>'10 Costos y Gastos'!D29-(SUM('9 Inv. Vin. Becas'!$D$13:$D$14)*'10 Costos y Gastos'!D70)</f>
        <v>2043.4862304833612</v>
      </c>
      <c r="E104" s="295">
        <f>'10 Costos y Gastos'!E29-(SUM('9 Inv. Vin. Becas'!$E$13:$E$14)*'10 Costos y Gastos'!E70)</f>
        <v>2680.9747914307873</v>
      </c>
      <c r="F104" s="295">
        <f>'10 Costos y Gastos'!F29-(SUM('9 Inv. Vin. Becas'!$F$13:$F$14)*'10 Costos y Gastos'!F70)</f>
        <v>2830.1335984111442</v>
      </c>
      <c r="G104" s="295">
        <f>'10 Costos y Gastos'!G29-(SUM('9 Inv. Vin. Becas'!$G$13:$G$14)*'10 Costos y Gastos'!G70)</f>
        <v>3349.8556168734858</v>
      </c>
      <c r="H104" s="295">
        <f>'10 Costos y Gastos'!H29-(SUM('9 Inv. Vin. Becas'!$H$13:$H$14)*'10 Costos y Gastos'!H70)</f>
        <v>3445.3590473147797</v>
      </c>
      <c r="I104" s="295">
        <f>'10 Costos y Gastos'!I29-(SUM('9 Inv. Vin. Becas'!$I$13:$I$14)*'10 Costos y Gastos'!I70)</f>
        <v>3828.2904233271856</v>
      </c>
      <c r="J104" s="295" t="e">
        <f>'10 Costos y Gastos'!J29-(SUM('9 Inv. Vin. Becas'!#REF!)*'10 Costos y Gastos'!J70)</f>
        <v>#REF!</v>
      </c>
      <c r="K104" s="296" t="e">
        <f>'10 Costos y Gastos'!K29-(SUM('9 Inv. Vin. Becas'!#REF!)*'10 Costos y Gastos'!K70)</f>
        <v>#REF!</v>
      </c>
    </row>
    <row r="105" spans="1:11" hidden="1" x14ac:dyDescent="0.3">
      <c r="A105" s="583" t="str">
        <f t="shared" si="26"/>
        <v>Bibliotecario</v>
      </c>
      <c r="B105" s="295">
        <f>'10 Costos y Gastos'!B30-(SUM('9 Inv. Vin. Becas'!$B$13:$B$14)*'10 Costos y Gastos'!B71)</f>
        <v>622.38476190476183</v>
      </c>
      <c r="C105" s="295">
        <f>'10 Costos y Gastos'!C30-(SUM('9 Inv. Vin. Becas'!$C$13:$C$14)*'10 Costos y Gastos'!C71)</f>
        <v>1549.7286494053878</v>
      </c>
      <c r="D105" s="295">
        <f>'10 Costos y Gastos'!D30-(SUM('9 Inv. Vin. Becas'!$D$13:$D$14)*'10 Costos y Gastos'!D71)</f>
        <v>1822.8475232640167</v>
      </c>
      <c r="E105" s="295">
        <f>'10 Costos y Gastos'!E30-(SUM('9 Inv. Vin. Becas'!$E$13:$E$14)*'10 Costos y Gastos'!E71)</f>
        <v>2391.7929348539228</v>
      </c>
      <c r="F105" s="295">
        <f>'10 Costos y Gastos'!F30-(SUM('9 Inv. Vin. Becas'!$F$13:$F$14)*'10 Costos y Gastos'!F71)</f>
        <v>2524.8628099781354</v>
      </c>
      <c r="G105" s="295">
        <f>'10 Costos y Gastos'!G30-(SUM('9 Inv. Vin. Becas'!$G$13:$G$14)*'10 Costos y Gastos'!G71)</f>
        <v>2988.6979336699351</v>
      </c>
      <c r="H105" s="295">
        <f>'10 Costos y Gastos'!H30-(SUM('9 Inv. Vin. Becas'!$H$13:$H$14)*'10 Costos y Gastos'!H71)</f>
        <v>3073.904861329906</v>
      </c>
      <c r="I105" s="295">
        <f>'10 Costos y Gastos'!I30-(SUM('9 Inv. Vin. Becas'!$I$13:$I$14)*'10 Costos y Gastos'!I71)</f>
        <v>3415.9920493747049</v>
      </c>
      <c r="J105" s="295" t="e">
        <f>'10 Costos y Gastos'!J30-(SUM('9 Inv. Vin. Becas'!#REF!)*'10 Costos y Gastos'!J71)</f>
        <v>#REF!</v>
      </c>
      <c r="K105" s="296" t="e">
        <f>'10 Costos y Gastos'!K30-(SUM('9 Inv. Vin. Becas'!#REF!)*'10 Costos y Gastos'!K71)</f>
        <v>#REF!</v>
      </c>
    </row>
    <row r="106" spans="1:11" hidden="1" x14ac:dyDescent="0.3">
      <c r="A106" s="583" t="str">
        <f t="shared" si="26"/>
        <v>Auxiliar de Servicio</v>
      </c>
      <c r="B106" s="295">
        <f>'10 Costos y Gastos'!B31-(SUM('9 Inv. Vin. Becas'!$B$13:$B$14)*'10 Costos y Gastos'!B72)</f>
        <v>716.84952380952382</v>
      </c>
      <c r="C106" s="295">
        <f>'10 Costos y Gastos'!C31-(SUM('9 Inv. Vin. Becas'!$C$13:$C$14)*'10 Costos y Gastos'!C72)</f>
        <v>1786.3958114005484</v>
      </c>
      <c r="D106" s="295">
        <f>'10 Costos y Gastos'!D31-(SUM('9 Inv. Vin. Becas'!$D$13:$D$14)*'10 Costos y Gastos'!D72)</f>
        <v>2101.2240959926221</v>
      </c>
      <c r="E106" s="295">
        <f>'10 Costos y Gastos'!E31-(SUM('9 Inv. Vin. Becas'!$E$13:$E$14)*'10 Costos y Gastos'!E72)</f>
        <v>2759.3128736697895</v>
      </c>
      <c r="F106" s="295">
        <f>'10 Costos y Gastos'!F31-(SUM('9 Inv. Vin. Becas'!$F$13:$F$14)*'10 Costos y Gastos'!F72)</f>
        <v>2912.8301009252068</v>
      </c>
      <c r="G106" s="295">
        <f>'10 Costos y Gastos'!G31-(SUM('9 Inv. Vin. Becas'!$G$13:$G$14)*'10 Costos y Gastos'!G72)</f>
        <v>3449.2920849150155</v>
      </c>
      <c r="H106" s="295">
        <f>'10 Costos y Gastos'!H31-(SUM('9 Inv. Vin. Becas'!$H$13:$H$14)*'10 Costos y Gastos'!H72)</f>
        <v>3547.630420765694</v>
      </c>
      <c r="I106" s="295">
        <f>'10 Costos y Gastos'!I31-(SUM('9 Inv. Vin. Becas'!$I$13:$I$14)*'10 Costos y Gastos'!I72)</f>
        <v>3945.8954810820501</v>
      </c>
      <c r="J106" s="295" t="e">
        <f>'10 Costos y Gastos'!J31-(SUM('9 Inv. Vin. Becas'!#REF!)*'10 Costos y Gastos'!J72)</f>
        <v>#REF!</v>
      </c>
      <c r="K106" s="296" t="e">
        <f>'10 Costos y Gastos'!K31-(SUM('9 Inv. Vin. Becas'!#REF!)*'10 Costos y Gastos'!K72)</f>
        <v>#REF!</v>
      </c>
    </row>
    <row r="107" spans="1:11" hidden="1" x14ac:dyDescent="0.3">
      <c r="A107" s="583" t="str">
        <f t="shared" si="26"/>
        <v>Guardia</v>
      </c>
      <c r="B107" s="295">
        <f>'10 Costos y Gastos'!B32-(SUM('9 Inv. Vin. Becas'!$B$13:$B$14)*'10 Costos y Gastos'!B73)</f>
        <v>509.25904761904764</v>
      </c>
      <c r="C107" s="295">
        <f>'10 Costos y Gastos'!C32-(SUM('9 Inv. Vin. Becas'!$C$13:$C$14)*'10 Costos y Gastos'!C73)</f>
        <v>1268.3583306746248</v>
      </c>
      <c r="D107" s="295">
        <f>'10 Costos y Gastos'!D32-(SUM('9 Inv. Vin. Becas'!$D$13:$D$14)*'10 Costos y Gastos'!D73)</f>
        <v>1491.8894624349998</v>
      </c>
      <c r="E107" s="295">
        <f>'10 Costos y Gastos'!E32-(SUM('9 Inv. Vin. Becas'!$E$13:$E$14)*'10 Costos y Gastos'!E73)</f>
        <v>1958.0201499886248</v>
      </c>
      <c r="F107" s="295">
        <f>'10 Costos y Gastos'!F32-(SUM('9 Inv. Vin. Becas'!$F$13:$F$14)*'10 Costos y Gastos'!F73)</f>
        <v>2066.9566273286218</v>
      </c>
      <c r="G107" s="295">
        <f>'10 Costos y Gastos'!G32-(SUM('9 Inv. Vin. Becas'!$G$13:$G$14)*'10 Costos y Gastos'!G73)</f>
        <v>2446.9614088646085</v>
      </c>
      <c r="H107" s="295">
        <f>'10 Costos y Gastos'!H32-(SUM('9 Inv. Vin. Becas'!$H$13:$H$14)*'10 Costos y Gastos'!H73)</f>
        <v>2516.7235823525943</v>
      </c>
      <c r="I107" s="295">
        <f>'10 Costos y Gastos'!I32-(SUM('9 Inv. Vin. Becas'!$I$13:$I$14)*'10 Costos y Gastos'!I73)</f>
        <v>2797.5444884459844</v>
      </c>
      <c r="J107" s="295" t="e">
        <f>'10 Costos y Gastos'!J32-(SUM('9 Inv. Vin. Becas'!#REF!)*'10 Costos y Gastos'!J73)</f>
        <v>#REF!</v>
      </c>
      <c r="K107" s="296" t="e">
        <f>'10 Costos y Gastos'!K32-(SUM('9 Inv. Vin. Becas'!#REF!)*'10 Costos y Gastos'!K73)</f>
        <v>#REF!</v>
      </c>
    </row>
    <row r="108" spans="1:11" hidden="1" x14ac:dyDescent="0.3">
      <c r="A108" s="582" t="str">
        <f t="shared" si="26"/>
        <v>GASTOS DE VENTAS</v>
      </c>
      <c r="B108" s="297">
        <f>SUM(B109)</f>
        <v>87.867880584374348</v>
      </c>
      <c r="C108" s="297">
        <f t="shared" ref="C108:K108" si="27">SUM(C109)</f>
        <v>258.28248591996612</v>
      </c>
      <c r="D108" s="297">
        <f t="shared" si="27"/>
        <v>321.06206363286043</v>
      </c>
      <c r="E108" s="297">
        <f t="shared" si="27"/>
        <v>482.00573496530046</v>
      </c>
      <c r="F108" s="297">
        <f t="shared" si="27"/>
        <v>524.91555862683049</v>
      </c>
      <c r="G108" s="297">
        <f t="shared" si="27"/>
        <v>667.37029632040947</v>
      </c>
      <c r="H108" s="297">
        <f t="shared" si="27"/>
        <v>701.45149894649035</v>
      </c>
      <c r="I108" s="297">
        <f t="shared" si="27"/>
        <v>841.98722106108028</v>
      </c>
      <c r="J108" s="297" t="e">
        <f t="shared" si="27"/>
        <v>#REF!</v>
      </c>
      <c r="K108" s="298" t="e">
        <f t="shared" si="27"/>
        <v>#REF!</v>
      </c>
    </row>
    <row r="109" spans="1:11" hidden="1" x14ac:dyDescent="0.3">
      <c r="A109" s="583" t="str">
        <f t="shared" si="26"/>
        <v>Marketing y Comunicación</v>
      </c>
      <c r="B109" s="295">
        <f>'10 Costos y Gastos'!B34-(SUM('9 Inv. Vin. Becas'!$B$13:$B$14)*'10 Costos y Gastos'!B75)</f>
        <v>87.867880584374348</v>
      </c>
      <c r="C109" s="295">
        <f>'10 Costos y Gastos'!C34-(SUM('9 Inv. Vin. Becas'!$C$13:$C$14)*'10 Costos y Gastos'!C75)</f>
        <v>258.28248591996612</v>
      </c>
      <c r="D109" s="295">
        <f>'10 Costos y Gastos'!D34-(SUM('9 Inv. Vin. Becas'!$D$13:$D$14)*'10 Costos y Gastos'!D75)</f>
        <v>321.06206363286043</v>
      </c>
      <c r="E109" s="295">
        <f>'10 Costos y Gastos'!E34-(SUM('9 Inv. Vin. Becas'!$E$13:$E$14)*'10 Costos y Gastos'!E75)</f>
        <v>482.00573496530046</v>
      </c>
      <c r="F109" s="295">
        <f>'10 Costos y Gastos'!F34-(SUM('9 Inv. Vin. Becas'!$F$13:$F$14)*'10 Costos y Gastos'!F75)</f>
        <v>524.91555862683049</v>
      </c>
      <c r="G109" s="295">
        <f>'10 Costos y Gastos'!G34-(SUM('9 Inv. Vin. Becas'!$G$13:$G$14)*'10 Costos y Gastos'!G75)</f>
        <v>667.37029632040947</v>
      </c>
      <c r="H109" s="295">
        <f>'10 Costos y Gastos'!H34-(SUM('9 Inv. Vin. Becas'!$H$13:$H$14)*'10 Costos y Gastos'!H75)</f>
        <v>701.45149894649035</v>
      </c>
      <c r="I109" s="295">
        <f>'10 Costos y Gastos'!I34-(SUM('9 Inv. Vin. Becas'!$I$13:$I$14)*'10 Costos y Gastos'!I75)</f>
        <v>841.98722106108028</v>
      </c>
      <c r="J109" s="295" t="e">
        <f>'10 Costos y Gastos'!J34-(SUM('9 Inv. Vin. Becas'!#REF!)*'10 Costos y Gastos'!J75)</f>
        <v>#REF!</v>
      </c>
      <c r="K109" s="296" t="e">
        <f>'10 Costos y Gastos'!K34-(SUM('9 Inv. Vin. Becas'!#REF!)*'10 Costos y Gastos'!K75)</f>
        <v>#REF!</v>
      </c>
    </row>
    <row r="110" spans="1:11" hidden="1" x14ac:dyDescent="0.3">
      <c r="A110" s="582" t="str">
        <f t="shared" si="26"/>
        <v>OTROS GASTOS</v>
      </c>
      <c r="B110" s="297">
        <f>SUM(B111:B112)</f>
        <v>1120.050815159856</v>
      </c>
      <c r="C110" s="297">
        <f t="shared" ref="C110:K110" si="28">SUM(C111:C112)</f>
        <v>3292.3237361846282</v>
      </c>
      <c r="D110" s="297">
        <f t="shared" si="28"/>
        <v>4212.5742569104386</v>
      </c>
      <c r="E110" s="297">
        <f t="shared" si="28"/>
        <v>6117.4990597502447</v>
      </c>
      <c r="F110" s="297">
        <f t="shared" si="28"/>
        <v>6656.7586527973672</v>
      </c>
      <c r="G110" s="297">
        <f t="shared" si="28"/>
        <v>8178.3105658298227</v>
      </c>
      <c r="H110" s="297">
        <f t="shared" si="28"/>
        <v>8592.895675327507</v>
      </c>
      <c r="I110" s="297">
        <f t="shared" si="28"/>
        <v>10166.02889134573</v>
      </c>
      <c r="J110" s="297" t="e">
        <f t="shared" si="28"/>
        <v>#REF!</v>
      </c>
      <c r="K110" s="298" t="e">
        <f t="shared" si="28"/>
        <v>#REF!</v>
      </c>
    </row>
    <row r="111" spans="1:11" hidden="1" x14ac:dyDescent="0.3">
      <c r="A111" s="583" t="str">
        <f t="shared" si="26"/>
        <v>Servicios Básicos</v>
      </c>
      <c r="B111" s="295">
        <f>'10 Costos y Gastos'!B36-(SUM('9 Inv. Vin. Becas'!$B$13:$B$14)*'10 Costos y Gastos'!B77)</f>
        <v>1120.050815159856</v>
      </c>
      <c r="C111" s="295">
        <f>'10 Costos y Gastos'!C36-(SUM('9 Inv. Vin. Becas'!$C$13:$C$14)*'10 Costos y Gastos'!C77)</f>
        <v>3292.3237361846282</v>
      </c>
      <c r="D111" s="295">
        <f>'10 Costos y Gastos'!D36-(SUM('9 Inv. Vin. Becas'!$D$13:$D$14)*'10 Costos y Gastos'!D77)</f>
        <v>4092.5742569104382</v>
      </c>
      <c r="E111" s="295">
        <f>'10 Costos y Gastos'!E36-(SUM('9 Inv. Vin. Becas'!$E$13:$E$14)*'10 Costos y Gastos'!E77)</f>
        <v>6057.4990597502447</v>
      </c>
      <c r="F111" s="295">
        <f>'10 Costos y Gastos'!F36-(SUM('9 Inv. Vin. Becas'!$F$13:$F$14)*'10 Costos y Gastos'!F77)</f>
        <v>6596.7586527973672</v>
      </c>
      <c r="G111" s="295">
        <f>'10 Costos y Gastos'!G36-(SUM('9 Inv. Vin. Becas'!$G$13:$G$14)*'10 Costos y Gastos'!G77)</f>
        <v>8118.3105658298227</v>
      </c>
      <c r="H111" s="295">
        <f>'10 Costos y Gastos'!H36-(SUM('9 Inv. Vin. Becas'!$H$13:$H$14)*'10 Costos y Gastos'!H77)</f>
        <v>8532.895675327507</v>
      </c>
      <c r="I111" s="295">
        <f>'10 Costos y Gastos'!I36-(SUM('9 Inv. Vin. Becas'!$I$13:$I$14)*'10 Costos y Gastos'!I77)</f>
        <v>10106.02889134573</v>
      </c>
      <c r="J111" s="295" t="e">
        <f>'10 Costos y Gastos'!J36-(SUM('9 Inv. Vin. Becas'!#REF!)*'10 Costos y Gastos'!J77)</f>
        <v>#REF!</v>
      </c>
      <c r="K111" s="296" t="e">
        <f>'10 Costos y Gastos'!K36-(SUM('9 Inv. Vin. Becas'!#REF!)*'10 Costos y Gastos'!K77)</f>
        <v>#REF!</v>
      </c>
    </row>
    <row r="112" spans="1:11" hidden="1" x14ac:dyDescent="0.3">
      <c r="A112" s="583" t="str">
        <f t="shared" si="26"/>
        <v xml:space="preserve">Amortizacion </v>
      </c>
      <c r="B112" s="295">
        <f>'10 Costos y Gastos'!B37-(SUM('9 Inv. Vin. Becas'!$B$13:$B$14)*'10 Costos y Gastos'!B78)</f>
        <v>0</v>
      </c>
      <c r="C112" s="295">
        <f>'10 Costos y Gastos'!C37-(SUM('9 Inv. Vin. Becas'!$C$13:$C$14)*'10 Costos y Gastos'!C78)</f>
        <v>0</v>
      </c>
      <c r="D112" s="295">
        <f>'10 Costos y Gastos'!D37-(SUM('9 Inv. Vin. Becas'!$D$13:$D$14)*'10 Costos y Gastos'!D78)</f>
        <v>120</v>
      </c>
      <c r="E112" s="295">
        <f>'10 Costos y Gastos'!E37-(SUM('9 Inv. Vin. Becas'!$E$13:$E$14)*'10 Costos y Gastos'!E78)</f>
        <v>60</v>
      </c>
      <c r="F112" s="295">
        <f>'10 Costos y Gastos'!F37-(SUM('9 Inv. Vin. Becas'!$F$13:$F$14)*'10 Costos y Gastos'!F78)</f>
        <v>60</v>
      </c>
      <c r="G112" s="295">
        <f>'10 Costos y Gastos'!G37-(SUM('9 Inv. Vin. Becas'!$G$13:$G$14)*'10 Costos y Gastos'!G78)</f>
        <v>60</v>
      </c>
      <c r="H112" s="295">
        <f>'10 Costos y Gastos'!H37-(SUM('9 Inv. Vin. Becas'!$H$13:$H$14)*'10 Costos y Gastos'!H78)</f>
        <v>60</v>
      </c>
      <c r="I112" s="295">
        <f>'10 Costos y Gastos'!I37-(SUM('9 Inv. Vin. Becas'!$I$13:$I$14)*'10 Costos y Gastos'!I78)</f>
        <v>60</v>
      </c>
      <c r="J112" s="295" t="e">
        <f>'10 Costos y Gastos'!J37-(SUM('9 Inv. Vin. Becas'!#REF!)*'10 Costos y Gastos'!J78)</f>
        <v>#REF!</v>
      </c>
      <c r="K112" s="296" t="e">
        <f>'10 Costos y Gastos'!K37-(SUM('9 Inv. Vin. Becas'!#REF!)*'10 Costos y Gastos'!K78)</f>
        <v>#REF!</v>
      </c>
    </row>
    <row r="113" spans="1:11" hidden="1" x14ac:dyDescent="0.3">
      <c r="A113" s="582" t="str">
        <f t="shared" si="26"/>
        <v>GASTO FINANCIERO</v>
      </c>
      <c r="B113" s="297">
        <f>SUM(B114)</f>
        <v>0</v>
      </c>
      <c r="C113" s="297">
        <f t="shared" ref="C113:K113" si="29">SUM(C114)</f>
        <v>0</v>
      </c>
      <c r="D113" s="297">
        <f t="shared" si="29"/>
        <v>0</v>
      </c>
      <c r="E113" s="297">
        <f t="shared" si="29"/>
        <v>0</v>
      </c>
      <c r="F113" s="297">
        <f t="shared" si="29"/>
        <v>0</v>
      </c>
      <c r="G113" s="297">
        <f t="shared" si="29"/>
        <v>0</v>
      </c>
      <c r="H113" s="297">
        <f t="shared" si="29"/>
        <v>0</v>
      </c>
      <c r="I113" s="297">
        <f t="shared" si="29"/>
        <v>0</v>
      </c>
      <c r="J113" s="297" t="e">
        <f t="shared" si="29"/>
        <v>#REF!</v>
      </c>
      <c r="K113" s="298" t="e">
        <f t="shared" si="29"/>
        <v>#REF!</v>
      </c>
    </row>
    <row r="114" spans="1:11" ht="14.4" hidden="1" thickBot="1" x14ac:dyDescent="0.35">
      <c r="A114" s="584" t="str">
        <f t="shared" si="26"/>
        <v>Interes</v>
      </c>
      <c r="B114" s="299">
        <f>'10 Costos y Gastos'!B39-(SUM('9 Inv. Vin. Becas'!$B$13:$B$14)*'10 Costos y Gastos'!B80)</f>
        <v>0</v>
      </c>
      <c r="C114" s="299">
        <f>'10 Costos y Gastos'!C39-(SUM('9 Inv. Vin. Becas'!$C$13:$C$14)*'10 Costos y Gastos'!C80)</f>
        <v>0</v>
      </c>
      <c r="D114" s="299">
        <f>'10 Costos y Gastos'!D39-(SUM('9 Inv. Vin. Becas'!$D$13:$D$14)*'10 Costos y Gastos'!D80)</f>
        <v>0</v>
      </c>
      <c r="E114" s="299">
        <f>'10 Costos y Gastos'!E39-(SUM('9 Inv. Vin. Becas'!$E$13:$E$14)*'10 Costos y Gastos'!E80)</f>
        <v>0</v>
      </c>
      <c r="F114" s="299">
        <f>'10 Costos y Gastos'!F39-(SUM('9 Inv. Vin. Becas'!$F$13:$F$14)*'10 Costos y Gastos'!F80)</f>
        <v>0</v>
      </c>
      <c r="G114" s="299">
        <f>'10 Costos y Gastos'!G39-(SUM('9 Inv. Vin. Becas'!$G$13:$G$14)*'10 Costos y Gastos'!G80)</f>
        <v>0</v>
      </c>
      <c r="H114" s="299">
        <f>'10 Costos y Gastos'!H39-(SUM('9 Inv. Vin. Becas'!$H$13:$H$14)*'10 Costos y Gastos'!H80)</f>
        <v>0</v>
      </c>
      <c r="I114" s="299">
        <f>'10 Costos y Gastos'!I39-(SUM('9 Inv. Vin. Becas'!$I$13:$I$14)*'10 Costos y Gastos'!I80)</f>
        <v>0</v>
      </c>
      <c r="J114" s="299" t="e">
        <f>'10 Costos y Gastos'!J39-(SUM('9 Inv. Vin. Becas'!#REF!)*'10 Costos y Gastos'!J80)</f>
        <v>#REF!</v>
      </c>
      <c r="K114" s="300" t="e">
        <f>'10 Costos y Gastos'!K39-(SUM('9 Inv. Vin. Becas'!#REF!)*'10 Costos y Gastos'!K80)</f>
        <v>#REF!</v>
      </c>
    </row>
    <row r="115" spans="1:11" ht="14.4" hidden="1" thickBot="1" x14ac:dyDescent="0.35">
      <c r="A115" s="587" t="str">
        <f t="shared" si="26"/>
        <v>TOTAL COSTOS Y GASTOS</v>
      </c>
      <c r="B115" s="301" t="e">
        <f>+B87+B96+B108+B110+B113</f>
        <v>#REF!</v>
      </c>
      <c r="C115" s="301" t="e">
        <f t="shared" ref="C115:K115" si="30">+C87+C96+C108+C110+C113</f>
        <v>#REF!</v>
      </c>
      <c r="D115" s="301" t="e">
        <f t="shared" si="30"/>
        <v>#REF!</v>
      </c>
      <c r="E115" s="301" t="e">
        <f t="shared" si="30"/>
        <v>#REF!</v>
      </c>
      <c r="F115" s="301" t="e">
        <f t="shared" si="30"/>
        <v>#REF!</v>
      </c>
      <c r="G115" s="301" t="e">
        <f t="shared" si="30"/>
        <v>#REF!</v>
      </c>
      <c r="H115" s="301" t="e">
        <f t="shared" si="30"/>
        <v>#REF!</v>
      </c>
      <c r="I115" s="301" t="e">
        <f t="shared" si="30"/>
        <v>#REF!</v>
      </c>
      <c r="J115" s="301" t="e">
        <f t="shared" si="30"/>
        <v>#REF!</v>
      </c>
      <c r="K115" s="302" t="e">
        <f t="shared" si="30"/>
        <v>#REF!</v>
      </c>
    </row>
    <row r="116" spans="1:11" hidden="1" x14ac:dyDescent="0.3"/>
    <row r="117" spans="1:11" x14ac:dyDescent="0.3"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</row>
    <row r="118" spans="1:11" x14ac:dyDescent="0.3"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</row>
    <row r="119" spans="1:11" x14ac:dyDescent="0.3"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</row>
  </sheetData>
  <mergeCells count="7">
    <mergeCell ref="A84:K84"/>
    <mergeCell ref="A85:A86"/>
    <mergeCell ref="B85:K85"/>
    <mergeCell ref="A3:K3"/>
    <mergeCell ref="A43:K43"/>
    <mergeCell ref="A44:A45"/>
    <mergeCell ref="B44:K4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  <pageSetUpPr fitToPage="1"/>
  </sheetPr>
  <dimension ref="B1:W20"/>
  <sheetViews>
    <sheetView showGridLines="0" zoomScaleNormal="100" workbookViewId="0">
      <selection activeCell="C4" sqref="C4"/>
    </sheetView>
  </sheetViews>
  <sheetFormatPr baseColWidth="10" defaultColWidth="11.44140625" defaultRowHeight="10.199999999999999" x14ac:dyDescent="0.2"/>
  <cols>
    <col min="1" max="1" width="11.44140625" style="42"/>
    <col min="2" max="2" width="25.88671875" style="42" customWidth="1"/>
    <col min="3" max="4" width="14.44140625" style="42" customWidth="1"/>
    <col min="5" max="10" width="12.33203125" style="42" customWidth="1"/>
    <col min="11" max="12" width="12.33203125" style="42" bestFit="1" customWidth="1"/>
    <col min="13" max="16384" width="11.44140625" style="42"/>
  </cols>
  <sheetData>
    <row r="1" spans="2:23" ht="38.25" customHeight="1" x14ac:dyDescent="0.2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23" ht="21" customHeight="1" thickBot="1" x14ac:dyDescent="0.25">
      <c r="B2" s="1046" t="s">
        <v>339</v>
      </c>
      <c r="C2" s="1046"/>
      <c r="D2" s="1046"/>
      <c r="E2" s="1046"/>
      <c r="F2" s="1046"/>
      <c r="G2" s="1046"/>
      <c r="H2" s="1046"/>
      <c r="I2" s="1046"/>
      <c r="J2" s="1046"/>
      <c r="K2" s="47"/>
      <c r="L2" s="47"/>
    </row>
    <row r="3" spans="2:23" ht="21" customHeight="1" thickBot="1" x14ac:dyDescent="0.25">
      <c r="B3" s="709" t="str">
        <f>+'5 Demanda'!A2</f>
        <v>AÑO</v>
      </c>
      <c r="C3" s="710">
        <f>+'10 Costos y Gastos'!B4</f>
        <v>2023</v>
      </c>
      <c r="D3" s="710">
        <f>+'10 Costos y Gastos'!C4</f>
        <v>2023</v>
      </c>
      <c r="E3" s="710">
        <f>+'10 Costos y Gastos'!D4</f>
        <v>2024</v>
      </c>
      <c r="F3" s="710">
        <f>+'10 Costos y Gastos'!E4</f>
        <v>2024</v>
      </c>
      <c r="G3" s="710">
        <f>+'10 Costos y Gastos'!F4</f>
        <v>2025</v>
      </c>
      <c r="H3" s="710">
        <f>+'10 Costos y Gastos'!G4</f>
        <v>2025</v>
      </c>
      <c r="I3" s="710">
        <f>+'10 Costos y Gastos'!H4</f>
        <v>2026</v>
      </c>
      <c r="J3" s="710">
        <f>+'10 Costos y Gastos'!I4</f>
        <v>2026</v>
      </c>
      <c r="K3" s="1044"/>
      <c r="L3" s="1045"/>
    </row>
    <row r="4" spans="2:23" ht="18.75" customHeight="1" x14ac:dyDescent="0.2">
      <c r="B4" s="591" t="s">
        <v>305</v>
      </c>
      <c r="C4" s="592">
        <f>+'10 Costos y Gastos'!B40</f>
        <v>60925.600289252827</v>
      </c>
      <c r="D4" s="592">
        <f>+'10 Costos y Gastos'!C40</f>
        <v>148905.85787336159</v>
      </c>
      <c r="E4" s="592">
        <f>+'10 Costos y Gastos'!D40</f>
        <v>187543.74659820664</v>
      </c>
      <c r="F4" s="592">
        <f>+'10 Costos y Gastos'!E40</f>
        <v>270997.68709787418</v>
      </c>
      <c r="G4" s="592">
        <f>+'10 Costos y Gastos'!F40</f>
        <v>303241.58090187341</v>
      </c>
      <c r="H4" s="592">
        <f>+'10 Costos y Gastos'!G40</f>
        <v>385789.0730635465</v>
      </c>
      <c r="I4" s="592">
        <f>+'10 Costos y Gastos'!H40</f>
        <v>416629.99934687599</v>
      </c>
      <c r="J4" s="592">
        <f>+'10 Costos y Gastos'!I40</f>
        <v>492713.6001721319</v>
      </c>
      <c r="K4" s="259"/>
      <c r="L4" s="259"/>
    </row>
    <row r="5" spans="2:23" ht="18.75" customHeight="1" thickBot="1" x14ac:dyDescent="0.25">
      <c r="B5" s="593" t="s">
        <v>340</v>
      </c>
      <c r="C5" s="594">
        <f>+'5 Demanda'!B11</f>
        <v>30</v>
      </c>
      <c r="D5" s="594">
        <f>+'5 Demanda'!C11</f>
        <v>86.94</v>
      </c>
      <c r="E5" s="594">
        <f>+'5 Demanda'!D11</f>
        <v>108.07212</v>
      </c>
      <c r="F5" s="594">
        <f>+'5 Demanda'!E11</f>
        <v>157.04876376000001</v>
      </c>
      <c r="G5" s="594">
        <f>+'5 Demanda'!F11</f>
        <v>171.02978985648002</v>
      </c>
      <c r="H5" s="594">
        <f>+'5 Demanda'!G11</f>
        <v>214.54847723454117</v>
      </c>
      <c r="I5" s="594">
        <f>+'5 Demanda'!H11</f>
        <v>225.5050184022603</v>
      </c>
      <c r="J5" s="594">
        <f>+'5 Demanda'!I11</f>
        <v>267.07935006239512</v>
      </c>
      <c r="K5" s="48"/>
      <c r="L5" s="48"/>
    </row>
    <row r="6" spans="2:23" ht="24" customHeight="1" thickBot="1" x14ac:dyDescent="0.25">
      <c r="B6" s="642" t="s">
        <v>341</v>
      </c>
      <c r="C6" s="643">
        <f>+C4/C5</f>
        <v>2030.8533429750942</v>
      </c>
      <c r="D6" s="643">
        <f t="shared" ref="D6:J6" si="0">+D4/D5</f>
        <v>1712.7427866731261</v>
      </c>
      <c r="E6" s="643">
        <f t="shared" si="0"/>
        <v>1735.3573391380371</v>
      </c>
      <c r="F6" s="643">
        <f t="shared" si="0"/>
        <v>1725.5639624900805</v>
      </c>
      <c r="G6" s="643">
        <f t="shared" si="0"/>
        <v>1773.0336987278015</v>
      </c>
      <c r="H6" s="643">
        <f t="shared" si="0"/>
        <v>1798.1440746456926</v>
      </c>
      <c r="I6" s="643">
        <f t="shared" si="0"/>
        <v>1847.5420294358291</v>
      </c>
      <c r="J6" s="643">
        <f t="shared" si="0"/>
        <v>1844.8210243773024</v>
      </c>
      <c r="K6" s="516"/>
      <c r="L6" s="516"/>
    </row>
    <row r="7" spans="2:23" ht="25.5" customHeight="1" x14ac:dyDescent="0.2">
      <c r="B7" s="552" t="s">
        <v>342</v>
      </c>
      <c r="C7" s="666">
        <f>SUM(C6:J6)</f>
        <v>14468.058258462963</v>
      </c>
      <c r="D7" s="706"/>
      <c r="E7" s="706"/>
      <c r="F7" s="706"/>
      <c r="G7" s="706"/>
      <c r="H7" s="706"/>
      <c r="I7" s="706"/>
      <c r="J7" s="706"/>
      <c r="S7" s="42">
        <f>3500*0.1145</f>
        <v>400.75</v>
      </c>
      <c r="U7" s="42">
        <f>3805*0.08</f>
        <v>304.40000000000003</v>
      </c>
    </row>
    <row r="8" spans="2:23" ht="25.5" customHeight="1" x14ac:dyDescent="0.2">
      <c r="B8" s="553" t="s">
        <v>336</v>
      </c>
      <c r="C8" s="667">
        <f>+C7/8</f>
        <v>1808.5072823078704</v>
      </c>
      <c r="D8" s="707"/>
      <c r="E8" s="707"/>
      <c r="F8" s="707"/>
      <c r="G8" s="707"/>
      <c r="H8" s="707"/>
      <c r="I8" s="707"/>
      <c r="J8" s="707"/>
      <c r="U8" s="595">
        <f>+U7+456.6</f>
        <v>761</v>
      </c>
      <c r="V8" s="595">
        <f>4261-U8</f>
        <v>3500</v>
      </c>
    </row>
    <row r="9" spans="2:23" ht="25.5" customHeight="1" x14ac:dyDescent="0.2">
      <c r="B9" s="553" t="s">
        <v>337</v>
      </c>
      <c r="C9" s="667">
        <f>+C8*0.1</f>
        <v>180.85072823078704</v>
      </c>
      <c r="D9" s="707"/>
      <c r="E9" s="707"/>
      <c r="F9" s="707"/>
      <c r="G9" s="707"/>
      <c r="H9" s="707"/>
      <c r="I9" s="707"/>
      <c r="J9" s="707"/>
      <c r="S9" s="42">
        <f>3805+394-(3500*0.1145)</f>
        <v>3798.25</v>
      </c>
      <c r="T9" s="42">
        <f>+S9*12</f>
        <v>45579</v>
      </c>
    </row>
    <row r="10" spans="2:23" ht="37.5" customHeight="1" thickBot="1" x14ac:dyDescent="0.25">
      <c r="B10" s="729" t="s">
        <v>338</v>
      </c>
      <c r="C10" s="730">
        <f>+C8+C9</f>
        <v>1989.3580105386575</v>
      </c>
      <c r="D10" s="708"/>
      <c r="E10" s="708"/>
      <c r="F10" s="708"/>
      <c r="G10" s="708"/>
      <c r="H10" s="708"/>
      <c r="I10" s="708"/>
      <c r="J10" s="708"/>
      <c r="M10" s="42">
        <f>275-117</f>
        <v>158</v>
      </c>
      <c r="T10" s="42">
        <f>394+3500</f>
        <v>3894</v>
      </c>
      <c r="V10" s="42">
        <f>3805*12</f>
        <v>45660</v>
      </c>
    </row>
    <row r="11" spans="2:23" x14ac:dyDescent="0.2">
      <c r="C11" s="380"/>
      <c r="D11" s="380"/>
      <c r="E11" s="380"/>
      <c r="F11" s="380"/>
      <c r="G11" s="380"/>
      <c r="H11" s="380"/>
      <c r="I11" s="380"/>
      <c r="J11" s="380"/>
      <c r="M11" s="42">
        <f>+M10*1</f>
        <v>158</v>
      </c>
      <c r="T11" s="42">
        <f>SUM(T9:T10)</f>
        <v>49473</v>
      </c>
      <c r="V11" s="42">
        <f>+T10+305</f>
        <v>4199</v>
      </c>
    </row>
    <row r="12" spans="2:23" x14ac:dyDescent="0.2">
      <c r="M12" s="42">
        <f>SUM(M10:M11)</f>
        <v>316</v>
      </c>
      <c r="T12" s="42">
        <f>+T11/12</f>
        <v>4122.75</v>
      </c>
      <c r="V12" s="42">
        <f>SUM(V10:V11)</f>
        <v>49859</v>
      </c>
      <c r="W12" s="42">
        <f>+V12/12</f>
        <v>4154.916666666667</v>
      </c>
    </row>
    <row r="13" spans="2:23" x14ac:dyDescent="0.2">
      <c r="C13" s="381"/>
    </row>
    <row r="14" spans="2:23" x14ac:dyDescent="0.2">
      <c r="C14" s="381"/>
    </row>
    <row r="15" spans="2:23" x14ac:dyDescent="0.2">
      <c r="C15" s="382"/>
      <c r="D15" s="382"/>
      <c r="E15" s="382"/>
      <c r="F15" s="382"/>
      <c r="G15" s="382"/>
      <c r="H15" s="382"/>
      <c r="I15" s="382"/>
      <c r="J15" s="382"/>
      <c r="L15" s="42">
        <f>820*12</f>
        <v>9840</v>
      </c>
      <c r="Q15" s="42">
        <f>30.3/38.8</f>
        <v>0.7809278350515465</v>
      </c>
      <c r="V15" s="42">
        <f>3805*12</f>
        <v>45660</v>
      </c>
    </row>
    <row r="16" spans="2:23" x14ac:dyDescent="0.2">
      <c r="C16" s="380"/>
      <c r="D16" s="380"/>
      <c r="E16" s="380"/>
      <c r="F16" s="380"/>
      <c r="G16" s="380"/>
      <c r="H16" s="380"/>
      <c r="I16" s="380"/>
      <c r="J16" s="380"/>
    </row>
    <row r="17" spans="3:14" x14ac:dyDescent="0.2">
      <c r="C17" s="380"/>
      <c r="D17" s="380"/>
      <c r="E17" s="380"/>
      <c r="F17" s="380"/>
      <c r="G17" s="380"/>
      <c r="H17" s="380"/>
      <c r="I17" s="380"/>
      <c r="J17" s="380"/>
    </row>
    <row r="18" spans="3:14" x14ac:dyDescent="0.2">
      <c r="L18" s="42" t="e">
        <f>+#REF!-400-275-40-40</f>
        <v>#REF!</v>
      </c>
    </row>
    <row r="19" spans="3:14" x14ac:dyDescent="0.2">
      <c r="N19" s="42">
        <f>394*3.1</f>
        <v>1221.4000000000001</v>
      </c>
    </row>
    <row r="20" spans="3:14" x14ac:dyDescent="0.2">
      <c r="N20" s="42">
        <f>0.0945*N19</f>
        <v>115.42230000000001</v>
      </c>
    </row>
  </sheetData>
  <mergeCells count="2">
    <mergeCell ref="K3:L3"/>
    <mergeCell ref="B2:J2"/>
  </mergeCells>
  <pageMargins left="0.70866141732283472" right="0.70866141732283472" top="0.74803149606299213" bottom="0.74803149606299213" header="0.31496062992125984" footer="0.31496062992125984"/>
  <pageSetup paperSize="9" scale="2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51"/>
  <sheetViews>
    <sheetView showGridLines="0" zoomScaleNormal="100" workbookViewId="0">
      <selection activeCell="I6" sqref="I6"/>
    </sheetView>
  </sheetViews>
  <sheetFormatPr baseColWidth="10" defaultColWidth="11.44140625" defaultRowHeight="10.199999999999999" x14ac:dyDescent="0.3"/>
  <cols>
    <col min="1" max="1" width="28.33203125" style="48" customWidth="1"/>
    <col min="2" max="4" width="12.88671875" style="48" bestFit="1" customWidth="1"/>
    <col min="5" max="9" width="15.33203125" style="48" customWidth="1"/>
    <col min="10" max="10" width="12.5546875" style="48" customWidth="1"/>
    <col min="11" max="16384" width="11.44140625" style="48"/>
  </cols>
  <sheetData>
    <row r="1" spans="1:9" ht="26.25" customHeight="1" thickBot="1" x14ac:dyDescent="0.35">
      <c r="A1" s="962" t="s">
        <v>343</v>
      </c>
      <c r="B1" s="963"/>
      <c r="C1" s="963"/>
      <c r="D1" s="963"/>
      <c r="E1" s="963"/>
      <c r="F1" s="963"/>
      <c r="G1" s="963"/>
      <c r="H1" s="963"/>
      <c r="I1" s="963"/>
    </row>
    <row r="2" spans="1:9" ht="15.6" x14ac:dyDescent="0.3">
      <c r="A2" s="967" t="s">
        <v>161</v>
      </c>
      <c r="B2" s="986" t="s">
        <v>344</v>
      </c>
      <c r="C2" s="987"/>
      <c r="D2" s="987"/>
      <c r="E2" s="987"/>
      <c r="F2" s="987"/>
      <c r="G2" s="987"/>
      <c r="H2" s="987"/>
      <c r="I2" s="988"/>
    </row>
    <row r="3" spans="1:9" ht="22.5" customHeight="1" thickBot="1" x14ac:dyDescent="0.35">
      <c r="A3" s="1047"/>
      <c r="B3" s="541">
        <f>+'1 Estudiantes'!B3</f>
        <v>2023</v>
      </c>
      <c r="C3" s="541">
        <f>+'1 Estudiantes'!C3</f>
        <v>2023</v>
      </c>
      <c r="D3" s="541">
        <f>+'1 Estudiantes'!D3</f>
        <v>2024</v>
      </c>
      <c r="E3" s="541">
        <f>+'1 Estudiantes'!E3</f>
        <v>2024</v>
      </c>
      <c r="F3" s="541">
        <f>+'1 Estudiantes'!F3</f>
        <v>2025</v>
      </c>
      <c r="G3" s="541">
        <f>+'1 Estudiantes'!G3</f>
        <v>2025</v>
      </c>
      <c r="H3" s="541">
        <f>+'1 Estudiantes'!H3</f>
        <v>2026</v>
      </c>
      <c r="I3" s="541">
        <f>+'1 Estudiantes'!I3</f>
        <v>2026</v>
      </c>
    </row>
    <row r="4" spans="1:9" ht="27.75" customHeight="1" x14ac:dyDescent="0.3">
      <c r="A4" s="386" t="s">
        <v>345</v>
      </c>
      <c r="B4" s="831">
        <f>+'5 Demanda'!B48</f>
        <v>55524.483233999999</v>
      </c>
      <c r="C4" s="831">
        <f>+'5 Demanda'!C48</f>
        <v>160909.95241213203</v>
      </c>
      <c r="D4" s="831">
        <f>+'5 Demanda'!D48</f>
        <v>200021.62050009455</v>
      </c>
      <c r="E4" s="831">
        <f>+'5 Demanda'!E48</f>
        <v>290668.38167708495</v>
      </c>
      <c r="F4" s="831">
        <f>+'5 Demanda'!F48</f>
        <v>316544.68998002226</v>
      </c>
      <c r="G4" s="831">
        <f>+'5 Demanda'!G48</f>
        <v>397089.77756965044</v>
      </c>
      <c r="H4" s="831">
        <f>+'5 Demanda'!H48</f>
        <v>417368.32044863875</v>
      </c>
      <c r="I4" s="831">
        <f>+'5 Demanda'!I48</f>
        <v>494314.76315623586</v>
      </c>
    </row>
    <row r="5" spans="1:9" ht="22.5" customHeight="1" x14ac:dyDescent="0.3">
      <c r="A5" s="153" t="s">
        <v>293</v>
      </c>
      <c r="B5" s="325">
        <f>SUM(B6:B20)</f>
        <v>27376.805803078376</v>
      </c>
      <c r="C5" s="325">
        <f t="shared" ref="C5:I5" si="0">SUM(C6:C20)</f>
        <v>88847.297146146797</v>
      </c>
      <c r="D5" s="325">
        <f t="shared" si="0"/>
        <v>118741.70896794503</v>
      </c>
      <c r="E5" s="325">
        <f t="shared" si="0"/>
        <v>178035.60826604423</v>
      </c>
      <c r="F5" s="325">
        <f t="shared" si="0"/>
        <v>207726.01195534552</v>
      </c>
      <c r="G5" s="325">
        <f t="shared" si="0"/>
        <v>275998.5832521994</v>
      </c>
      <c r="H5" s="325">
        <f t="shared" si="0"/>
        <v>303264.9719652959</v>
      </c>
      <c r="I5" s="325">
        <f t="shared" si="0"/>
        <v>365402.10729062703</v>
      </c>
    </row>
    <row r="6" spans="1:9" x14ac:dyDescent="0.3">
      <c r="A6" s="270" t="str">
        <f>+'10 Costos y Gastos'!A6</f>
        <v>Mantenimiento Edificio</v>
      </c>
      <c r="B6" s="112">
        <f>+'10 Costos y Gastos'!B6</f>
        <v>3132.9663349565953</v>
      </c>
      <c r="C6" s="112">
        <f>+'10 Costos y Gastos'!C6</f>
        <v>9209.1709497776828</v>
      </c>
      <c r="D6" s="112">
        <f>+'10 Costos y Gastos'!D6</f>
        <v>11447.603266446835</v>
      </c>
      <c r="E6" s="112">
        <f>+'10 Costos y Gastos'!E6</f>
        <v>16943.821093974362</v>
      </c>
      <c r="F6" s="112">
        <f>+'10 Costos y Gastos'!F6</f>
        <v>18452.218863032635</v>
      </c>
      <c r="G6" s="112">
        <f>+'10 Costos y Gastos'!G6</f>
        <v>22708.249800110374</v>
      </c>
      <c r="H6" s="112">
        <f>+'10 Costos y Gastos'!H6</f>
        <v>23867.91253455976</v>
      </c>
      <c r="I6" s="112">
        <f>+'10 Costos y Gastos'!I6</f>
        <v>28268.22485921413</v>
      </c>
    </row>
    <row r="7" spans="1:9" x14ac:dyDescent="0.3">
      <c r="A7" s="270" t="str">
        <f>+'10 Costos y Gastos'!A7</f>
        <v>Capacitación Docente</v>
      </c>
      <c r="B7" s="112">
        <f>+'10 Costos y Gastos'!B7</f>
        <v>179.02525252525251</v>
      </c>
      <c r="C7" s="112">
        <f>+'10 Costos y Gastos'!C7</f>
        <v>605.28437878787872</v>
      </c>
      <c r="D7" s="112">
        <f>+'10 Costos y Gastos'!D7</f>
        <v>807.04583838383837</v>
      </c>
      <c r="E7" s="112">
        <f>+'10 Costos y Gastos'!E7</f>
        <v>1271.4825598423736</v>
      </c>
      <c r="F7" s="112">
        <f>+'10 Costos y Gastos'!F7</f>
        <v>1490.3443119463886</v>
      </c>
      <c r="G7" s="112">
        <f>+'10 Costos y Gastos'!G7</f>
        <v>1932.9713616003683</v>
      </c>
      <c r="H7" s="112">
        <f>+'10 Costos y Gastos'!H7</f>
        <v>2133.6623772856524</v>
      </c>
      <c r="I7" s="112">
        <f>+'10 Costos y Gastos'!I7</f>
        <v>2505.0358204687532</v>
      </c>
    </row>
    <row r="8" spans="1:9" x14ac:dyDescent="0.3">
      <c r="A8" s="270" t="str">
        <f>+'10 Costos y Gastos'!A8</f>
        <v>Internacionalización</v>
      </c>
      <c r="B8" s="112">
        <f>+'10 Costos y Gastos'!B8</f>
        <v>115.71035358882067</v>
      </c>
      <c r="C8" s="112">
        <f>+'10 Costos y Gastos'!C8</f>
        <v>340.12380374761801</v>
      </c>
      <c r="D8" s="112">
        <f>+'10 Costos y Gastos'!D8</f>
        <v>422.79618741050177</v>
      </c>
      <c r="E8" s="112">
        <f>+'10 Costos y Gastos'!E8</f>
        <v>634.73767267117273</v>
      </c>
      <c r="F8" s="112">
        <f>+'10 Costos y Gastos'!F8</f>
        <v>691.24422358930815</v>
      </c>
      <c r="G8" s="112">
        <f>+'10 Costos y Gastos'!G8</f>
        <v>878.83823358820177</v>
      </c>
      <c r="H8" s="112">
        <f>+'10 Costos y Gastos'!H8</f>
        <v>923.71866066086</v>
      </c>
      <c r="I8" s="112">
        <f>+'10 Costos y Gastos'!I8</f>
        <v>1108.7855814695911</v>
      </c>
    </row>
    <row r="9" spans="1:9" x14ac:dyDescent="0.3">
      <c r="A9" s="270" t="str">
        <f>+'10 Costos y Gastos'!A9</f>
        <v>Insumos Prácticas y Laboratorios</v>
      </c>
      <c r="B9" s="112">
        <f>+'10 Costos y Gastos'!B9</f>
        <v>0</v>
      </c>
      <c r="C9" s="112">
        <f>+'10 Costos y Gastos'!C9</f>
        <v>0</v>
      </c>
      <c r="D9" s="112">
        <f>+'10 Costos y Gastos'!D9</f>
        <v>0</v>
      </c>
      <c r="E9" s="112">
        <f>+'10 Costos y Gastos'!E9</f>
        <v>0</v>
      </c>
      <c r="F9" s="112">
        <f>+'10 Costos y Gastos'!F9</f>
        <v>0</v>
      </c>
      <c r="G9" s="112">
        <f>+'10 Costos y Gastos'!G9</f>
        <v>0</v>
      </c>
      <c r="H9" s="112">
        <f>+'10 Costos y Gastos'!H9</f>
        <v>0</v>
      </c>
      <c r="I9" s="112">
        <f>+'10 Costos y Gastos'!I9</f>
        <v>0</v>
      </c>
    </row>
    <row r="10" spans="1:9" x14ac:dyDescent="0.3">
      <c r="A10" s="270" t="str">
        <f>+'10 Costos y Gastos'!A10</f>
        <v>Tiempo Completo PhD</v>
      </c>
      <c r="B10" s="112">
        <f>+'10 Costos y Gastos'!B10</f>
        <v>5637.9052799999999</v>
      </c>
      <c r="C10" s="112">
        <f>+'10 Costos y Gastos'!C10</f>
        <v>19050.992835840003</v>
      </c>
      <c r="D10" s="112">
        <f>+'10 Costos y Gastos'!D10</f>
        <v>25401.323781120005</v>
      </c>
      <c r="E10" s="112">
        <f>+'10 Costos y Gastos'!E10</f>
        <v>39303.763010564777</v>
      </c>
      <c r="F10" s="112">
        <f>+'10 Costos y Gastos'!F10</f>
        <v>46069.164840252168</v>
      </c>
      <c r="G10" s="112">
        <f>+'10 Costos y Gastos'!G10</f>
        <v>60916.623514221712</v>
      </c>
      <c r="H10" s="112">
        <f>+'10 Costos y Gastos'!H10</f>
        <v>67241.300272528882</v>
      </c>
      <c r="I10" s="112">
        <f>+'10 Costos y Gastos'!I10</f>
        <v>78972.632545264263</v>
      </c>
    </row>
    <row r="11" spans="1:9" x14ac:dyDescent="0.3">
      <c r="A11" s="270" t="str">
        <f>+'10 Costos y Gastos'!A11</f>
        <v>Tiempo Completo Mgs.</v>
      </c>
      <c r="B11" s="112">
        <f>+'10 Costos y Gastos'!B11</f>
        <v>9105.9192000000003</v>
      </c>
      <c r="C11" s="112">
        <f>+'10 Costos y Gastos'!C11</f>
        <v>30775.167057600003</v>
      </c>
      <c r="D11" s="112">
        <f>+'10 Costos y Gastos'!D11</f>
        <v>41033.5560768</v>
      </c>
      <c r="E11" s="112">
        <f>+'10 Costos y Gastos'!E11</f>
        <v>63503.024481264823</v>
      </c>
      <c r="F11" s="112">
        <f>+'10 Costos y Gastos'!F11</f>
        <v>74433.872957548112</v>
      </c>
      <c r="G11" s="112">
        <f>+'10 Costos y Gastos'!G11</f>
        <v>98431.329799642001</v>
      </c>
      <c r="H11" s="112">
        <f>+'10 Costos y Gastos'!H11</f>
        <v>108650.97606299281</v>
      </c>
      <c r="I11" s="112">
        <f>+'10 Costos y Gastos'!I11</f>
        <v>127631.37346113895</v>
      </c>
    </row>
    <row r="12" spans="1:9" x14ac:dyDescent="0.3">
      <c r="A12" s="270" t="str">
        <f>+'10 Costos y Gastos'!A12</f>
        <v>Medio Tiempo</v>
      </c>
      <c r="B12" s="112">
        <f>+'10 Costos y Gastos'!B12</f>
        <v>0</v>
      </c>
      <c r="C12" s="112">
        <f>+'10 Costos y Gastos'!C12</f>
        <v>0</v>
      </c>
      <c r="D12" s="112">
        <f>+'10 Costos y Gastos'!D12</f>
        <v>0</v>
      </c>
      <c r="E12" s="112">
        <f>+'10 Costos y Gastos'!E12</f>
        <v>0</v>
      </c>
      <c r="F12" s="112">
        <f>+'10 Costos y Gastos'!F12</f>
        <v>0</v>
      </c>
      <c r="G12" s="112">
        <f>+'10 Costos y Gastos'!G12</f>
        <v>0</v>
      </c>
      <c r="H12" s="112">
        <f>+'10 Costos y Gastos'!H12</f>
        <v>0</v>
      </c>
      <c r="I12" s="112">
        <f>+'10 Costos y Gastos'!I12</f>
        <v>0</v>
      </c>
    </row>
    <row r="13" spans="1:9" x14ac:dyDescent="0.3">
      <c r="A13" s="270" t="str">
        <f>+'10 Costos y Gastos'!A13</f>
        <v>Tiempo Parcial</v>
      </c>
      <c r="B13" s="112">
        <f>+'10 Costos y Gastos'!B13</f>
        <v>608.3148288000001</v>
      </c>
      <c r="C13" s="112">
        <f>+'10 Costos y Gastos'!C13</f>
        <v>2058.9866916864012</v>
      </c>
      <c r="D13" s="112">
        <f>+'10 Costos y Gastos'!D13</f>
        <v>2745.3155889152022</v>
      </c>
      <c r="E13" s="112">
        <f>+'10 Costos y Gastos'!E13</f>
        <v>4255.0113268009491</v>
      </c>
      <c r="F13" s="112">
        <f>+'10 Costos y Gastos'!F13</f>
        <v>4987.4313092830798</v>
      </c>
      <c r="G13" s="112">
        <f>+'10 Costos y Gastos'!G13</f>
        <v>6600.1430791770881</v>
      </c>
      <c r="H13" s="112">
        <f>+'10 Costos y Gastos'!H13</f>
        <v>7285.4038360315417</v>
      </c>
      <c r="I13" s="112">
        <f>+'10 Costos y Gastos'!I13</f>
        <v>8571.9170803128927</v>
      </c>
    </row>
    <row r="14" spans="1:9" x14ac:dyDescent="0.3">
      <c r="A14" s="270" t="str">
        <f>+'10 Costos y Gastos'!A14</f>
        <v>Ocasional Tipo 2 (Técnico Docente)</v>
      </c>
      <c r="B14" s="112">
        <f>+'10 Costos y Gastos'!B14</f>
        <v>2858.7247500000003</v>
      </c>
      <c r="C14" s="112">
        <f>+'10 Costos y Gastos'!C14</f>
        <v>9276.6501172800017</v>
      </c>
      <c r="D14" s="112">
        <f>+'10 Costos y Gastos'!D14</f>
        <v>12755.393911260002</v>
      </c>
      <c r="E14" s="112">
        <f>+'10 Costos y Gastos'!E14</f>
        <v>20596.633080531166</v>
      </c>
      <c r="F14" s="112">
        <f>+'10 Costos y Gastos'!F14</f>
        <v>25010.19731207356</v>
      </c>
      <c r="G14" s="112">
        <f>+'10 Costos y Gastos'!G14</f>
        <v>35880.814578712372</v>
      </c>
      <c r="H14" s="112">
        <f>+'10 Costos y Gastos'!H14</f>
        <v>42266.383274923901</v>
      </c>
      <c r="I14" s="112">
        <f>+'10 Costos y Gastos'!I14</f>
        <v>58287.890711821557</v>
      </c>
    </row>
    <row r="15" spans="1:9" x14ac:dyDescent="0.3">
      <c r="A15" s="270" t="str">
        <f>+'10 Costos y Gastos'!A15</f>
        <v>Costo del Seguro Estudiantil</v>
      </c>
      <c r="B15" s="112">
        <f>+'10 Costos y Gastos'!B15</f>
        <v>921.0247723904298</v>
      </c>
      <c r="C15" s="112">
        <f>+'10 Costos y Gastos'!C15</f>
        <v>2707.2983463900064</v>
      </c>
      <c r="D15" s="112">
        <f>+'10 Costos y Gastos'!D15</f>
        <v>3365.3493416938386</v>
      </c>
      <c r="E15" s="112">
        <f>+'10 Costos y Gastos'!E15</f>
        <v>5052.3492701182095</v>
      </c>
      <c r="F15" s="112">
        <f>+'10 Costos y Gastos'!F15</f>
        <v>5502.1269398234044</v>
      </c>
      <c r="G15" s="112">
        <f>+'10 Costos y Gastos'!G15</f>
        <v>6995.3272023946529</v>
      </c>
      <c r="H15" s="112">
        <f>+'10 Costos y Gastos'!H15</f>
        <v>7352.5639046198376</v>
      </c>
      <c r="I15" s="112">
        <f>+'10 Costos y Gastos'!I15</f>
        <v>8825.6491846161425</v>
      </c>
    </row>
    <row r="16" spans="1:9" x14ac:dyDescent="0.3">
      <c r="A16" s="270" t="str">
        <f>+'10 Costos y Gastos'!A16</f>
        <v>Becas Institucionales 10 % estudiantes</v>
      </c>
      <c r="B16" s="112">
        <f>+'10 Costos y Gastos'!B16</f>
        <v>0</v>
      </c>
      <c r="C16" s="112">
        <f>+'10 Costos y Gastos'!C16</f>
        <v>0</v>
      </c>
      <c r="D16" s="112">
        <f>+'10 Costos y Gastos'!D16</f>
        <v>0</v>
      </c>
      <c r="E16" s="112">
        <f>+'10 Costos y Gastos'!E16</f>
        <v>0</v>
      </c>
      <c r="F16" s="112">
        <f>+'10 Costos y Gastos'!F16</f>
        <v>0</v>
      </c>
      <c r="G16" s="112">
        <f>+'10 Costos y Gastos'!G16</f>
        <v>0</v>
      </c>
      <c r="H16" s="112">
        <f>+'10 Costos y Gastos'!H16</f>
        <v>0</v>
      </c>
      <c r="I16" s="112">
        <f>+'10 Costos y Gastos'!I16</f>
        <v>0</v>
      </c>
    </row>
    <row r="17" spans="1:9" x14ac:dyDescent="0.3">
      <c r="A17" s="270" t="str">
        <f>+'10 Costos y Gastos'!A17</f>
        <v>Investigación 5%</v>
      </c>
      <c r="B17" s="112">
        <f>+'10 Costos y Gastos'!B17</f>
        <v>3471.023359014398</v>
      </c>
      <c r="C17" s="112">
        <f>+'10 Costos y Gastos'!C17</f>
        <v>10731.037961464919</v>
      </c>
      <c r="D17" s="112">
        <f>+'10 Costos y Gastos'!D17</f>
        <v>13339.383739314379</v>
      </c>
      <c r="E17" s="112">
        <f>+'10 Costos y Gastos'!E17</f>
        <v>19340.955886349715</v>
      </c>
      <c r="F17" s="112">
        <f>+'10 Costos y Gastos'!F17</f>
        <v>21062.754915542682</v>
      </c>
      <c r="G17" s="112">
        <f>+'10 Costos y Gastos'!G17</f>
        <v>27245.556983412069</v>
      </c>
      <c r="H17" s="112">
        <f>+'10 Costos y Gastos'!H17</f>
        <v>28636.93048824407</v>
      </c>
      <c r="I17" s="112">
        <f>+'10 Costos y Gastos'!I17</f>
        <v>34406.103019555361</v>
      </c>
    </row>
    <row r="18" spans="1:9" x14ac:dyDescent="0.3">
      <c r="A18" s="270" t="str">
        <f>+'10 Costos y Gastos'!A18</f>
        <v>Vinculación 1%</v>
      </c>
      <c r="B18" s="112">
        <f>+'10 Costos y Gastos'!B18</f>
        <v>694.20467180287949</v>
      </c>
      <c r="C18" s="112">
        <f>+'10 Costos y Gastos'!C18</f>
        <v>2146.2075922929835</v>
      </c>
      <c r="D18" s="112">
        <f>+'10 Costos y Gastos'!D18</f>
        <v>2667.8767478628756</v>
      </c>
      <c r="E18" s="112">
        <f>+'10 Costos y Gastos'!E18</f>
        <v>3868.1911772699441</v>
      </c>
      <c r="F18" s="112">
        <f>+'10 Costos y Gastos'!F18</f>
        <v>4212.5509831085374</v>
      </c>
      <c r="G18" s="112">
        <f>+'10 Costos y Gastos'!G18</f>
        <v>5449.111396682415</v>
      </c>
      <c r="H18" s="112">
        <f>+'10 Costos y Gastos'!H18</f>
        <v>5727.386097648814</v>
      </c>
      <c r="I18" s="112">
        <f>+'10 Costos y Gastos'!I18</f>
        <v>6881.2206039110724</v>
      </c>
    </row>
    <row r="19" spans="1:9" x14ac:dyDescent="0.3">
      <c r="A19" s="270" t="str">
        <f>+'10 Costos y Gastos'!A19</f>
        <v>Materiales y Suministros</v>
      </c>
      <c r="B19" s="112">
        <f>+'10 Costos y Gastos'!B19</f>
        <v>651.98700000000008</v>
      </c>
      <c r="C19" s="112">
        <f>+'10 Costos y Gastos'!C19</f>
        <v>1670.3290057293002</v>
      </c>
      <c r="D19" s="112">
        <f>+'10 Costos y Gastos'!D19</f>
        <v>2053.8854871999115</v>
      </c>
      <c r="E19" s="112">
        <f>+'10 Costos y Gastos'!E19</f>
        <v>2989.5903011067303</v>
      </c>
      <c r="F19" s="112">
        <f>+'10 Costos y Gastos'!F19</f>
        <v>3111.9262976080104</v>
      </c>
      <c r="G19" s="112">
        <f>+'10 Costos y Gastos'!G19</f>
        <v>3813.4750930748964</v>
      </c>
      <c r="H19" s="112">
        <f>+'10 Costos y Gastos'!H19</f>
        <v>4017.9491262518</v>
      </c>
      <c r="I19" s="112">
        <f>+'10 Costos y Gastos'!I19</f>
        <v>4746.4182753372779</v>
      </c>
    </row>
    <row r="20" spans="1:9" x14ac:dyDescent="0.3">
      <c r="A20" s="270" t="str">
        <f>+'10 Costos y Gastos'!A20</f>
        <v>Depreciación</v>
      </c>
      <c r="B20" s="112">
        <f>+'10 Costos y Gastos'!B20</f>
        <v>0</v>
      </c>
      <c r="C20" s="112">
        <f>+'10 Costos y Gastos'!C20</f>
        <v>276.04840554999998</v>
      </c>
      <c r="D20" s="112">
        <f>+'10 Costos y Gastos'!D20</f>
        <v>2702.17900153765</v>
      </c>
      <c r="E20" s="112">
        <f>+'10 Costos y Gastos'!C20</f>
        <v>276.04840554999998</v>
      </c>
      <c r="F20" s="112">
        <f>+'10 Costos y Gastos'!D20</f>
        <v>2702.17900153765</v>
      </c>
      <c r="G20" s="112">
        <f>+'10 Costos y Gastos'!E20</f>
        <v>5146.1422095832604</v>
      </c>
      <c r="H20" s="112">
        <f>+'10 Costos y Gastos'!F20</f>
        <v>5160.7853295480199</v>
      </c>
      <c r="I20" s="112">
        <f>+'10 Costos y Gastos'!G20</f>
        <v>5196.8561475170918</v>
      </c>
    </row>
    <row r="21" spans="1:9" ht="25.5" customHeight="1" x14ac:dyDescent="0.3">
      <c r="A21" s="153" t="s">
        <v>346</v>
      </c>
      <c r="B21" s="325">
        <f t="shared" ref="B21:I21" si="1">+B4-B5</f>
        <v>28147.677430921623</v>
      </c>
      <c r="C21" s="325">
        <f t="shared" si="1"/>
        <v>72062.655265985231</v>
      </c>
      <c r="D21" s="325">
        <f t="shared" si="1"/>
        <v>81279.911532149519</v>
      </c>
      <c r="E21" s="325">
        <f t="shared" si="1"/>
        <v>112632.77341104072</v>
      </c>
      <c r="F21" s="325">
        <f t="shared" si="1"/>
        <v>108818.67802467674</v>
      </c>
      <c r="G21" s="325">
        <f t="shared" si="1"/>
        <v>121091.19431745104</v>
      </c>
      <c r="H21" s="325">
        <f t="shared" si="1"/>
        <v>114103.34848334285</v>
      </c>
      <c r="I21" s="325">
        <f t="shared" si="1"/>
        <v>128912.65586560883</v>
      </c>
    </row>
    <row r="22" spans="1:9" ht="35.25" customHeight="1" x14ac:dyDescent="0.3">
      <c r="A22" s="153" t="s">
        <v>298</v>
      </c>
      <c r="B22" s="325">
        <f t="shared" ref="B22:I22" si="2">SUM(B23:B33)</f>
        <v>32340.875790430222</v>
      </c>
      <c r="C22" s="325">
        <f t="shared" si="2"/>
        <v>56507.954505110196</v>
      </c>
      <c r="D22" s="325">
        <f t="shared" si="2"/>
        <v>64268.401309718305</v>
      </c>
      <c r="E22" s="325">
        <f t="shared" si="2"/>
        <v>81492.480233081151</v>
      </c>
      <c r="F22" s="325">
        <f t="shared" si="2"/>
        <v>85875.288407093351</v>
      </c>
      <c r="G22" s="325">
        <f t="shared" si="2"/>
        <v>100894.09501126304</v>
      </c>
      <c r="H22" s="325">
        <f t="shared" si="2"/>
        <v>104027.9689208155</v>
      </c>
      <c r="I22" s="325">
        <f t="shared" si="2"/>
        <v>116452.87914897857</v>
      </c>
    </row>
    <row r="23" spans="1:9" x14ac:dyDescent="0.3">
      <c r="A23" s="270" t="str">
        <f>+'10 Costos y Gastos'!A22</f>
        <v>Administración Central</v>
      </c>
      <c r="B23" s="112">
        <f>+'10 Costos y Gastos'!B22</f>
        <v>4905.8121713825994</v>
      </c>
      <c r="C23" s="112">
        <f>+'10 Costos y Gastos'!C22</f>
        <v>14217.043672666778</v>
      </c>
      <c r="D23" s="112">
        <f>+'10 Costos y Gastos'!D22</f>
        <v>17672.717389437345</v>
      </c>
      <c r="E23" s="112">
        <f>+'10 Costos y Gastos'!E22</f>
        <v>25681.724558479968</v>
      </c>
      <c r="F23" s="112">
        <f>+'10 Costos y Gastos'!F22</f>
        <v>27968.000824897565</v>
      </c>
      <c r="G23" s="112">
        <f>+'10 Costos y Gastos'!G22</f>
        <v>35084.484365627097</v>
      </c>
      <c r="H23" s="112">
        <f>+'10 Costos y Gastos'!H22</f>
        <v>36876.175466188841</v>
      </c>
      <c r="I23" s="112">
        <f>+'10 Costos y Gastos'!I22</f>
        <v>43674.704208701813</v>
      </c>
    </row>
    <row r="24" spans="1:9" x14ac:dyDescent="0.3">
      <c r="A24" s="270" t="str">
        <f>+'10 Costos y Gastos'!A23</f>
        <v>Decano</v>
      </c>
      <c r="B24" s="112">
        <f>+'10 Costos y Gastos'!B23</f>
        <v>2945.2327619047614</v>
      </c>
      <c r="C24" s="112">
        <f>+'10 Costos y Gastos'!C23</f>
        <v>7327.1991940103881</v>
      </c>
      <c r="D24" s="112">
        <f>+'10 Costos y Gastos'!D23</f>
        <v>8618.5197056198267</v>
      </c>
      <c r="E24" s="112">
        <f>+'10 Costos y Gastos'!E23</f>
        <v>11298.594117421366</v>
      </c>
      <c r="F24" s="112">
        <f>+'10 Costos y Gastos'!F23</f>
        <v>11927.203093714816</v>
      </c>
      <c r="G24" s="112">
        <f>+'10 Costos y Gastos'!G23</f>
        <v>14112.354576339299</v>
      </c>
      <c r="H24" s="112">
        <f>+'10 Costos y Gastos'!H23</f>
        <v>14514.693789664027</v>
      </c>
      <c r="I24" s="112">
        <f>+'10 Costos y Gastos'!I23</f>
        <v>16114.781967111096</v>
      </c>
    </row>
    <row r="25" spans="1:9" x14ac:dyDescent="0.3">
      <c r="A25" s="270" t="str">
        <f>+'10 Costos y Gastos'!A24</f>
        <v>Subdecano</v>
      </c>
      <c r="B25" s="112">
        <f>+'10 Costos y Gastos'!B24</f>
        <v>2191.0613333333331</v>
      </c>
      <c r="C25" s="112">
        <f>+'10 Costos y Gastos'!C24</f>
        <v>5451.3970691386357</v>
      </c>
      <c r="D25" s="112">
        <f>+'10 Costos y Gastos'!D24</f>
        <v>6412.1326334263831</v>
      </c>
      <c r="E25" s="112">
        <f>+'10 Costos y Gastos'!E24</f>
        <v>8406.7755516527141</v>
      </c>
      <c r="F25" s="112">
        <f>+'10 Costos y Gastos'!F24</f>
        <v>8874.4952093847223</v>
      </c>
      <c r="G25" s="112">
        <f>+'10 Costos y Gastos'!G24</f>
        <v>10500.777744303792</v>
      </c>
      <c r="H25" s="112">
        <f>+'10 Costos y Gastos'!H24</f>
        <v>10800.151929815287</v>
      </c>
      <c r="I25" s="112">
        <f>+'10 Costos y Gastos'!I24</f>
        <v>11991.798227586291</v>
      </c>
    </row>
    <row r="26" spans="1:9" x14ac:dyDescent="0.3">
      <c r="A26" s="270" t="str">
        <f>+'10 Costos y Gastos'!A25</f>
        <v>Director de Carrera</v>
      </c>
      <c r="B26" s="112">
        <f>+'10 Costos y Gastos'!B25</f>
        <v>17621.36</v>
      </c>
      <c r="C26" s="112">
        <f>+'10 Costos y Gastos'!C25</f>
        <v>17864.806224</v>
      </c>
      <c r="D26" s="112">
        <f>+'10 Costos y Gastos'!D25</f>
        <v>17864.806224</v>
      </c>
      <c r="E26" s="112">
        <f>+'10 Costos y Gastos'!E25</f>
        <v>18127.7699530032</v>
      </c>
      <c r="F26" s="112">
        <f>+'10 Costos y Gastos'!F25</f>
        <v>18127.7699530032</v>
      </c>
      <c r="G26" s="112">
        <f>+'10 Costos y Gastos'!G25</f>
        <v>18731.525588447606</v>
      </c>
      <c r="H26" s="112">
        <f>+'10 Costos y Gastos'!H25</f>
        <v>18731.525588447606</v>
      </c>
      <c r="I26" s="112">
        <f>+'10 Costos y Gastos'!I25</f>
        <v>18992.851846391652</v>
      </c>
    </row>
    <row r="27" spans="1:9" x14ac:dyDescent="0.3">
      <c r="A27" s="270" t="str">
        <f>+'10 Costos y Gastos'!A26</f>
        <v>Secretario</v>
      </c>
      <c r="B27" s="112">
        <f>+'10 Costos y Gastos'!B26</f>
        <v>773.2190476190475</v>
      </c>
      <c r="C27" s="112">
        <f>+'10 Costos y Gastos'!C26</f>
        <v>1924.8890743797388</v>
      </c>
      <c r="D27" s="112">
        <f>+'10 Costos y Gastos'!D26</f>
        <v>2264.1249377027057</v>
      </c>
      <c r="E27" s="112">
        <f>+'10 Costos y Gastos'!E26</f>
        <v>2970.1566480076522</v>
      </c>
      <c r="F27" s="112">
        <f>+'10 Costos y Gastos'!F26</f>
        <v>3135.4043868441531</v>
      </c>
      <c r="G27" s="112">
        <f>+'10 Costos y Gastos'!G26</f>
        <v>3711.0133000770365</v>
      </c>
      <c r="H27" s="112">
        <f>+'10 Costos y Gastos'!H26</f>
        <v>3816.8132332996538</v>
      </c>
      <c r="I27" s="112">
        <f>+'10 Costos y Gastos'!I26</f>
        <v>4240.5887972796645</v>
      </c>
    </row>
    <row r="28" spans="1:9" x14ac:dyDescent="0.3">
      <c r="A28" s="270" t="str">
        <f>+'10 Costos y Gastos'!A27</f>
        <v>Auxiliar de Secretaria</v>
      </c>
      <c r="B28" s="112">
        <f>+'10 Costos y Gastos'!B27</f>
        <v>660.09333333333325</v>
      </c>
      <c r="C28" s="112">
        <f>+'10 Costos y Gastos'!C27</f>
        <v>1643.5187556489757</v>
      </c>
      <c r="D28" s="112">
        <f>+'10 Costos y Gastos'!D27</f>
        <v>1933.166876873689</v>
      </c>
      <c r="E28" s="112">
        <f>+'10 Costos y Gastos'!E27</f>
        <v>2536.383863142355</v>
      </c>
      <c r="F28" s="112">
        <f>+'10 Costos y Gastos'!F27</f>
        <v>2677.4982041946396</v>
      </c>
      <c r="G28" s="112">
        <f>+'10 Costos y Gastos'!G27</f>
        <v>3169.2767752717114</v>
      </c>
      <c r="H28" s="112">
        <f>+'10 Costos y Gastos'!H27</f>
        <v>3259.6319543223435</v>
      </c>
      <c r="I28" s="112">
        <f>+'10 Costos y Gastos'!I27</f>
        <v>3622.1412363509453</v>
      </c>
    </row>
    <row r="29" spans="1:9" x14ac:dyDescent="0.3">
      <c r="A29" s="270" t="str">
        <f>+'10 Costos y Gastos'!A28</f>
        <v xml:space="preserve">Coordinador  </v>
      </c>
      <c r="B29" s="112">
        <f>+'10 Costos y Gastos'!B28</f>
        <v>697.80190476190478</v>
      </c>
      <c r="C29" s="112">
        <f>+'10 Costos y Gastos'!C28</f>
        <v>1737.3088618925633</v>
      </c>
      <c r="D29" s="112">
        <f>+'10 Costos y Gastos'!D28</f>
        <v>2043.4862304833612</v>
      </c>
      <c r="E29" s="112">
        <f>+'10 Costos y Gastos'!E28</f>
        <v>2680.9747914307873</v>
      </c>
      <c r="F29" s="112">
        <f>+'10 Costos y Gastos'!F28</f>
        <v>2830.1335984111442</v>
      </c>
      <c r="G29" s="112">
        <f>+'10 Costos y Gastos'!G28</f>
        <v>3349.8556168734858</v>
      </c>
      <c r="H29" s="112">
        <f>+'10 Costos y Gastos'!H28</f>
        <v>3445.3590473147797</v>
      </c>
      <c r="I29" s="112">
        <f>+'10 Costos y Gastos'!I28</f>
        <v>3828.2904233271856</v>
      </c>
    </row>
    <row r="30" spans="1:9" x14ac:dyDescent="0.3">
      <c r="A30" s="270" t="str">
        <f>+'10 Costos y Gastos'!A29</f>
        <v>Bienestar Estudiantil</v>
      </c>
      <c r="B30" s="112">
        <f>+'10 Costos y Gastos'!B29</f>
        <v>697.80190476190478</v>
      </c>
      <c r="C30" s="112">
        <f>+'10 Costos y Gastos'!C29</f>
        <v>1737.3088618925633</v>
      </c>
      <c r="D30" s="112">
        <f>+'10 Costos y Gastos'!D29</f>
        <v>2043.4862304833612</v>
      </c>
      <c r="E30" s="112">
        <f>+'10 Costos y Gastos'!E29</f>
        <v>2680.9747914307873</v>
      </c>
      <c r="F30" s="112">
        <f>+'10 Costos y Gastos'!F29</f>
        <v>2830.1335984111442</v>
      </c>
      <c r="G30" s="112">
        <f>+'10 Costos y Gastos'!G29</f>
        <v>3349.8556168734858</v>
      </c>
      <c r="H30" s="112">
        <f>+'10 Costos y Gastos'!H29</f>
        <v>3445.3590473147797</v>
      </c>
      <c r="I30" s="112">
        <f>+'10 Costos y Gastos'!I29</f>
        <v>3828.2904233271856</v>
      </c>
    </row>
    <row r="31" spans="1:9" x14ac:dyDescent="0.3">
      <c r="A31" s="270" t="str">
        <f>+'10 Costos y Gastos'!A30</f>
        <v>Bibliotecario</v>
      </c>
      <c r="B31" s="112">
        <f>+'10 Costos y Gastos'!B30</f>
        <v>622.38476190476183</v>
      </c>
      <c r="C31" s="112">
        <f>+'10 Costos y Gastos'!C30</f>
        <v>1549.7286494053878</v>
      </c>
      <c r="D31" s="112">
        <f>+'10 Costos y Gastos'!D30</f>
        <v>1822.8475232640167</v>
      </c>
      <c r="E31" s="112">
        <f>+'10 Costos y Gastos'!E30</f>
        <v>2391.7929348539228</v>
      </c>
      <c r="F31" s="112">
        <f>+'10 Costos y Gastos'!F30</f>
        <v>2524.8628099781354</v>
      </c>
      <c r="G31" s="112">
        <f>+'10 Costos y Gastos'!G30</f>
        <v>2988.6979336699351</v>
      </c>
      <c r="H31" s="112">
        <f>+'10 Costos y Gastos'!H30</f>
        <v>3073.904861329906</v>
      </c>
      <c r="I31" s="112">
        <f>+'10 Costos y Gastos'!I30</f>
        <v>3415.9920493747049</v>
      </c>
    </row>
    <row r="32" spans="1:9" x14ac:dyDescent="0.3">
      <c r="A32" s="270" t="str">
        <f>+'10 Costos y Gastos'!A31</f>
        <v>Auxiliar de Servicio</v>
      </c>
      <c r="B32" s="112">
        <f>+'10 Costos y Gastos'!B31</f>
        <v>716.84952380952382</v>
      </c>
      <c r="C32" s="112">
        <f>+'10 Costos y Gastos'!C31</f>
        <v>1786.3958114005484</v>
      </c>
      <c r="D32" s="112">
        <f>+'10 Costos y Gastos'!D31</f>
        <v>2101.2240959926221</v>
      </c>
      <c r="E32" s="112">
        <f>+'10 Costos y Gastos'!E31</f>
        <v>2759.3128736697895</v>
      </c>
      <c r="F32" s="112">
        <f>+'10 Costos y Gastos'!F31</f>
        <v>2912.8301009252068</v>
      </c>
      <c r="G32" s="112">
        <f>+'10 Costos y Gastos'!G31</f>
        <v>3449.2920849150155</v>
      </c>
      <c r="H32" s="112">
        <f>+'10 Costos y Gastos'!H31</f>
        <v>3547.630420765694</v>
      </c>
      <c r="I32" s="112">
        <f>+'10 Costos y Gastos'!I31</f>
        <v>3945.8954810820501</v>
      </c>
    </row>
    <row r="33" spans="1:9" ht="10.8" thickBot="1" x14ac:dyDescent="0.35">
      <c r="A33" s="274" t="str">
        <f>+'10 Costos y Gastos'!A32</f>
        <v>Guardia</v>
      </c>
      <c r="B33" s="173">
        <f>+'10 Costos y Gastos'!B32</f>
        <v>509.25904761904764</v>
      </c>
      <c r="C33" s="173">
        <f>+'10 Costos y Gastos'!C32</f>
        <v>1268.3583306746248</v>
      </c>
      <c r="D33" s="173">
        <f>+'10 Costos y Gastos'!D32</f>
        <v>1491.8894624349998</v>
      </c>
      <c r="E33" s="173">
        <f>+'10 Costos y Gastos'!E32</f>
        <v>1958.0201499886248</v>
      </c>
      <c r="F33" s="173">
        <f>+'10 Costos y Gastos'!F32</f>
        <v>2066.9566273286218</v>
      </c>
      <c r="G33" s="173">
        <f>+'10 Costos y Gastos'!G32</f>
        <v>2446.9614088646085</v>
      </c>
      <c r="H33" s="173">
        <f>+'10 Costos y Gastos'!H32</f>
        <v>2516.7235823525943</v>
      </c>
      <c r="I33" s="173">
        <f>+'10 Costos y Gastos'!I32</f>
        <v>2797.5444884459844</v>
      </c>
    </row>
    <row r="34" spans="1:9" ht="27" customHeight="1" x14ac:dyDescent="0.3">
      <c r="A34" s="323" t="s">
        <v>300</v>
      </c>
      <c r="B34" s="178">
        <f>+B35</f>
        <v>87.867880584374348</v>
      </c>
      <c r="C34" s="178">
        <f t="shared" ref="C34:I34" si="3">+C35</f>
        <v>258.28248591996612</v>
      </c>
      <c r="D34" s="178">
        <f t="shared" si="3"/>
        <v>321.06206363286043</v>
      </c>
      <c r="E34" s="178">
        <f t="shared" si="3"/>
        <v>482.00573496530046</v>
      </c>
      <c r="F34" s="178">
        <f t="shared" si="3"/>
        <v>524.91555862683049</v>
      </c>
      <c r="G34" s="178">
        <f t="shared" si="3"/>
        <v>667.37029632040947</v>
      </c>
      <c r="H34" s="178">
        <f t="shared" si="3"/>
        <v>701.45149894649035</v>
      </c>
      <c r="I34" s="178">
        <f t="shared" si="3"/>
        <v>841.98722106108028</v>
      </c>
    </row>
    <row r="35" spans="1:9" ht="10.8" thickBot="1" x14ac:dyDescent="0.35">
      <c r="A35" s="274" t="s">
        <v>347</v>
      </c>
      <c r="B35" s="173">
        <f>+'10 Costos y Gastos'!B34</f>
        <v>87.867880584374348</v>
      </c>
      <c r="C35" s="173">
        <f>+'10 Costos y Gastos'!C34</f>
        <v>258.28248591996612</v>
      </c>
      <c r="D35" s="173">
        <f>+'10 Costos y Gastos'!D34</f>
        <v>321.06206363286043</v>
      </c>
      <c r="E35" s="173">
        <f>+'10 Costos y Gastos'!E34</f>
        <v>482.00573496530046</v>
      </c>
      <c r="F35" s="173">
        <f>+'10 Costos y Gastos'!F34</f>
        <v>524.91555862683049</v>
      </c>
      <c r="G35" s="173">
        <f>+'10 Costos y Gastos'!G34</f>
        <v>667.37029632040947</v>
      </c>
      <c r="H35" s="173">
        <f>+'10 Costos y Gastos'!H34</f>
        <v>701.45149894649035</v>
      </c>
      <c r="I35" s="173">
        <f>+'10 Costos y Gastos'!I34</f>
        <v>841.98722106108028</v>
      </c>
    </row>
    <row r="36" spans="1:9" ht="24.75" customHeight="1" x14ac:dyDescent="0.3">
      <c r="A36" s="323" t="s">
        <v>301</v>
      </c>
      <c r="B36" s="178">
        <f>SUM(B37:B38)</f>
        <v>1120.050815159856</v>
      </c>
      <c r="C36" s="178">
        <f t="shared" ref="C36:I36" si="4">SUM(C37:C38)</f>
        <v>3292.3237361846282</v>
      </c>
      <c r="D36" s="178">
        <f t="shared" si="4"/>
        <v>4212.5742569104386</v>
      </c>
      <c r="E36" s="178">
        <f t="shared" si="4"/>
        <v>6117.4990597502447</v>
      </c>
      <c r="F36" s="178">
        <f t="shared" si="4"/>
        <v>6656.7586527973672</v>
      </c>
      <c r="G36" s="178">
        <f t="shared" si="4"/>
        <v>8178.3105658298227</v>
      </c>
      <c r="H36" s="178">
        <f t="shared" si="4"/>
        <v>8592.895675327507</v>
      </c>
      <c r="I36" s="178">
        <f t="shared" si="4"/>
        <v>10166.02889134573</v>
      </c>
    </row>
    <row r="37" spans="1:9" x14ac:dyDescent="0.3">
      <c r="A37" s="270" t="s">
        <v>348</v>
      </c>
      <c r="B37" s="112">
        <f>+'10 Costos y Gastos'!B36</f>
        <v>1120.050815159856</v>
      </c>
      <c r="C37" s="112">
        <f>+'10 Costos y Gastos'!C36</f>
        <v>3292.3237361846282</v>
      </c>
      <c r="D37" s="112">
        <f>+'10 Costos y Gastos'!D36</f>
        <v>4092.5742569104382</v>
      </c>
      <c r="E37" s="112">
        <f>+'10 Costos y Gastos'!E36</f>
        <v>6057.4990597502447</v>
      </c>
      <c r="F37" s="112">
        <f>+'10 Costos y Gastos'!F36</f>
        <v>6596.7586527973672</v>
      </c>
      <c r="G37" s="112">
        <f>+'10 Costos y Gastos'!G36</f>
        <v>8118.3105658298227</v>
      </c>
      <c r="H37" s="112">
        <f>+'10 Costos y Gastos'!H36</f>
        <v>8532.895675327507</v>
      </c>
      <c r="I37" s="112">
        <f>+'10 Costos y Gastos'!I36</f>
        <v>10106.02889134573</v>
      </c>
    </row>
    <row r="38" spans="1:9" ht="10.8" thickBot="1" x14ac:dyDescent="0.35">
      <c r="A38" s="316" t="s">
        <v>349</v>
      </c>
      <c r="B38" s="176">
        <f>+'10 Costos y Gastos'!B37</f>
        <v>0</v>
      </c>
      <c r="C38" s="176">
        <f>+'10 Costos y Gastos'!C37</f>
        <v>0</v>
      </c>
      <c r="D38" s="176">
        <f>+'10 Costos y Gastos'!D37</f>
        <v>120</v>
      </c>
      <c r="E38" s="176">
        <f>+'10 Costos y Gastos'!E37</f>
        <v>60</v>
      </c>
      <c r="F38" s="176">
        <f>+'10 Costos y Gastos'!F37</f>
        <v>60</v>
      </c>
      <c r="G38" s="176">
        <f>+'10 Costos y Gastos'!G37</f>
        <v>60</v>
      </c>
      <c r="H38" s="176">
        <f>+'10 Costos y Gastos'!H37</f>
        <v>60</v>
      </c>
      <c r="I38" s="176">
        <f>+'10 Costos y Gastos'!I37</f>
        <v>60</v>
      </c>
    </row>
    <row r="39" spans="1:9" ht="22.5" customHeight="1" x14ac:dyDescent="0.3">
      <c r="A39" s="147" t="s">
        <v>303</v>
      </c>
      <c r="B39" s="186">
        <f>+B40</f>
        <v>0</v>
      </c>
      <c r="C39" s="186">
        <f t="shared" ref="C39:I39" si="5">+C40</f>
        <v>0</v>
      </c>
      <c r="D39" s="186">
        <f t="shared" si="5"/>
        <v>0</v>
      </c>
      <c r="E39" s="186">
        <f t="shared" si="5"/>
        <v>0</v>
      </c>
      <c r="F39" s="186">
        <f t="shared" si="5"/>
        <v>0</v>
      </c>
      <c r="G39" s="186">
        <f t="shared" si="5"/>
        <v>0</v>
      </c>
      <c r="H39" s="186">
        <f t="shared" si="5"/>
        <v>0</v>
      </c>
      <c r="I39" s="186">
        <f t="shared" si="5"/>
        <v>0</v>
      </c>
    </row>
    <row r="40" spans="1:9" ht="10.8" thickBot="1" x14ac:dyDescent="0.35">
      <c r="A40" s="274" t="s">
        <v>350</v>
      </c>
      <c r="B40" s="173">
        <f>+'10 Costos y Gastos'!B39</f>
        <v>0</v>
      </c>
      <c r="C40" s="173">
        <f>+'10 Costos y Gastos'!C39</f>
        <v>0</v>
      </c>
      <c r="D40" s="173">
        <f>+'10 Costos y Gastos'!D39</f>
        <v>0</v>
      </c>
      <c r="E40" s="173">
        <f>+'10 Costos y Gastos'!E39</f>
        <v>0</v>
      </c>
      <c r="F40" s="173">
        <f>+'10 Costos y Gastos'!F39</f>
        <v>0</v>
      </c>
      <c r="G40" s="173">
        <f>+'10 Costos y Gastos'!G39</f>
        <v>0</v>
      </c>
      <c r="H40" s="173">
        <f>+'10 Costos y Gastos'!H39</f>
        <v>0</v>
      </c>
      <c r="I40" s="173">
        <f>+'10 Costos y Gastos'!I39</f>
        <v>0</v>
      </c>
    </row>
    <row r="41" spans="1:9" ht="31.8" thickBot="1" x14ac:dyDescent="0.35">
      <c r="A41" s="321" t="s">
        <v>351</v>
      </c>
      <c r="B41" s="322">
        <f t="shared" ref="B41:I41" si="6">+B21-B22-B36-B39</f>
        <v>-5313.2491746684545</v>
      </c>
      <c r="C41" s="322">
        <f t="shared" si="6"/>
        <v>12262.377024690408</v>
      </c>
      <c r="D41" s="322">
        <f t="shared" si="6"/>
        <v>12798.935965520775</v>
      </c>
      <c r="E41" s="322">
        <f t="shared" si="6"/>
        <v>25022.794118209324</v>
      </c>
      <c r="F41" s="322">
        <f t="shared" si="6"/>
        <v>16286.630964786027</v>
      </c>
      <c r="G41" s="322">
        <f t="shared" si="6"/>
        <v>12018.788740358177</v>
      </c>
      <c r="H41" s="322">
        <f t="shared" si="6"/>
        <v>1482.4838871998418</v>
      </c>
      <c r="I41" s="322">
        <f t="shared" si="6"/>
        <v>2293.7478252845358</v>
      </c>
    </row>
    <row r="42" spans="1:9" ht="10.8" thickBot="1" x14ac:dyDescent="0.35">
      <c r="A42" s="317" t="s">
        <v>352</v>
      </c>
      <c r="B42" s="318"/>
      <c r="C42" s="318"/>
      <c r="D42" s="318"/>
      <c r="E42" s="318"/>
      <c r="F42" s="318"/>
      <c r="G42" s="318"/>
      <c r="H42" s="318"/>
      <c r="I42" s="319"/>
    </row>
    <row r="43" spans="1:9" ht="31.8" thickBot="1" x14ac:dyDescent="0.35">
      <c r="A43" s="321" t="s">
        <v>353</v>
      </c>
      <c r="B43" s="322">
        <f>+B41-B42</f>
        <v>-5313.2491746684545</v>
      </c>
      <c r="C43" s="322">
        <f t="shared" ref="C43:I43" si="7">+C41-C42</f>
        <v>12262.377024690408</v>
      </c>
      <c r="D43" s="322">
        <f t="shared" si="7"/>
        <v>12798.935965520775</v>
      </c>
      <c r="E43" s="322">
        <f t="shared" si="7"/>
        <v>25022.794118209324</v>
      </c>
      <c r="F43" s="322">
        <f t="shared" si="7"/>
        <v>16286.630964786027</v>
      </c>
      <c r="G43" s="322">
        <f t="shared" si="7"/>
        <v>12018.788740358177</v>
      </c>
      <c r="H43" s="322">
        <f t="shared" si="7"/>
        <v>1482.4838871998418</v>
      </c>
      <c r="I43" s="322">
        <f t="shared" si="7"/>
        <v>2293.7478252845358</v>
      </c>
    </row>
    <row r="44" spans="1:9" ht="10.8" thickBot="1" x14ac:dyDescent="0.35">
      <c r="A44" s="317" t="s">
        <v>354</v>
      </c>
      <c r="B44" s="318"/>
      <c r="C44" s="318"/>
      <c r="D44" s="318"/>
      <c r="E44" s="318"/>
      <c r="F44" s="318"/>
      <c r="G44" s="318"/>
      <c r="H44" s="318"/>
      <c r="I44" s="319"/>
    </row>
    <row r="45" spans="1:9" ht="31.8" thickBot="1" x14ac:dyDescent="0.35">
      <c r="A45" s="306" t="s">
        <v>355</v>
      </c>
      <c r="B45" s="324">
        <f>+B43-B44</f>
        <v>-5313.2491746684545</v>
      </c>
      <c r="C45" s="324">
        <f t="shared" ref="C45:I45" si="8">+C43-C44</f>
        <v>12262.377024690408</v>
      </c>
      <c r="D45" s="324">
        <f t="shared" si="8"/>
        <v>12798.935965520775</v>
      </c>
      <c r="E45" s="324">
        <f t="shared" si="8"/>
        <v>25022.794118209324</v>
      </c>
      <c r="F45" s="324">
        <f t="shared" si="8"/>
        <v>16286.630964786027</v>
      </c>
      <c r="G45" s="324">
        <f t="shared" si="8"/>
        <v>12018.788740358177</v>
      </c>
      <c r="H45" s="324">
        <f t="shared" si="8"/>
        <v>1482.4838871998418</v>
      </c>
      <c r="I45" s="324">
        <f t="shared" si="8"/>
        <v>2293.7478252845358</v>
      </c>
    </row>
    <row r="49" spans="10:11" x14ac:dyDescent="0.3">
      <c r="J49" s="320"/>
      <c r="K49" s="58"/>
    </row>
    <row r="50" spans="10:11" x14ac:dyDescent="0.3">
      <c r="J50" s="58"/>
      <c r="K50" s="58"/>
    </row>
    <row r="51" spans="10:11" x14ac:dyDescent="0.3">
      <c r="J51" s="58"/>
      <c r="K51" s="58"/>
    </row>
  </sheetData>
  <mergeCells count="3">
    <mergeCell ref="A2:A3"/>
    <mergeCell ref="B2:I2"/>
    <mergeCell ref="A1:I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45"/>
  <sheetViews>
    <sheetView workbookViewId="0">
      <selection activeCell="A23" sqref="A23"/>
    </sheetView>
  </sheetViews>
  <sheetFormatPr baseColWidth="10" defaultColWidth="11.44140625" defaultRowHeight="13.8" x14ac:dyDescent="0.3"/>
  <cols>
    <col min="1" max="1" width="28.109375" style="673" customWidth="1"/>
    <col min="2" max="2" width="13.5546875" style="673" customWidth="1"/>
    <col min="3" max="3" width="12.109375" style="673" customWidth="1"/>
    <col min="4" max="4" width="11.109375" style="673" customWidth="1"/>
    <col min="5" max="5" width="11.44140625" style="673" bestFit="1" customWidth="1"/>
    <col min="6" max="6" width="13.6640625" style="673" customWidth="1"/>
    <col min="7" max="9" width="11.44140625" style="673"/>
    <col min="10" max="10" width="13.88671875" style="673" bestFit="1" customWidth="1"/>
    <col min="11" max="11" width="12.44140625" style="673" bestFit="1" customWidth="1"/>
    <col min="12" max="13" width="11.5546875" style="673" bestFit="1" customWidth="1"/>
    <col min="14" max="14" width="12.44140625" style="673" bestFit="1" customWidth="1"/>
    <col min="15" max="16384" width="11.44140625" style="673"/>
  </cols>
  <sheetData>
    <row r="2" spans="1:13" x14ac:dyDescent="0.3">
      <c r="A2" s="673" t="s">
        <v>499</v>
      </c>
    </row>
    <row r="4" spans="1:13" ht="23.25" customHeight="1" x14ac:dyDescent="0.3">
      <c r="A4"/>
      <c r="J4" s="674"/>
      <c r="K4" s="674"/>
      <c r="L4" s="674"/>
      <c r="M4" s="674"/>
    </row>
    <row r="5" spans="1:13" x14ac:dyDescent="0.3">
      <c r="J5" s="674"/>
      <c r="K5" s="674"/>
      <c r="L5" s="674"/>
      <c r="M5" s="674"/>
    </row>
    <row r="6" spans="1:13" ht="21.75" customHeight="1" x14ac:dyDescent="0.3">
      <c r="A6" s="1048" t="s">
        <v>319</v>
      </c>
      <c r="B6" s="1048"/>
      <c r="C6" s="1048"/>
      <c r="D6" s="1048"/>
      <c r="E6" s="1048"/>
      <c r="F6" s="1048"/>
    </row>
    <row r="7" spans="1:13" ht="57" customHeight="1" x14ac:dyDescent="0.3">
      <c r="A7" s="923" t="s">
        <v>320</v>
      </c>
      <c r="B7" s="923" t="s">
        <v>321</v>
      </c>
      <c r="C7" s="923" t="s">
        <v>322</v>
      </c>
      <c r="D7" s="923" t="s">
        <v>323</v>
      </c>
      <c r="E7" s="923" t="s">
        <v>324</v>
      </c>
      <c r="F7" s="923" t="s">
        <v>325</v>
      </c>
    </row>
    <row r="8" spans="1:13" ht="18.75" customHeight="1" x14ac:dyDescent="0.3">
      <c r="A8" s="1049" t="s">
        <v>326</v>
      </c>
      <c r="B8" s="1050"/>
      <c r="C8" s="1050"/>
      <c r="D8" s="1050"/>
      <c r="E8" s="1050"/>
      <c r="F8" s="1051"/>
    </row>
    <row r="9" spans="1:13" x14ac:dyDescent="0.3">
      <c r="A9" s="676" t="s">
        <v>327</v>
      </c>
      <c r="B9" s="854">
        <f t="shared" ref="B9:E13" si="0">ROUNDDOWN(B34,2)</f>
        <v>641859.93999999994</v>
      </c>
      <c r="C9" s="854">
        <f t="shared" si="0"/>
        <v>0</v>
      </c>
      <c r="D9" s="854">
        <f t="shared" si="0"/>
        <v>0</v>
      </c>
      <c r="E9" s="854">
        <f t="shared" si="0"/>
        <v>0</v>
      </c>
      <c r="F9" s="855">
        <f>SUM(B9:E9)</f>
        <v>641859.93999999994</v>
      </c>
      <c r="G9" s="724">
        <f>+F34/$F$39</f>
        <v>0.25415290208183516</v>
      </c>
    </row>
    <row r="10" spans="1:13" x14ac:dyDescent="0.3">
      <c r="A10" s="676" t="s">
        <v>328</v>
      </c>
      <c r="B10" s="854">
        <f t="shared" si="0"/>
        <v>1140204.1299999999</v>
      </c>
      <c r="C10" s="854">
        <f t="shared" si="0"/>
        <v>0</v>
      </c>
      <c r="D10" s="854">
        <f t="shared" si="0"/>
        <v>5115.95</v>
      </c>
      <c r="E10" s="854">
        <f t="shared" si="0"/>
        <v>10924.85</v>
      </c>
      <c r="F10" s="855">
        <f t="shared" ref="F10:F20" si="1">SUM(B10:E10)</f>
        <v>1156244.93</v>
      </c>
      <c r="G10" s="724">
        <f>+F35/$F$39</f>
        <v>0.45783042064760382</v>
      </c>
    </row>
    <row r="11" spans="1:13" x14ac:dyDescent="0.3">
      <c r="A11" s="676" t="s">
        <v>329</v>
      </c>
      <c r="B11" s="854">
        <f t="shared" si="0"/>
        <v>208887.11</v>
      </c>
      <c r="C11" s="854">
        <f t="shared" si="0"/>
        <v>0</v>
      </c>
      <c r="D11" s="854">
        <f t="shared" si="0"/>
        <v>0</v>
      </c>
      <c r="E11" s="854">
        <f t="shared" si="0"/>
        <v>0</v>
      </c>
      <c r="F11" s="855">
        <f t="shared" si="1"/>
        <v>208887.11</v>
      </c>
      <c r="G11" s="724">
        <f>+F36/$F$39</f>
        <v>8.2711604685004964E-2</v>
      </c>
    </row>
    <row r="12" spans="1:13" x14ac:dyDescent="0.3">
      <c r="A12" s="676" t="s">
        <v>330</v>
      </c>
      <c r="B12" s="854">
        <f t="shared" si="0"/>
        <v>259160.22</v>
      </c>
      <c r="C12" s="854">
        <f t="shared" si="0"/>
        <v>0</v>
      </c>
      <c r="D12" s="854">
        <f t="shared" si="0"/>
        <v>0</v>
      </c>
      <c r="E12" s="854">
        <f t="shared" si="0"/>
        <v>0</v>
      </c>
      <c r="F12" s="855">
        <f t="shared" si="1"/>
        <v>259160.22</v>
      </c>
      <c r="G12" s="724">
        <f>+F37/$F$39</f>
        <v>0.10261790435049906</v>
      </c>
    </row>
    <row r="13" spans="1:13" x14ac:dyDescent="0.3">
      <c r="A13" s="676" t="s">
        <v>324</v>
      </c>
      <c r="B13" s="854">
        <f t="shared" si="0"/>
        <v>69454.649999999994</v>
      </c>
      <c r="C13" s="854">
        <f t="shared" si="0"/>
        <v>158233.74</v>
      </c>
      <c r="D13" s="854">
        <f t="shared" si="0"/>
        <v>31646.74</v>
      </c>
      <c r="E13" s="854">
        <f t="shared" si="0"/>
        <v>0</v>
      </c>
      <c r="F13" s="855">
        <f t="shared" si="1"/>
        <v>259335.12999999998</v>
      </c>
      <c r="G13" s="724">
        <f>+F38/$F$39</f>
        <v>0.10268716823505709</v>
      </c>
    </row>
    <row r="14" spans="1:13" x14ac:dyDescent="0.3">
      <c r="A14" s="925"/>
      <c r="B14" s="926"/>
      <c r="C14" s="926"/>
      <c r="D14" s="926"/>
      <c r="E14" s="924" t="s">
        <v>331</v>
      </c>
      <c r="F14" s="855">
        <f>SUM(F9:F13)</f>
        <v>2525487.33</v>
      </c>
      <c r="G14" s="724">
        <f>SUM(G9:G13)</f>
        <v>1.0000000000000002</v>
      </c>
    </row>
    <row r="15" spans="1:13" x14ac:dyDescent="0.3">
      <c r="A15" s="925" t="s">
        <v>332</v>
      </c>
      <c r="B15" s="926"/>
      <c r="C15" s="926"/>
      <c r="D15" s="926"/>
      <c r="E15" s="926"/>
      <c r="F15" s="927"/>
      <c r="H15" s="680"/>
    </row>
    <row r="16" spans="1:13" x14ac:dyDescent="0.3">
      <c r="A16" s="676" t="s">
        <v>333</v>
      </c>
      <c r="B16" s="854">
        <f t="shared" ref="B16:D18" si="2">ROUNDDOWN(B41,2)</f>
        <v>300</v>
      </c>
      <c r="C16" s="854">
        <f t="shared" si="2"/>
        <v>0</v>
      </c>
      <c r="D16" s="854">
        <f t="shared" si="2"/>
        <v>0</v>
      </c>
      <c r="E16" s="854"/>
      <c r="F16" s="855">
        <f t="shared" si="1"/>
        <v>300</v>
      </c>
    </row>
    <row r="17" spans="1:6" x14ac:dyDescent="0.3">
      <c r="A17" s="676" t="s">
        <v>334</v>
      </c>
      <c r="B17" s="854">
        <f t="shared" si="2"/>
        <v>84675.21</v>
      </c>
      <c r="C17" s="854">
        <f t="shared" si="2"/>
        <v>0</v>
      </c>
      <c r="D17" s="854">
        <f t="shared" si="2"/>
        <v>0</v>
      </c>
      <c r="E17" s="854"/>
      <c r="F17" s="855">
        <f t="shared" si="1"/>
        <v>84675.21</v>
      </c>
    </row>
    <row r="18" spans="1:6" x14ac:dyDescent="0.3">
      <c r="A18" s="676" t="s">
        <v>335</v>
      </c>
      <c r="B18" s="854">
        <f t="shared" si="2"/>
        <v>0</v>
      </c>
      <c r="C18" s="854">
        <f t="shared" si="2"/>
        <v>0</v>
      </c>
      <c r="D18" s="854">
        <f t="shared" si="2"/>
        <v>0</v>
      </c>
      <c r="E18" s="854"/>
      <c r="F18" s="855">
        <f t="shared" si="1"/>
        <v>0</v>
      </c>
    </row>
    <row r="19" spans="1:6" x14ac:dyDescent="0.3">
      <c r="A19" s="925"/>
      <c r="B19" s="926"/>
      <c r="C19" s="926"/>
      <c r="D19" s="926"/>
      <c r="E19" s="924" t="s">
        <v>331</v>
      </c>
      <c r="F19" s="855">
        <f>+F17+F18</f>
        <v>84675.21</v>
      </c>
    </row>
    <row r="20" spans="1:6" x14ac:dyDescent="0.3">
      <c r="A20" s="676" t="s">
        <v>325</v>
      </c>
      <c r="B20" s="855">
        <f>SUM(B9:B19)</f>
        <v>2404541.2599999998</v>
      </c>
      <c r="C20" s="855">
        <f>SUM(C9:C19)</f>
        <v>158233.74</v>
      </c>
      <c r="D20" s="855">
        <f>SUM(D9:D19)</f>
        <v>36762.69</v>
      </c>
      <c r="E20" s="855">
        <f>SUM(E9:E19)</f>
        <v>10924.85</v>
      </c>
      <c r="F20" s="855">
        <f t="shared" si="1"/>
        <v>2610462.54</v>
      </c>
    </row>
    <row r="22" spans="1:6" x14ac:dyDescent="0.3">
      <c r="B22" s="724">
        <f>+B45/$F$45</f>
        <v>0.92111693012297369</v>
      </c>
      <c r="C22" s="724">
        <f>+C45/$F$45</f>
        <v>6.0615213358783053E-2</v>
      </c>
      <c r="D22" s="724">
        <f>+D45/$F$45</f>
        <v>1.4082831236685226E-2</v>
      </c>
      <c r="E22" s="724">
        <f>+E45/$F$45</f>
        <v>4.1850252815582613E-3</v>
      </c>
      <c r="F22" s="724">
        <f>SUM(B22:E22)</f>
        <v>1.0000000000000002</v>
      </c>
    </row>
    <row r="24" spans="1:6" x14ac:dyDescent="0.3">
      <c r="A24" s="741" t="s">
        <v>336</v>
      </c>
      <c r="B24" s="742">
        <f>+'11 Costo de la Carrera'!C8</f>
        <v>1808.5072823078704</v>
      </c>
    </row>
    <row r="25" spans="1:6" x14ac:dyDescent="0.3">
      <c r="A25" s="741" t="s">
        <v>337</v>
      </c>
      <c r="B25" s="742">
        <f>+'11 Costo de la Carrera'!C9</f>
        <v>180.85072823078704</v>
      </c>
    </row>
    <row r="26" spans="1:6" x14ac:dyDescent="0.3">
      <c r="A26" s="673" t="s">
        <v>338</v>
      </c>
      <c r="B26" s="742">
        <f>+'11 Costo de la Carrera'!C10</f>
        <v>1989.3580105386575</v>
      </c>
    </row>
    <row r="33" spans="1:6" ht="55.2" x14ac:dyDescent="0.3">
      <c r="A33" s="675" t="s">
        <v>320</v>
      </c>
      <c r="B33" s="675" t="s">
        <v>321</v>
      </c>
      <c r="C33" s="675" t="s">
        <v>322</v>
      </c>
      <c r="D33" s="675" t="s">
        <v>323</v>
      </c>
      <c r="E33" s="675" t="s">
        <v>324</v>
      </c>
      <c r="F33" s="675" t="s">
        <v>325</v>
      </c>
    </row>
    <row r="34" spans="1:6" x14ac:dyDescent="0.3">
      <c r="A34" s="676" t="s">
        <v>327</v>
      </c>
      <c r="B34" s="677">
        <f>+'10 Costos y Gastos'!J21</f>
        <v>641859.94332649023</v>
      </c>
      <c r="C34" s="678"/>
      <c r="D34" s="678"/>
      <c r="E34" s="678"/>
      <c r="F34" s="678">
        <f>SUM(B34:E34)</f>
        <v>641859.94332649023</v>
      </c>
    </row>
    <row r="35" spans="1:6" x14ac:dyDescent="0.3">
      <c r="A35" s="676" t="s">
        <v>328</v>
      </c>
      <c r="B35" s="677">
        <f>+'10 Costos y Gastos'!L10</f>
        <v>1140204.1366543884</v>
      </c>
      <c r="C35" s="678"/>
      <c r="D35" s="678">
        <f>+'10 Costos y Gastos'!J8</f>
        <v>5115.9547167260744</v>
      </c>
      <c r="E35" s="678">
        <f>+'10 Costos y Gastos'!J7</f>
        <v>10924.851900840506</v>
      </c>
      <c r="F35" s="678">
        <f t="shared" ref="F35:F43" si="3">SUM(B35:E35)</f>
        <v>1156244.9432719548</v>
      </c>
    </row>
    <row r="36" spans="1:6" x14ac:dyDescent="0.3">
      <c r="A36" s="676" t="s">
        <v>329</v>
      </c>
      <c r="B36" s="678">
        <f>+'10 Costos y Gastos'!J19+'10 Costos y Gastos'!J34+'10 Costos y Gastos'!J36+'10 Costos y Gastos'!J6</f>
        <v>208887.11268174322</v>
      </c>
      <c r="C36" s="678"/>
      <c r="D36" s="676"/>
      <c r="E36" s="676"/>
      <c r="F36" s="678">
        <f t="shared" si="3"/>
        <v>208887.11268174322</v>
      </c>
    </row>
    <row r="37" spans="1:6" x14ac:dyDescent="0.3">
      <c r="A37" s="676" t="s">
        <v>330</v>
      </c>
      <c r="B37" s="678">
        <f>+'5 Demanda'!J34</f>
        <v>259160.2209975399</v>
      </c>
      <c r="C37" s="678"/>
      <c r="D37" s="676"/>
      <c r="E37" s="676"/>
      <c r="F37" s="678">
        <f t="shared" si="3"/>
        <v>259160.2209975399</v>
      </c>
    </row>
    <row r="38" spans="1:6" x14ac:dyDescent="0.3">
      <c r="A38" s="676" t="s">
        <v>324</v>
      </c>
      <c r="B38" s="678">
        <f>+'10 Costos y Gastos'!J15+'10 Costos y Gastos'!J20</f>
        <v>69454.650439457779</v>
      </c>
      <c r="C38" s="678">
        <f>+'10 Costos y Gastos'!J17</f>
        <v>158233.74635289761</v>
      </c>
      <c r="D38" s="685">
        <f>+'10 Costos y Gastos'!J18</f>
        <v>31646.749270579523</v>
      </c>
      <c r="E38" s="676"/>
      <c r="F38" s="678">
        <f t="shared" si="3"/>
        <v>259335.14606293492</v>
      </c>
    </row>
    <row r="39" spans="1:6" x14ac:dyDescent="0.3">
      <c r="E39" s="676" t="s">
        <v>331</v>
      </c>
      <c r="F39" s="678">
        <f>SUM(F34:F38)</f>
        <v>2525487.3663406628</v>
      </c>
    </row>
    <row r="40" spans="1:6" x14ac:dyDescent="0.3">
      <c r="A40" s="673" t="s">
        <v>332</v>
      </c>
      <c r="F40" s="679"/>
    </row>
    <row r="41" spans="1:6" x14ac:dyDescent="0.3">
      <c r="A41" s="676" t="s">
        <v>333</v>
      </c>
      <c r="B41" s="678">
        <f>+'4 Inversión Inicial'!B4</f>
        <v>300</v>
      </c>
      <c r="C41" s="678"/>
      <c r="D41" s="676"/>
      <c r="E41" s="676"/>
      <c r="F41" s="678">
        <f t="shared" si="3"/>
        <v>300</v>
      </c>
    </row>
    <row r="42" spans="1:6" x14ac:dyDescent="0.3">
      <c r="A42" s="676" t="s">
        <v>334</v>
      </c>
      <c r="B42" s="678">
        <f>+'4 Inversión Inicial'!C5+SUM('3 Recursos físicos'!C183:I183)+SUM('5 Demanda'!B105:I105)</f>
        <v>84675.215326877922</v>
      </c>
      <c r="C42" s="676"/>
      <c r="D42" s="676"/>
      <c r="E42" s="676"/>
      <c r="F42" s="678">
        <f t="shared" si="3"/>
        <v>84675.215326877922</v>
      </c>
    </row>
    <row r="43" spans="1:6" x14ac:dyDescent="0.3">
      <c r="A43" s="676" t="s">
        <v>335</v>
      </c>
      <c r="B43" s="678">
        <f>+'3 Recursos físicos'!E10</f>
        <v>0</v>
      </c>
      <c r="C43" s="676"/>
      <c r="D43" s="676"/>
      <c r="E43" s="676"/>
      <c r="F43" s="678">
        <f t="shared" si="3"/>
        <v>0</v>
      </c>
    </row>
    <row r="44" spans="1:6" x14ac:dyDescent="0.3">
      <c r="E44" s="681" t="s">
        <v>331</v>
      </c>
      <c r="F44" s="682">
        <f>SUM(F41:F43)</f>
        <v>84975.215326877922</v>
      </c>
    </row>
    <row r="45" spans="1:6" x14ac:dyDescent="0.3">
      <c r="A45" s="676" t="s">
        <v>325</v>
      </c>
      <c r="B45" s="683">
        <f>+B34+B35+B36+B37+B38+B41+B42+B43</f>
        <v>2404541.2794264974</v>
      </c>
      <c r="C45" s="683">
        <f>+C34+C35+C36+C37+C38+C41+C42+C43</f>
        <v>158233.74635289761</v>
      </c>
      <c r="D45" s="683">
        <f>+D34+D35+D36+D37+D38+D41+D42+D43</f>
        <v>36762.703987305598</v>
      </c>
      <c r="E45" s="683">
        <f>+E34+E35+E36+E37+E38+E41+E42+E43</f>
        <v>10924.851900840506</v>
      </c>
      <c r="F45" s="684">
        <f>+F44+F39</f>
        <v>2610462.5816675406</v>
      </c>
    </row>
  </sheetData>
  <mergeCells count="2">
    <mergeCell ref="A6:F6"/>
    <mergeCell ref="A8:F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5"/>
  <sheetViews>
    <sheetView showGridLines="0" tabSelected="1" topLeftCell="B28" zoomScaleNormal="100" workbookViewId="0">
      <selection activeCell="L31" sqref="L31"/>
    </sheetView>
  </sheetViews>
  <sheetFormatPr baseColWidth="10" defaultColWidth="10.6640625" defaultRowHeight="10.199999999999999" x14ac:dyDescent="0.3"/>
  <cols>
    <col min="1" max="1" width="29.44140625" style="48" customWidth="1"/>
    <col min="2" max="10" width="15.44140625" style="48" customWidth="1"/>
    <col min="11" max="11" width="13.5546875" style="48" customWidth="1"/>
    <col min="12" max="12" width="12.109375" style="48" customWidth="1"/>
    <col min="13" max="13" width="10.44140625" style="48" customWidth="1"/>
    <col min="14" max="262" width="11.44140625" style="48"/>
    <col min="263" max="263" width="29.44140625" style="48" bestFit="1" customWidth="1"/>
    <col min="264" max="268" width="13.5546875" style="48" customWidth="1"/>
    <col min="269" max="518" width="11.44140625" style="48"/>
    <col min="519" max="519" width="29.44140625" style="48" bestFit="1" customWidth="1"/>
    <col min="520" max="524" width="13.5546875" style="48" customWidth="1"/>
    <col min="525" max="774" width="11.44140625" style="48"/>
    <col min="775" max="775" width="29.44140625" style="48" bestFit="1" customWidth="1"/>
    <col min="776" max="780" width="13.5546875" style="48" customWidth="1"/>
    <col min="781" max="1030" width="11.44140625" style="48"/>
    <col min="1031" max="1031" width="29.44140625" style="48" bestFit="1" customWidth="1"/>
    <col min="1032" max="1036" width="13.5546875" style="48" customWidth="1"/>
    <col min="1037" max="1286" width="11.44140625" style="48"/>
    <col min="1287" max="1287" width="29.44140625" style="48" bestFit="1" customWidth="1"/>
    <col min="1288" max="1292" width="13.5546875" style="48" customWidth="1"/>
    <col min="1293" max="1542" width="11.44140625" style="48"/>
    <col min="1543" max="1543" width="29.44140625" style="48" bestFit="1" customWidth="1"/>
    <col min="1544" max="1548" width="13.5546875" style="48" customWidth="1"/>
    <col min="1549" max="1798" width="11.44140625" style="48"/>
    <col min="1799" max="1799" width="29.44140625" style="48" bestFit="1" customWidth="1"/>
    <col min="1800" max="1804" width="13.5546875" style="48" customWidth="1"/>
    <col min="1805" max="2054" width="11.44140625" style="48"/>
    <col min="2055" max="2055" width="29.44140625" style="48" bestFit="1" customWidth="1"/>
    <col min="2056" max="2060" width="13.5546875" style="48" customWidth="1"/>
    <col min="2061" max="2310" width="11.44140625" style="48"/>
    <col min="2311" max="2311" width="29.44140625" style="48" bestFit="1" customWidth="1"/>
    <col min="2312" max="2316" width="13.5546875" style="48" customWidth="1"/>
    <col min="2317" max="2566" width="11.44140625" style="48"/>
    <col min="2567" max="2567" width="29.44140625" style="48" bestFit="1" customWidth="1"/>
    <col min="2568" max="2572" width="13.5546875" style="48" customWidth="1"/>
    <col min="2573" max="2822" width="11.44140625" style="48"/>
    <col min="2823" max="2823" width="29.44140625" style="48" bestFit="1" customWidth="1"/>
    <col min="2824" max="2828" width="13.5546875" style="48" customWidth="1"/>
    <col min="2829" max="3078" width="11.44140625" style="48"/>
    <col min="3079" max="3079" width="29.44140625" style="48" bestFit="1" customWidth="1"/>
    <col min="3080" max="3084" width="13.5546875" style="48" customWidth="1"/>
    <col min="3085" max="3334" width="11.44140625" style="48"/>
    <col min="3335" max="3335" width="29.44140625" style="48" bestFit="1" customWidth="1"/>
    <col min="3336" max="3340" width="13.5546875" style="48" customWidth="1"/>
    <col min="3341" max="3590" width="11.44140625" style="48"/>
    <col min="3591" max="3591" width="29.44140625" style="48" bestFit="1" customWidth="1"/>
    <col min="3592" max="3596" width="13.5546875" style="48" customWidth="1"/>
    <col min="3597" max="3846" width="11.44140625" style="48"/>
    <col min="3847" max="3847" width="29.44140625" style="48" bestFit="1" customWidth="1"/>
    <col min="3848" max="3852" width="13.5546875" style="48" customWidth="1"/>
    <col min="3853" max="4102" width="11.44140625" style="48"/>
    <col min="4103" max="4103" width="29.44140625" style="48" bestFit="1" customWidth="1"/>
    <col min="4104" max="4108" width="13.5546875" style="48" customWidth="1"/>
    <col min="4109" max="4358" width="11.44140625" style="48"/>
    <col min="4359" max="4359" width="29.44140625" style="48" bestFit="1" customWidth="1"/>
    <col min="4360" max="4364" width="13.5546875" style="48" customWidth="1"/>
    <col min="4365" max="4614" width="11.44140625" style="48"/>
    <col min="4615" max="4615" width="29.44140625" style="48" bestFit="1" customWidth="1"/>
    <col min="4616" max="4620" width="13.5546875" style="48" customWidth="1"/>
    <col min="4621" max="4870" width="11.44140625" style="48"/>
    <col min="4871" max="4871" width="29.44140625" style="48" bestFit="1" customWidth="1"/>
    <col min="4872" max="4876" width="13.5546875" style="48" customWidth="1"/>
    <col min="4877" max="5126" width="11.44140625" style="48"/>
    <col min="5127" max="5127" width="29.44140625" style="48" bestFit="1" customWidth="1"/>
    <col min="5128" max="5132" width="13.5546875" style="48" customWidth="1"/>
    <col min="5133" max="5382" width="11.44140625" style="48"/>
    <col min="5383" max="5383" width="29.44140625" style="48" bestFit="1" customWidth="1"/>
    <col min="5384" max="5388" width="13.5546875" style="48" customWidth="1"/>
    <col min="5389" max="5638" width="11.44140625" style="48"/>
    <col min="5639" max="5639" width="29.44140625" style="48" bestFit="1" customWidth="1"/>
    <col min="5640" max="5644" width="13.5546875" style="48" customWidth="1"/>
    <col min="5645" max="5894" width="11.44140625" style="48"/>
    <col min="5895" max="5895" width="29.44140625" style="48" bestFit="1" customWidth="1"/>
    <col min="5896" max="5900" width="13.5546875" style="48" customWidth="1"/>
    <col min="5901" max="6150" width="11.44140625" style="48"/>
    <col min="6151" max="6151" width="29.44140625" style="48" bestFit="1" customWidth="1"/>
    <col min="6152" max="6156" width="13.5546875" style="48" customWidth="1"/>
    <col min="6157" max="6406" width="11.44140625" style="48"/>
    <col min="6407" max="6407" width="29.44140625" style="48" bestFit="1" customWidth="1"/>
    <col min="6408" max="6412" width="13.5546875" style="48" customWidth="1"/>
    <col min="6413" max="6662" width="11.44140625" style="48"/>
    <col min="6663" max="6663" width="29.44140625" style="48" bestFit="1" customWidth="1"/>
    <col min="6664" max="6668" width="13.5546875" style="48" customWidth="1"/>
    <col min="6669" max="6918" width="11.44140625" style="48"/>
    <col min="6919" max="6919" width="29.44140625" style="48" bestFit="1" customWidth="1"/>
    <col min="6920" max="6924" width="13.5546875" style="48" customWidth="1"/>
    <col min="6925" max="7174" width="11.44140625" style="48"/>
    <col min="7175" max="7175" width="29.44140625" style="48" bestFit="1" customWidth="1"/>
    <col min="7176" max="7180" width="13.5546875" style="48" customWidth="1"/>
    <col min="7181" max="7430" width="11.44140625" style="48"/>
    <col min="7431" max="7431" width="29.44140625" style="48" bestFit="1" customWidth="1"/>
    <col min="7432" max="7436" width="13.5546875" style="48" customWidth="1"/>
    <col min="7437" max="7686" width="11.44140625" style="48"/>
    <col min="7687" max="7687" width="29.44140625" style="48" bestFit="1" customWidth="1"/>
    <col min="7688" max="7692" width="13.5546875" style="48" customWidth="1"/>
    <col min="7693" max="7942" width="11.44140625" style="48"/>
    <col min="7943" max="7943" width="29.44140625" style="48" bestFit="1" customWidth="1"/>
    <col min="7944" max="7948" width="13.5546875" style="48" customWidth="1"/>
    <col min="7949" max="8198" width="11.44140625" style="48"/>
    <col min="8199" max="8199" width="29.44140625" style="48" bestFit="1" customWidth="1"/>
    <col min="8200" max="8204" width="13.5546875" style="48" customWidth="1"/>
    <col min="8205" max="8454" width="11.44140625" style="48"/>
    <col min="8455" max="8455" width="29.44140625" style="48" bestFit="1" customWidth="1"/>
    <col min="8456" max="8460" width="13.5546875" style="48" customWidth="1"/>
    <col min="8461" max="8710" width="11.44140625" style="48"/>
    <col min="8711" max="8711" width="29.44140625" style="48" bestFit="1" customWidth="1"/>
    <col min="8712" max="8716" width="13.5546875" style="48" customWidth="1"/>
    <col min="8717" max="8966" width="11.44140625" style="48"/>
    <col min="8967" max="8967" width="29.44140625" style="48" bestFit="1" customWidth="1"/>
    <col min="8968" max="8972" width="13.5546875" style="48" customWidth="1"/>
    <col min="8973" max="9222" width="11.44140625" style="48"/>
    <col min="9223" max="9223" width="29.44140625" style="48" bestFit="1" customWidth="1"/>
    <col min="9224" max="9228" width="13.5546875" style="48" customWidth="1"/>
    <col min="9229" max="9478" width="11.44140625" style="48"/>
    <col min="9479" max="9479" width="29.44140625" style="48" bestFit="1" customWidth="1"/>
    <col min="9480" max="9484" width="13.5546875" style="48" customWidth="1"/>
    <col min="9485" max="9734" width="11.44140625" style="48"/>
    <col min="9735" max="9735" width="29.44140625" style="48" bestFit="1" customWidth="1"/>
    <col min="9736" max="9740" width="13.5546875" style="48" customWidth="1"/>
    <col min="9741" max="9990" width="11.44140625" style="48"/>
    <col min="9991" max="9991" width="29.44140625" style="48" bestFit="1" customWidth="1"/>
    <col min="9992" max="9996" width="13.5546875" style="48" customWidth="1"/>
    <col min="9997" max="10246" width="11.44140625" style="48"/>
    <col min="10247" max="10247" width="29.44140625" style="48" bestFit="1" customWidth="1"/>
    <col min="10248" max="10252" width="13.5546875" style="48" customWidth="1"/>
    <col min="10253" max="10502" width="11.44140625" style="48"/>
    <col min="10503" max="10503" width="29.44140625" style="48" bestFit="1" customWidth="1"/>
    <col min="10504" max="10508" width="13.5546875" style="48" customWidth="1"/>
    <col min="10509" max="10758" width="11.44140625" style="48"/>
    <col min="10759" max="10759" width="29.44140625" style="48" bestFit="1" customWidth="1"/>
    <col min="10760" max="10764" width="13.5546875" style="48" customWidth="1"/>
    <col min="10765" max="11014" width="11.44140625" style="48"/>
    <col min="11015" max="11015" width="29.44140625" style="48" bestFit="1" customWidth="1"/>
    <col min="11016" max="11020" width="13.5546875" style="48" customWidth="1"/>
    <col min="11021" max="11270" width="11.44140625" style="48"/>
    <col min="11271" max="11271" width="29.44140625" style="48" bestFit="1" customWidth="1"/>
    <col min="11272" max="11276" width="13.5546875" style="48" customWidth="1"/>
    <col min="11277" max="11526" width="11.44140625" style="48"/>
    <col min="11527" max="11527" width="29.44140625" style="48" bestFit="1" customWidth="1"/>
    <col min="11528" max="11532" width="13.5546875" style="48" customWidth="1"/>
    <col min="11533" max="11782" width="11.44140625" style="48"/>
    <col min="11783" max="11783" width="29.44140625" style="48" bestFit="1" customWidth="1"/>
    <col min="11784" max="11788" width="13.5546875" style="48" customWidth="1"/>
    <col min="11789" max="12038" width="11.44140625" style="48"/>
    <col min="12039" max="12039" width="29.44140625" style="48" bestFit="1" customWidth="1"/>
    <col min="12040" max="12044" width="13.5546875" style="48" customWidth="1"/>
    <col min="12045" max="12294" width="11.44140625" style="48"/>
    <col min="12295" max="12295" width="29.44140625" style="48" bestFit="1" customWidth="1"/>
    <col min="12296" max="12300" width="13.5546875" style="48" customWidth="1"/>
    <col min="12301" max="12550" width="11.44140625" style="48"/>
    <col min="12551" max="12551" width="29.44140625" style="48" bestFit="1" customWidth="1"/>
    <col min="12552" max="12556" width="13.5546875" style="48" customWidth="1"/>
    <col min="12557" max="12806" width="11.44140625" style="48"/>
    <col min="12807" max="12807" width="29.44140625" style="48" bestFit="1" customWidth="1"/>
    <col min="12808" max="12812" width="13.5546875" style="48" customWidth="1"/>
    <col min="12813" max="13062" width="11.44140625" style="48"/>
    <col min="13063" max="13063" width="29.44140625" style="48" bestFit="1" customWidth="1"/>
    <col min="13064" max="13068" width="13.5546875" style="48" customWidth="1"/>
    <col min="13069" max="13318" width="11.44140625" style="48"/>
    <col min="13319" max="13319" width="29.44140625" style="48" bestFit="1" customWidth="1"/>
    <col min="13320" max="13324" width="13.5546875" style="48" customWidth="1"/>
    <col min="13325" max="13574" width="11.44140625" style="48"/>
    <col min="13575" max="13575" width="29.44140625" style="48" bestFit="1" customWidth="1"/>
    <col min="13576" max="13580" width="13.5546875" style="48" customWidth="1"/>
    <col min="13581" max="13830" width="11.44140625" style="48"/>
    <col min="13831" max="13831" width="29.44140625" style="48" bestFit="1" customWidth="1"/>
    <col min="13832" max="13836" width="13.5546875" style="48" customWidth="1"/>
    <col min="13837" max="14086" width="11.44140625" style="48"/>
    <col min="14087" max="14087" width="29.44140625" style="48" bestFit="1" customWidth="1"/>
    <col min="14088" max="14092" width="13.5546875" style="48" customWidth="1"/>
    <col min="14093" max="14342" width="11.44140625" style="48"/>
    <col min="14343" max="14343" width="29.44140625" style="48" bestFit="1" customWidth="1"/>
    <col min="14344" max="14348" width="13.5546875" style="48" customWidth="1"/>
    <col min="14349" max="14598" width="11.44140625" style="48"/>
    <col min="14599" max="14599" width="29.44140625" style="48" bestFit="1" customWidth="1"/>
    <col min="14600" max="14604" width="13.5546875" style="48" customWidth="1"/>
    <col min="14605" max="14854" width="11.44140625" style="48"/>
    <col min="14855" max="14855" width="29.44140625" style="48" bestFit="1" customWidth="1"/>
    <col min="14856" max="14860" width="13.5546875" style="48" customWidth="1"/>
    <col min="14861" max="15110" width="11.44140625" style="48"/>
    <col min="15111" max="15111" width="29.44140625" style="48" bestFit="1" customWidth="1"/>
    <col min="15112" max="15116" width="13.5546875" style="48" customWidth="1"/>
    <col min="15117" max="15366" width="11.44140625" style="48"/>
    <col min="15367" max="15367" width="29.44140625" style="48" bestFit="1" customWidth="1"/>
    <col min="15368" max="15372" width="13.5546875" style="48" customWidth="1"/>
    <col min="15373" max="15622" width="11.44140625" style="48"/>
    <col min="15623" max="15623" width="29.44140625" style="48" bestFit="1" customWidth="1"/>
    <col min="15624" max="15628" width="13.5546875" style="48" customWidth="1"/>
    <col min="15629" max="15878" width="11.44140625" style="48"/>
    <col min="15879" max="15879" width="29.44140625" style="48" bestFit="1" customWidth="1"/>
    <col min="15880" max="15884" width="13.5546875" style="48" customWidth="1"/>
    <col min="15885" max="16134" width="11.44140625" style="48"/>
    <col min="16135" max="16135" width="29.44140625" style="48" bestFit="1" customWidth="1"/>
    <col min="16136" max="16140" width="13.5546875" style="48" customWidth="1"/>
    <col min="16141" max="16383" width="11.44140625" style="48"/>
    <col min="16384" max="16384" width="11.44140625" style="48" customWidth="1"/>
  </cols>
  <sheetData>
    <row r="1" spans="1:14" ht="29.25" customHeight="1" thickBot="1" x14ac:dyDescent="0.35">
      <c r="A1" s="962" t="s">
        <v>129</v>
      </c>
      <c r="B1" s="963"/>
      <c r="C1" s="963"/>
      <c r="D1" s="963"/>
      <c r="E1" s="963"/>
      <c r="F1" s="963"/>
      <c r="G1" s="963"/>
      <c r="H1" s="963"/>
      <c r="I1" s="969"/>
      <c r="J1" s="764"/>
      <c r="K1" s="47"/>
      <c r="L1" s="47"/>
      <c r="M1" s="1052" t="s">
        <v>130</v>
      </c>
      <c r="N1" s="1053"/>
    </row>
    <row r="2" spans="1:14" ht="12" customHeight="1" thickBot="1" x14ac:dyDescent="0.35">
      <c r="A2" s="872" t="s">
        <v>1</v>
      </c>
      <c r="B2" s="873">
        <f>+'1 Estudiantes'!B3</f>
        <v>2023</v>
      </c>
      <c r="C2" s="873">
        <f>+'1 Estudiantes'!C3</f>
        <v>2023</v>
      </c>
      <c r="D2" s="873">
        <f>+'1 Estudiantes'!D3</f>
        <v>2024</v>
      </c>
      <c r="E2" s="873">
        <f>+'1 Estudiantes'!E3</f>
        <v>2024</v>
      </c>
      <c r="F2" s="873">
        <f>+'1 Estudiantes'!F3</f>
        <v>2025</v>
      </c>
      <c r="G2" s="873">
        <f>+'1 Estudiantes'!G3</f>
        <v>2025</v>
      </c>
      <c r="H2" s="873">
        <f>+'1 Estudiantes'!H3</f>
        <v>2026</v>
      </c>
      <c r="I2" s="870">
        <f>+'1 Estudiantes'!I3</f>
        <v>2026</v>
      </c>
      <c r="J2" s="764"/>
      <c r="K2" s="47"/>
      <c r="L2" s="47"/>
      <c r="M2" s="49" t="s">
        <v>131</v>
      </c>
      <c r="N2" s="530">
        <v>870000</v>
      </c>
    </row>
    <row r="3" spans="1:14" ht="15.75" customHeight="1" x14ac:dyDescent="0.3">
      <c r="A3" s="644">
        <v>1</v>
      </c>
      <c r="B3" s="82">
        <f>+'1 Estudiantes'!B4</f>
        <v>30</v>
      </c>
      <c r="C3" s="82">
        <f>+'1 Estudiantes'!C4</f>
        <v>60</v>
      </c>
      <c r="D3" s="82">
        <f>+'1 Estudiantes'!D4</f>
        <v>30</v>
      </c>
      <c r="E3" s="82">
        <f>+'1 Estudiantes'!E4</f>
        <v>60</v>
      </c>
      <c r="F3" s="82">
        <f>+'1 Estudiantes'!F4</f>
        <v>30</v>
      </c>
      <c r="G3" s="82">
        <f>+'1 Estudiantes'!G4</f>
        <v>60</v>
      </c>
      <c r="H3" s="82">
        <f>+'1 Estudiantes'!H4</f>
        <v>30</v>
      </c>
      <c r="I3" s="83">
        <f>+'1 Estudiantes'!I4</f>
        <v>60</v>
      </c>
      <c r="J3" s="71"/>
      <c r="K3" s="50"/>
      <c r="L3" s="50"/>
      <c r="M3" s="51" t="s">
        <v>132</v>
      </c>
      <c r="N3" s="52">
        <f>+N2/2</f>
        <v>435000</v>
      </c>
    </row>
    <row r="4" spans="1:14" ht="12" customHeight="1" thickBot="1" x14ac:dyDescent="0.35">
      <c r="A4" s="645">
        <v>2</v>
      </c>
      <c r="B4" s="68">
        <f>+'1 Estudiantes'!B5</f>
        <v>0</v>
      </c>
      <c r="C4" s="68">
        <f>+'1 Estudiantes'!C5</f>
        <v>26.94</v>
      </c>
      <c r="D4" s="68">
        <f>+'1 Estudiantes'!D5</f>
        <v>53.88</v>
      </c>
      <c r="E4" s="68">
        <f>+'1 Estudiantes'!E5</f>
        <v>26.94</v>
      </c>
      <c r="F4" s="68">
        <f>+'1 Estudiantes'!F5</f>
        <v>53.88</v>
      </c>
      <c r="G4" s="68">
        <f>+'1 Estudiantes'!G5</f>
        <v>26.94</v>
      </c>
      <c r="H4" s="68">
        <f>+'1 Estudiantes'!H5</f>
        <v>53.88</v>
      </c>
      <c r="I4" s="69">
        <f>+'1 Estudiantes'!I5</f>
        <v>26.94</v>
      </c>
      <c r="J4" s="71"/>
      <c r="K4" s="50"/>
      <c r="L4" s="50"/>
      <c r="M4" s="51"/>
      <c r="N4" s="52"/>
    </row>
    <row r="5" spans="1:14" ht="12" customHeight="1" x14ac:dyDescent="0.3">
      <c r="A5" s="644">
        <v>3</v>
      </c>
      <c r="B5" s="646">
        <f>+'1 Estudiantes'!B6</f>
        <v>0</v>
      </c>
      <c r="C5" s="646">
        <f>+'1 Estudiantes'!C6</f>
        <v>0</v>
      </c>
      <c r="D5" s="646">
        <f>+'1 Estudiantes'!D6</f>
        <v>24.192120000000003</v>
      </c>
      <c r="E5" s="646">
        <f>+'1 Estudiantes'!E6</f>
        <v>48.384240000000005</v>
      </c>
      <c r="F5" s="646">
        <f>+'1 Estudiantes'!F6</f>
        <v>24.192120000000003</v>
      </c>
      <c r="G5" s="646">
        <f>+'1 Estudiantes'!G6</f>
        <v>48.384240000000005</v>
      </c>
      <c r="H5" s="646">
        <f>+'1 Estudiantes'!H6</f>
        <v>24.192120000000003</v>
      </c>
      <c r="I5" s="786">
        <f>+'1 Estudiantes'!I6</f>
        <v>48.384240000000005</v>
      </c>
      <c r="J5" s="71"/>
      <c r="K5" s="50"/>
      <c r="L5" s="50"/>
      <c r="M5" s="51"/>
      <c r="N5" s="52"/>
    </row>
    <row r="6" spans="1:14" ht="12" customHeight="1" thickBot="1" x14ac:dyDescent="0.35">
      <c r="A6" s="645">
        <v>4</v>
      </c>
      <c r="B6" s="68">
        <f>+'1 Estudiantes'!B7</f>
        <v>0</v>
      </c>
      <c r="C6" s="68">
        <f>+'1 Estudiantes'!C7</f>
        <v>0</v>
      </c>
      <c r="D6" s="68">
        <f>+'1 Estudiantes'!D7</f>
        <v>0</v>
      </c>
      <c r="E6" s="68">
        <f>+'1 Estudiantes'!E7</f>
        <v>21.724523760000004</v>
      </c>
      <c r="F6" s="68">
        <f>+'1 Estudiantes'!F7</f>
        <v>43.449047520000008</v>
      </c>
      <c r="G6" s="68">
        <f>+'1 Estudiantes'!G7</f>
        <v>21.724523760000004</v>
      </c>
      <c r="H6" s="68">
        <f>+'1 Estudiantes'!H7</f>
        <v>43.449047520000008</v>
      </c>
      <c r="I6" s="69">
        <f>+'1 Estudiantes'!I7</f>
        <v>21.724523760000004</v>
      </c>
      <c r="J6" s="71"/>
      <c r="K6" s="50"/>
      <c r="L6" s="50"/>
      <c r="M6" s="51"/>
      <c r="N6" s="52"/>
    </row>
    <row r="7" spans="1:14" ht="12" customHeight="1" x14ac:dyDescent="0.3">
      <c r="A7" s="644">
        <v>5</v>
      </c>
      <c r="B7" s="646">
        <f>+'1 Estudiantes'!B8</f>
        <v>0</v>
      </c>
      <c r="C7" s="646">
        <f>+'1 Estudiantes'!C8</f>
        <v>0</v>
      </c>
      <c r="D7" s="646">
        <f>+'1 Estudiantes'!D8</f>
        <v>0</v>
      </c>
      <c r="E7" s="646">
        <f>+'1 Estudiantes'!E8</f>
        <v>0</v>
      </c>
      <c r="F7" s="646">
        <f>+'1 Estudiantes'!F8</f>
        <v>19.508622336480006</v>
      </c>
      <c r="G7" s="646">
        <f>+'1 Estudiantes'!G8</f>
        <v>39.017244672960011</v>
      </c>
      <c r="H7" s="646">
        <f>+'1 Estudiantes'!H8</f>
        <v>19.508622336480006</v>
      </c>
      <c r="I7" s="786">
        <f>+'1 Estudiantes'!I8</f>
        <v>39.017244672960011</v>
      </c>
      <c r="J7" s="71"/>
      <c r="K7" s="50"/>
      <c r="L7" s="50"/>
      <c r="M7" s="51"/>
      <c r="N7" s="52"/>
    </row>
    <row r="8" spans="1:14" ht="12" customHeight="1" thickBot="1" x14ac:dyDescent="0.35">
      <c r="A8" s="645">
        <v>6</v>
      </c>
      <c r="B8" s="68">
        <f>+'1 Estudiantes'!B9</f>
        <v>0</v>
      </c>
      <c r="C8" s="68">
        <f>+'1 Estudiantes'!C9</f>
        <v>0</v>
      </c>
      <c r="D8" s="68">
        <f>+'1 Estudiantes'!D9</f>
        <v>0</v>
      </c>
      <c r="E8" s="68">
        <f>+'1 Estudiantes'!E9</f>
        <v>0</v>
      </c>
      <c r="F8" s="68">
        <f>+'1 Estudiantes'!F9</f>
        <v>0</v>
      </c>
      <c r="G8" s="68">
        <f>+'1 Estudiantes'!G9</f>
        <v>18.482468801581156</v>
      </c>
      <c r="H8" s="68">
        <f>+'1 Estudiantes'!H9</f>
        <v>36.964937603162312</v>
      </c>
      <c r="I8" s="69">
        <f>+'1 Estudiantes'!I9</f>
        <v>18.482468801581156</v>
      </c>
      <c r="J8" s="71"/>
      <c r="K8" s="50"/>
      <c r="L8" s="50"/>
      <c r="M8" s="51"/>
      <c r="N8" s="52"/>
    </row>
    <row r="9" spans="1:14" ht="12" customHeight="1" x14ac:dyDescent="0.3">
      <c r="A9" s="644">
        <v>7</v>
      </c>
      <c r="B9" s="204">
        <f>+'1 Estudiantes'!B10</f>
        <v>0</v>
      </c>
      <c r="C9" s="204">
        <f>+'1 Estudiantes'!C10</f>
        <v>0</v>
      </c>
      <c r="D9" s="204">
        <f>+'1 Estudiantes'!D10</f>
        <v>0</v>
      </c>
      <c r="E9" s="204">
        <f>+'1 Estudiantes'!E10</f>
        <v>0</v>
      </c>
      <c r="F9" s="204">
        <f>+'1 Estudiantes'!F10</f>
        <v>0</v>
      </c>
      <c r="G9" s="55">
        <f>+'1 Estudiantes'!G10</f>
        <v>0</v>
      </c>
      <c r="H9" s="646">
        <f>+'1 Estudiantes'!H10</f>
        <v>17.510290942617988</v>
      </c>
      <c r="I9" s="786">
        <f>+'1 Estudiantes'!I10</f>
        <v>35.020581885235977</v>
      </c>
      <c r="J9" s="71"/>
      <c r="K9" s="50"/>
      <c r="L9" s="50"/>
      <c r="M9" s="51"/>
      <c r="N9" s="52"/>
    </row>
    <row r="10" spans="1:14" ht="12" customHeight="1" x14ac:dyDescent="0.3">
      <c r="A10" s="645">
        <v>8</v>
      </c>
      <c r="B10" s="55">
        <f>+'1 Estudiantes'!B11</f>
        <v>0</v>
      </c>
      <c r="C10" s="55">
        <f>+'1 Estudiantes'!C11</f>
        <v>0</v>
      </c>
      <c r="D10" s="55">
        <f>+'1 Estudiantes'!D11</f>
        <v>0</v>
      </c>
      <c r="E10" s="55">
        <f>+'1 Estudiantes'!E11</f>
        <v>0</v>
      </c>
      <c r="F10" s="55">
        <f>+'1 Estudiantes'!F11</f>
        <v>0</v>
      </c>
      <c r="G10" s="55">
        <f>+'1 Estudiantes'!G11</f>
        <v>0</v>
      </c>
      <c r="H10" s="55">
        <f>+'1 Estudiantes'!H11</f>
        <v>0</v>
      </c>
      <c r="I10" s="56">
        <f>+'1 Estudiantes'!I11</f>
        <v>17.510290942617988</v>
      </c>
      <c r="J10" s="50"/>
      <c r="K10" s="50"/>
      <c r="L10" s="50"/>
      <c r="M10" s="51"/>
      <c r="N10" s="52"/>
    </row>
    <row r="11" spans="1:14" ht="12" customHeight="1" thickBot="1" x14ac:dyDescent="0.35">
      <c r="A11" s="493" t="s">
        <v>133</v>
      </c>
      <c r="B11" s="494">
        <f>SUM(B3:B10)</f>
        <v>30</v>
      </c>
      <c r="C11" s="494">
        <f t="shared" ref="C11:I11" si="0">SUM(C3:C10)</f>
        <v>86.94</v>
      </c>
      <c r="D11" s="494">
        <f t="shared" si="0"/>
        <v>108.07212</v>
      </c>
      <c r="E11" s="494">
        <f t="shared" si="0"/>
        <v>157.04876376000001</v>
      </c>
      <c r="F11" s="494">
        <f t="shared" si="0"/>
        <v>171.02978985648002</v>
      </c>
      <c r="G11" s="494">
        <f t="shared" si="0"/>
        <v>214.54847723454117</v>
      </c>
      <c r="H11" s="494">
        <f t="shared" si="0"/>
        <v>225.5050184022603</v>
      </c>
      <c r="I11" s="495">
        <f t="shared" si="0"/>
        <v>267.07935006239512</v>
      </c>
      <c r="J11" s="763"/>
      <c r="K11" s="53"/>
      <c r="L11" s="53"/>
      <c r="M11" s="51" t="s">
        <v>134</v>
      </c>
      <c r="N11" s="52">
        <f>+N2-N3</f>
        <v>435000</v>
      </c>
    </row>
    <row r="12" spans="1:14" ht="30" customHeight="1" thickBot="1" x14ac:dyDescent="0.35"/>
    <row r="13" spans="1:14" ht="30" customHeight="1" thickBot="1" x14ac:dyDescent="0.35">
      <c r="A13" s="962" t="s">
        <v>135</v>
      </c>
      <c r="B13" s="963"/>
      <c r="C13" s="963"/>
      <c r="D13" s="963"/>
      <c r="E13" s="963"/>
      <c r="F13" s="963"/>
      <c r="G13" s="963"/>
      <c r="H13" s="963"/>
      <c r="I13" s="969"/>
      <c r="J13" s="764"/>
    </row>
    <row r="14" spans="1:14" ht="15.6" x14ac:dyDescent="0.3">
      <c r="A14" s="861" t="s">
        <v>1</v>
      </c>
      <c r="B14" s="158">
        <f t="shared" ref="B14:I14" si="1">+B2</f>
        <v>2023</v>
      </c>
      <c r="C14" s="158">
        <f t="shared" si="1"/>
        <v>2023</v>
      </c>
      <c r="D14" s="158">
        <f t="shared" si="1"/>
        <v>2024</v>
      </c>
      <c r="E14" s="158">
        <f t="shared" si="1"/>
        <v>2024</v>
      </c>
      <c r="F14" s="158">
        <f t="shared" si="1"/>
        <v>2025</v>
      </c>
      <c r="G14" s="158">
        <f t="shared" si="1"/>
        <v>2025</v>
      </c>
      <c r="H14" s="158">
        <f t="shared" si="1"/>
        <v>2026</v>
      </c>
      <c r="I14" s="159">
        <f t="shared" si="1"/>
        <v>2026</v>
      </c>
      <c r="J14" s="764"/>
    </row>
    <row r="15" spans="1:14" x14ac:dyDescent="0.3">
      <c r="A15" s="121" t="str">
        <f>+'1 Estudiantes'!A25</f>
        <v>Tiempo Completo PhD</v>
      </c>
      <c r="B15" s="64">
        <f>+'1 Estudiantes'!B25</f>
        <v>0.24</v>
      </c>
      <c r="C15" s="64">
        <f>+'1 Estudiantes'!C25</f>
        <v>0.8</v>
      </c>
      <c r="D15" s="64">
        <f>+'1 Estudiantes'!D25</f>
        <v>1.0666666666666667</v>
      </c>
      <c r="E15" s="64">
        <f>+'1 Estudiantes'!E25</f>
        <v>1.6266666666666667</v>
      </c>
      <c r="F15" s="64">
        <f>+'1 Estudiantes'!F25</f>
        <v>1.9066666666666667</v>
      </c>
      <c r="G15" s="64">
        <f>+'1 Estudiantes'!G25</f>
        <v>2.44</v>
      </c>
      <c r="H15" s="64">
        <f>+'1 Estudiantes'!H25</f>
        <v>2.6933333333333334</v>
      </c>
      <c r="I15" s="65">
        <f>+'1 Estudiantes'!I25</f>
        <v>3.12</v>
      </c>
      <c r="J15" s="71"/>
    </row>
    <row r="16" spans="1:14" x14ac:dyDescent="0.3">
      <c r="A16" s="121" t="str">
        <f>+'1 Estudiantes'!A26</f>
        <v>Tiempo Completo Mgs.</v>
      </c>
      <c r="B16" s="64">
        <f>+'1 Estudiantes'!B26</f>
        <v>0.6</v>
      </c>
      <c r="C16" s="64">
        <f>+'1 Estudiantes'!C26</f>
        <v>2</v>
      </c>
      <c r="D16" s="64">
        <f>+'1 Estudiantes'!D26</f>
        <v>2.6666666666666665</v>
      </c>
      <c r="E16" s="64">
        <f>+'1 Estudiantes'!E26</f>
        <v>4.0666666666666664</v>
      </c>
      <c r="F16" s="64">
        <f>+'1 Estudiantes'!F26</f>
        <v>4.7666666666666666</v>
      </c>
      <c r="G16" s="64">
        <f>+'1 Estudiantes'!G26</f>
        <v>6.1</v>
      </c>
      <c r="H16" s="64">
        <f>+'1 Estudiantes'!H26</f>
        <v>6.7333333333333325</v>
      </c>
      <c r="I16" s="65">
        <f>+'1 Estudiantes'!I26</f>
        <v>7.8</v>
      </c>
      <c r="J16" s="71"/>
    </row>
    <row r="17" spans="1:10" x14ac:dyDescent="0.3">
      <c r="A17" s="121" t="str">
        <f>+'1 Estudiantes'!A27</f>
        <v>Medio Tiempo</v>
      </c>
      <c r="B17" s="64">
        <f>+'1 Estudiantes'!B27</f>
        <v>0</v>
      </c>
      <c r="C17" s="64">
        <f>+'1 Estudiantes'!C27</f>
        <v>0</v>
      </c>
      <c r="D17" s="64">
        <f>+'1 Estudiantes'!D27</f>
        <v>0</v>
      </c>
      <c r="E17" s="64">
        <f>+'1 Estudiantes'!E27</f>
        <v>0</v>
      </c>
      <c r="F17" s="64">
        <f>+'1 Estudiantes'!F27</f>
        <v>0</v>
      </c>
      <c r="G17" s="64">
        <f>+'1 Estudiantes'!G27</f>
        <v>0</v>
      </c>
      <c r="H17" s="64">
        <f>+'1 Estudiantes'!H27</f>
        <v>0</v>
      </c>
      <c r="I17" s="65">
        <f>+'1 Estudiantes'!I27</f>
        <v>0</v>
      </c>
      <c r="J17" s="71"/>
    </row>
    <row r="18" spans="1:10" x14ac:dyDescent="0.3">
      <c r="A18" s="121" t="str">
        <f>+'1 Estudiantes'!A28</f>
        <v>Tiempo Parcial</v>
      </c>
      <c r="B18" s="64">
        <f>+'1 Estudiantes'!B28</f>
        <v>0.16000000000000003</v>
      </c>
      <c r="C18" s="64">
        <f>+'1 Estudiantes'!C28</f>
        <v>0.53333333333333344</v>
      </c>
      <c r="D18" s="64">
        <f>+'1 Estudiantes'!D28</f>
        <v>0.71111111111111147</v>
      </c>
      <c r="E18" s="64">
        <f>+'1 Estudiantes'!E28</f>
        <v>1.0844444444444445</v>
      </c>
      <c r="F18" s="64">
        <f>+'1 Estudiantes'!F28</f>
        <v>1.2711111111111113</v>
      </c>
      <c r="G18" s="64">
        <f>+'1 Estudiantes'!G28</f>
        <v>1.6266666666666665</v>
      </c>
      <c r="H18" s="64">
        <f>+'1 Estudiantes'!H28</f>
        <v>1.7955555555555556</v>
      </c>
      <c r="I18" s="65">
        <f>+'1 Estudiantes'!I28</f>
        <v>2.08</v>
      </c>
      <c r="J18" s="71"/>
    </row>
    <row r="19" spans="1:10" x14ac:dyDescent="0.3">
      <c r="A19" s="131" t="str">
        <f>'1 Estudiantes'!A30</f>
        <v>Ocasional Tipo 2 (Técnico Docente)</v>
      </c>
      <c r="B19" s="535">
        <f>'1 Estudiantes'!B30</f>
        <v>0.25</v>
      </c>
      <c r="C19" s="535">
        <f>'1 Estudiantes'!C30</f>
        <v>0.8</v>
      </c>
      <c r="D19" s="535">
        <f>'1 Estudiantes'!D30</f>
        <v>1.1000000000000001</v>
      </c>
      <c r="E19" s="535">
        <f>'1 Estudiantes'!E30</f>
        <v>1.75</v>
      </c>
      <c r="F19" s="535">
        <f>'1 Estudiantes'!F30</f>
        <v>2.125</v>
      </c>
      <c r="G19" s="535">
        <f>'1 Estudiantes'!G30</f>
        <v>2.95</v>
      </c>
      <c r="H19" s="535">
        <f>'1 Estudiantes'!H30</f>
        <v>3.4750000000000001</v>
      </c>
      <c r="I19" s="784">
        <f>'1 Estudiantes'!I30</f>
        <v>4.7249999999999996</v>
      </c>
      <c r="J19" s="71"/>
    </row>
    <row r="20" spans="1:10" ht="18.75" customHeight="1" thickBot="1" x14ac:dyDescent="0.35">
      <c r="A20" s="115" t="s">
        <v>115</v>
      </c>
      <c r="B20" s="116">
        <f>SUM(B15:B19)</f>
        <v>1.25</v>
      </c>
      <c r="C20" s="116">
        <f t="shared" ref="C20:I20" si="2">SUM(C15:C19)</f>
        <v>4.1333333333333329</v>
      </c>
      <c r="D20" s="116">
        <f t="shared" si="2"/>
        <v>5.5444444444444443</v>
      </c>
      <c r="E20" s="116">
        <f t="shared" si="2"/>
        <v>8.5277777777777786</v>
      </c>
      <c r="F20" s="116">
        <f t="shared" si="2"/>
        <v>10.069444444444445</v>
      </c>
      <c r="G20" s="116">
        <f t="shared" si="2"/>
        <v>13.116666666666667</v>
      </c>
      <c r="H20" s="116">
        <f t="shared" si="2"/>
        <v>14.697222222222221</v>
      </c>
      <c r="I20" s="785">
        <f t="shared" si="2"/>
        <v>17.725000000000001</v>
      </c>
      <c r="J20" s="156"/>
    </row>
    <row r="21" spans="1:10" ht="18.75" customHeight="1" thickBot="1" x14ac:dyDescent="0.35">
      <c r="A21" s="120"/>
      <c r="B21" s="156"/>
      <c r="C21" s="156"/>
      <c r="D21" s="156"/>
      <c r="E21" s="156"/>
      <c r="F21" s="156"/>
      <c r="G21" s="156"/>
      <c r="H21" s="156"/>
      <c r="I21" s="156"/>
      <c r="J21" s="156"/>
    </row>
    <row r="22" spans="1:10" ht="36" customHeight="1" thickBot="1" x14ac:dyDescent="0.35">
      <c r="A22" s="1061" t="s">
        <v>136</v>
      </c>
      <c r="B22" s="1062"/>
      <c r="C22" s="1062"/>
      <c r="D22" s="1062"/>
      <c r="E22" s="1062"/>
      <c r="F22" s="1062"/>
      <c r="G22" s="1062"/>
      <c r="H22" s="1062"/>
      <c r="I22" s="1062"/>
      <c r="J22" s="772"/>
    </row>
    <row r="23" spans="1:10" ht="23.25" customHeight="1" x14ac:dyDescent="0.3">
      <c r="A23" s="157" t="s">
        <v>1</v>
      </c>
      <c r="B23" s="158">
        <f>+'1 Estudiantes'!B3</f>
        <v>2023</v>
      </c>
      <c r="C23" s="158">
        <f>+'1 Estudiantes'!C3</f>
        <v>2023</v>
      </c>
      <c r="D23" s="158">
        <f>+'1 Estudiantes'!D3</f>
        <v>2024</v>
      </c>
      <c r="E23" s="158">
        <f>+'1 Estudiantes'!E3</f>
        <v>2024</v>
      </c>
      <c r="F23" s="158">
        <f>+'1 Estudiantes'!F3</f>
        <v>2025</v>
      </c>
      <c r="G23" s="158">
        <f>+'1 Estudiantes'!G3</f>
        <v>2025</v>
      </c>
      <c r="H23" s="158">
        <f>+'1 Estudiantes'!H3</f>
        <v>2026</v>
      </c>
      <c r="I23" s="159">
        <f>+'1 Estudiantes'!I3</f>
        <v>2026</v>
      </c>
      <c r="J23" s="764"/>
    </row>
    <row r="24" spans="1:10" ht="17.25" customHeight="1" x14ac:dyDescent="0.3">
      <c r="A24" s="518" t="s">
        <v>137</v>
      </c>
      <c r="B24" s="519">
        <f>319023/2</f>
        <v>159511.5</v>
      </c>
      <c r="C24" s="519">
        <f>+B24*C79</f>
        <v>161792.51444999999</v>
      </c>
      <c r="D24" s="519">
        <f>+C24</f>
        <v>161792.51444999999</v>
      </c>
      <c r="E24" s="519">
        <f>+D24*E79</f>
        <v>167147.84667829497</v>
      </c>
      <c r="F24" s="519">
        <f>+E24</f>
        <v>167147.84667829497</v>
      </c>
      <c r="G24" s="519">
        <f>+F24*G79</f>
        <v>169404.34260845196</v>
      </c>
      <c r="H24" s="519">
        <f>+G24</f>
        <v>169404.34260845196</v>
      </c>
      <c r="I24" s="520">
        <f>+H24*I79</f>
        <v>171691.30123366608</v>
      </c>
      <c r="J24" s="765"/>
    </row>
    <row r="25" spans="1:10" ht="17.25" customHeight="1" x14ac:dyDescent="0.3">
      <c r="A25" s="518" t="s">
        <v>138</v>
      </c>
      <c r="B25" s="519">
        <f>109300/2</f>
        <v>54650</v>
      </c>
      <c r="C25" s="519">
        <f>+B25*C79</f>
        <v>55431.494999999995</v>
      </c>
      <c r="D25" s="519">
        <f>+C25</f>
        <v>55431.494999999995</v>
      </c>
      <c r="E25" s="519">
        <f>+D25*E79</f>
        <v>57266.277484499988</v>
      </c>
      <c r="F25" s="519">
        <f>+E25</f>
        <v>57266.277484499988</v>
      </c>
      <c r="G25" s="519">
        <f>+F25*G79</f>
        <v>58039.372230540743</v>
      </c>
      <c r="H25" s="519">
        <f>+G25</f>
        <v>58039.372230540743</v>
      </c>
      <c r="I25" s="520">
        <f>+H25*I79</f>
        <v>58822.903755653046</v>
      </c>
      <c r="J25" s="765"/>
    </row>
    <row r="26" spans="1:10" ht="17.25" customHeight="1" x14ac:dyDescent="0.3">
      <c r="A26" s="518" t="s">
        <v>139</v>
      </c>
      <c r="B26" s="519">
        <f>83000/2</f>
        <v>41500</v>
      </c>
      <c r="C26" s="519">
        <f>+B26*C79</f>
        <v>42093.45</v>
      </c>
      <c r="D26" s="519">
        <f>+C26</f>
        <v>42093.45</v>
      </c>
      <c r="E26" s="519">
        <f>+D26*E79</f>
        <v>43486.743194999995</v>
      </c>
      <c r="F26" s="519">
        <f>+E26</f>
        <v>43486.743194999995</v>
      </c>
      <c r="G26" s="519">
        <f>+F26*G79</f>
        <v>44073.814228132498</v>
      </c>
      <c r="H26" s="519">
        <f>+G26</f>
        <v>44073.814228132498</v>
      </c>
      <c r="I26" s="520">
        <f>+H26*I79</f>
        <v>44668.810720212292</v>
      </c>
      <c r="J26" s="765"/>
    </row>
    <row r="27" spans="1:10" ht="17.25" customHeight="1" x14ac:dyDescent="0.3">
      <c r="A27" s="647" t="s">
        <v>140</v>
      </c>
      <c r="B27" s="526">
        <f>+(B24/'Planta central'!$F$2)*'1 Estudiantes'!B24</f>
        <v>179.02525252525251</v>
      </c>
      <c r="C27" s="526">
        <f>+(C24/'Planta central'!$F$2)*'1 Estudiantes'!C24</f>
        <v>605.28437878787872</v>
      </c>
      <c r="D27" s="526">
        <f>+(D24/'Planta central'!$F$2)*'1 Estudiantes'!D24</f>
        <v>807.04583838383837</v>
      </c>
      <c r="E27" s="526">
        <f>+(E24/'Planta central'!$F$2)*'1 Estudiantes'!E24</f>
        <v>1271.4825598423736</v>
      </c>
      <c r="F27" s="526">
        <f>+(F24/'Planta central'!$F$2)*'1 Estudiantes'!F24</f>
        <v>1490.3443119463886</v>
      </c>
      <c r="G27" s="526">
        <f>+(G24/'Planta central'!$F$2)*'1 Estudiantes'!G24</f>
        <v>1932.9713616003683</v>
      </c>
      <c r="H27" s="526">
        <f>+(H24/'Planta central'!$F$2)*'1 Estudiantes'!H24</f>
        <v>2133.6623772856524</v>
      </c>
      <c r="I27" s="527">
        <f>+(I24/'Planta central'!$F$2)*'1 Estudiantes'!I24</f>
        <v>2505.0358204687532</v>
      </c>
      <c r="J27" s="766"/>
    </row>
    <row r="28" spans="1:10" ht="17.25" customHeight="1" x14ac:dyDescent="0.3">
      <c r="A28" s="647" t="s">
        <v>141</v>
      </c>
      <c r="B28" s="526">
        <f>+(B25/'Planta central'!$B$2)*'1 Estudiantes'!B12</f>
        <v>115.71035358882067</v>
      </c>
      <c r="C28" s="526">
        <f>+(C25/'Planta central'!$B$2)*'1 Estudiantes'!C12</f>
        <v>340.12380374761801</v>
      </c>
      <c r="D28" s="526">
        <f>+(D25/'Planta central'!$B$2)*'1 Estudiantes'!D12</f>
        <v>422.79618741050177</v>
      </c>
      <c r="E28" s="526">
        <f>+(E25/'Planta central'!$B$2)*'1 Estudiantes'!E12</f>
        <v>634.73767267117273</v>
      </c>
      <c r="F28" s="526">
        <f>+(F25/'Planta central'!$B$2)*'1 Estudiantes'!F12</f>
        <v>691.24422358930815</v>
      </c>
      <c r="G28" s="526">
        <f>+(G25/'Planta central'!$B$2)*'1 Estudiantes'!G12</f>
        <v>878.83823358820177</v>
      </c>
      <c r="H28" s="526">
        <f>+(H25/'Planta central'!$B$2)*'1 Estudiantes'!H12</f>
        <v>923.71866066086</v>
      </c>
      <c r="I28" s="527">
        <f>+(I25/'Planta central'!$B$2)*'1 Estudiantes'!I12</f>
        <v>1108.7855814695911</v>
      </c>
      <c r="J28" s="766"/>
    </row>
    <row r="29" spans="1:10" ht="17.25" customHeight="1" thickBot="1" x14ac:dyDescent="0.35">
      <c r="A29" s="648" t="s">
        <v>142</v>
      </c>
      <c r="B29" s="528">
        <f>+B26/'Planta central'!$B$2*'5 Demanda'!B11</f>
        <v>87.867880584374348</v>
      </c>
      <c r="C29" s="528">
        <f>+C26/'Planta central'!$B$2*'5 Demanda'!C11</f>
        <v>258.28248591996612</v>
      </c>
      <c r="D29" s="528">
        <f>+D26/'Planta central'!$B$2*'5 Demanda'!D11</f>
        <v>321.06206363286043</v>
      </c>
      <c r="E29" s="528">
        <f>+E26/'Planta central'!$B$2*'5 Demanda'!E11</f>
        <v>482.00573496530046</v>
      </c>
      <c r="F29" s="528">
        <f>+F26/'Planta central'!$B$2*'5 Demanda'!F11</f>
        <v>524.91555862683049</v>
      </c>
      <c r="G29" s="528">
        <f>+G26/'Planta central'!$B$2*'5 Demanda'!G11</f>
        <v>667.37029632040947</v>
      </c>
      <c r="H29" s="528">
        <f>+H26/'Planta central'!$B$2*'5 Demanda'!H11</f>
        <v>701.45149894649035</v>
      </c>
      <c r="I29" s="529">
        <f>+I26/'Planta central'!$B$2*'5 Demanda'!I11</f>
        <v>841.98722106108028</v>
      </c>
      <c r="J29" s="766"/>
    </row>
    <row r="30" spans="1:10" ht="28.5" customHeight="1" thickBot="1" x14ac:dyDescent="0.35">
      <c r="A30" s="58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21.75" customHeight="1" x14ac:dyDescent="0.3">
      <c r="A31" s="861" t="s">
        <v>1</v>
      </c>
      <c r="B31" s="158">
        <f>+B39</f>
        <v>2023</v>
      </c>
      <c r="C31" s="158">
        <f t="shared" ref="C31:I31" si="3">+C39</f>
        <v>2023</v>
      </c>
      <c r="D31" s="158">
        <f t="shared" si="3"/>
        <v>2024</v>
      </c>
      <c r="E31" s="158">
        <f t="shared" si="3"/>
        <v>2024</v>
      </c>
      <c r="F31" s="158">
        <f t="shared" si="3"/>
        <v>2025</v>
      </c>
      <c r="G31" s="158">
        <f t="shared" si="3"/>
        <v>2025</v>
      </c>
      <c r="H31" s="158">
        <f t="shared" si="3"/>
        <v>2026</v>
      </c>
      <c r="I31" s="159">
        <f t="shared" si="3"/>
        <v>2026</v>
      </c>
      <c r="J31" s="764"/>
    </row>
    <row r="32" spans="1:10" x14ac:dyDescent="0.3">
      <c r="A32" s="121" t="s">
        <v>143</v>
      </c>
      <c r="B32" s="112">
        <f>+N3/'Planta central'!B2</f>
        <v>30.700825746347661</v>
      </c>
      <c r="C32" s="112">
        <f>+B32*C79</f>
        <v>31.139847554520433</v>
      </c>
      <c r="D32" s="112">
        <f>+C32</f>
        <v>31.139847554520433</v>
      </c>
      <c r="E32" s="112">
        <f>+D32*E79</f>
        <v>32.170576508575053</v>
      </c>
      <c r="F32" s="112">
        <f>+E32</f>
        <v>32.170576508575053</v>
      </c>
      <c r="G32" s="112">
        <f>+F32*G79</f>
        <v>32.604879291440817</v>
      </c>
      <c r="H32" s="112">
        <f>+G32</f>
        <v>32.604879291440817</v>
      </c>
      <c r="I32" s="113">
        <f>+H32*I79</f>
        <v>33.045045161875272</v>
      </c>
      <c r="J32" s="118"/>
    </row>
    <row r="33" spans="1:22" ht="19.5" customHeight="1" x14ac:dyDescent="0.3">
      <c r="A33" s="638" t="s">
        <v>144</v>
      </c>
      <c r="B33" s="513">
        <f t="shared" ref="B33:I33" si="4">+B11*B32</f>
        <v>921.0247723904298</v>
      </c>
      <c r="C33" s="513">
        <f t="shared" si="4"/>
        <v>2707.2983463900064</v>
      </c>
      <c r="D33" s="513">
        <f t="shared" si="4"/>
        <v>3365.3493416938386</v>
      </c>
      <c r="E33" s="513">
        <f t="shared" si="4"/>
        <v>5052.3492701182095</v>
      </c>
      <c r="F33" s="513">
        <f t="shared" si="4"/>
        <v>5502.1269398234044</v>
      </c>
      <c r="G33" s="513">
        <f t="shared" si="4"/>
        <v>6995.3272023946529</v>
      </c>
      <c r="H33" s="513">
        <f t="shared" si="4"/>
        <v>7352.5639046198376</v>
      </c>
      <c r="I33" s="514">
        <f t="shared" si="4"/>
        <v>8825.6491846161425</v>
      </c>
      <c r="J33" s="767"/>
    </row>
    <row r="34" spans="1:22" ht="13.8" x14ac:dyDescent="0.3">
      <c r="A34" s="639" t="s">
        <v>145</v>
      </c>
      <c r="B34" s="515">
        <f>(B35+B36)*(B11*10%)</f>
        <v>6169.3870260000003</v>
      </c>
      <c r="C34" s="515">
        <f t="shared" ref="B34:I34" si="5">(C35+C36)*(C11*10%)</f>
        <v>17878.883601348003</v>
      </c>
      <c r="D34" s="515">
        <f t="shared" si="5"/>
        <v>22224.624500010508</v>
      </c>
      <c r="E34" s="515">
        <f t="shared" si="5"/>
        <v>32296.486853009439</v>
      </c>
      <c r="F34" s="515">
        <f t="shared" si="5"/>
        <v>35171.632220002481</v>
      </c>
      <c r="G34" s="515">
        <f t="shared" si="5"/>
        <v>44121.086396627834</v>
      </c>
      <c r="H34" s="515">
        <f t="shared" si="5"/>
        <v>46374.257827626541</v>
      </c>
      <c r="I34" s="787">
        <f t="shared" si="5"/>
        <v>54923.862572915103</v>
      </c>
      <c r="J34" s="820">
        <f>SUM(B34:I34)</f>
        <v>259160.2209975399</v>
      </c>
      <c r="M34" s="496"/>
    </row>
    <row r="35" spans="1:22" ht="14.25" customHeight="1" x14ac:dyDescent="0.3">
      <c r="A35" s="607" t="s">
        <v>146</v>
      </c>
      <c r="B35" s="609">
        <f>+B36*0.1</f>
        <v>186.95112200000003</v>
      </c>
      <c r="C35" s="609">
        <f t="shared" ref="C35:I35" si="6">+C36*0.1</f>
        <v>186.95112200000003</v>
      </c>
      <c r="D35" s="609">
        <f t="shared" si="6"/>
        <v>186.95112200000003</v>
      </c>
      <c r="E35" s="609">
        <f t="shared" si="6"/>
        <v>186.95112200000003</v>
      </c>
      <c r="F35" s="609">
        <f t="shared" si="6"/>
        <v>186.95112200000003</v>
      </c>
      <c r="G35" s="609">
        <f t="shared" si="6"/>
        <v>186.95112200000003</v>
      </c>
      <c r="H35" s="609">
        <f t="shared" si="6"/>
        <v>186.95112200000003</v>
      </c>
      <c r="I35" s="788">
        <f t="shared" si="6"/>
        <v>186.95112200000003</v>
      </c>
      <c r="J35" s="773"/>
      <c r="N35" s="952">
        <v>1773.00294201</v>
      </c>
    </row>
    <row r="36" spans="1:22" ht="16.2" thickBot="1" x14ac:dyDescent="0.35">
      <c r="A36" s="608" t="s">
        <v>147</v>
      </c>
      <c r="B36" s="610">
        <f>+K40</f>
        <v>1869.5112200000001</v>
      </c>
      <c r="C36" s="611">
        <f>+B36</f>
        <v>1869.5112200000001</v>
      </c>
      <c r="D36" s="611">
        <f t="shared" ref="D36:I36" si="7">+C36</f>
        <v>1869.5112200000001</v>
      </c>
      <c r="E36" s="611">
        <f t="shared" si="7"/>
        <v>1869.5112200000001</v>
      </c>
      <c r="F36" s="611">
        <f t="shared" si="7"/>
        <v>1869.5112200000001</v>
      </c>
      <c r="G36" s="611">
        <f t="shared" si="7"/>
        <v>1869.5112200000001</v>
      </c>
      <c r="H36" s="611">
        <f t="shared" si="7"/>
        <v>1869.5112200000001</v>
      </c>
      <c r="I36" s="611">
        <f t="shared" si="7"/>
        <v>1869.5112200000001</v>
      </c>
      <c r="J36" s="768"/>
      <c r="K36" s="1139">
        <v>1808.2591975170501</v>
      </c>
      <c r="L36" s="744">
        <v>187</v>
      </c>
      <c r="M36" s="497"/>
      <c r="N36" s="497"/>
    </row>
    <row r="37" spans="1:22" ht="33" customHeight="1" thickBot="1" x14ac:dyDescent="0.35">
      <c r="A37" s="110"/>
      <c r="B37" s="111"/>
      <c r="C37" s="111"/>
      <c r="D37" s="111"/>
      <c r="E37" s="111"/>
      <c r="F37" s="111"/>
      <c r="G37" s="111"/>
      <c r="H37" s="111"/>
      <c r="I37" s="111"/>
      <c r="J37" s="770"/>
      <c r="K37" s="48">
        <v>1869.3339618867899</v>
      </c>
      <c r="L37" s="48">
        <v>1776.49</v>
      </c>
    </row>
    <row r="38" spans="1:22" ht="24.75" customHeight="1" thickBot="1" x14ac:dyDescent="0.35">
      <c r="A38" s="962" t="s">
        <v>148</v>
      </c>
      <c r="B38" s="963"/>
      <c r="C38" s="963"/>
      <c r="D38" s="963"/>
      <c r="E38" s="963"/>
      <c r="F38" s="963"/>
      <c r="G38" s="963"/>
      <c r="H38" s="963"/>
      <c r="I38" s="969"/>
      <c r="J38" s="764"/>
      <c r="K38" s="47"/>
      <c r="L38" s="47"/>
      <c r="Q38" s="66"/>
      <c r="R38" s="66"/>
      <c r="S38" s="66"/>
      <c r="T38" s="66"/>
      <c r="U38" s="66"/>
      <c r="V38" s="66"/>
    </row>
    <row r="39" spans="1:22" ht="21.75" customHeight="1" x14ac:dyDescent="0.3">
      <c r="A39" s="863" t="s">
        <v>149</v>
      </c>
      <c r="B39" s="864">
        <f t="shared" ref="B39:I39" si="8">+B14</f>
        <v>2023</v>
      </c>
      <c r="C39" s="864">
        <f t="shared" si="8"/>
        <v>2023</v>
      </c>
      <c r="D39" s="864">
        <f t="shared" si="8"/>
        <v>2024</v>
      </c>
      <c r="E39" s="864">
        <f t="shared" si="8"/>
        <v>2024</v>
      </c>
      <c r="F39" s="864">
        <f t="shared" si="8"/>
        <v>2025</v>
      </c>
      <c r="G39" s="864">
        <f t="shared" si="8"/>
        <v>2025</v>
      </c>
      <c r="H39" s="864">
        <f t="shared" si="8"/>
        <v>2026</v>
      </c>
      <c r="I39" s="782">
        <f t="shared" si="8"/>
        <v>2026</v>
      </c>
      <c r="J39" s="764"/>
      <c r="K39" s="238" t="s">
        <v>150</v>
      </c>
      <c r="L39" s="238" t="s">
        <v>146</v>
      </c>
      <c r="M39" s="803"/>
      <c r="N39" s="804" t="s">
        <v>151</v>
      </c>
      <c r="O39" s="804" t="s">
        <v>152</v>
      </c>
      <c r="P39" s="803"/>
      <c r="Q39" s="62"/>
      <c r="R39" s="48">
        <v>1776.49</v>
      </c>
      <c r="T39" s="143"/>
      <c r="V39" s="143" t="e">
        <f>+U39/$U$42</f>
        <v>#DIV/0!</v>
      </c>
    </row>
    <row r="40" spans="1:22" ht="12.75" customHeight="1" x14ac:dyDescent="0.3">
      <c r="A40" s="603">
        <v>1</v>
      </c>
      <c r="B40" s="498">
        <f t="shared" ref="B40:I40" si="9">+$K$40*(B3)+$L$40*B3</f>
        <v>61693.870260000003</v>
      </c>
      <c r="C40" s="498">
        <f t="shared" si="9"/>
        <v>123387.74052000001</v>
      </c>
      <c r="D40" s="498">
        <f t="shared" si="9"/>
        <v>61693.870260000003</v>
      </c>
      <c r="E40" s="498">
        <f t="shared" si="9"/>
        <v>123387.74052000001</v>
      </c>
      <c r="F40" s="498">
        <f t="shared" si="9"/>
        <v>61693.870260000003</v>
      </c>
      <c r="G40" s="498">
        <f t="shared" si="9"/>
        <v>123387.74052000001</v>
      </c>
      <c r="H40" s="498">
        <f t="shared" si="9"/>
        <v>61693.870260000003</v>
      </c>
      <c r="I40" s="783">
        <f t="shared" si="9"/>
        <v>123387.74052000001</v>
      </c>
      <c r="J40" s="769"/>
      <c r="K40" s="1056">
        <v>1869.5112200000001</v>
      </c>
      <c r="L40" s="1057">
        <f>+K40*0.1</f>
        <v>186.95112200000003</v>
      </c>
      <c r="M40" s="929">
        <f>+K40+L40</f>
        <v>2056.4623420000003</v>
      </c>
      <c r="N40" s="828">
        <f>+'11 Costo de la Carrera'!C8</f>
        <v>1808.5072823078704</v>
      </c>
      <c r="O40" s="805">
        <f>+'11 Costo de la Carrera'!C9</f>
        <v>180.85072823078704</v>
      </c>
      <c r="P40" s="806">
        <f>+N40+O40</f>
        <v>1989.3580105386575</v>
      </c>
      <c r="R40" s="48">
        <v>187</v>
      </c>
      <c r="T40" s="143"/>
      <c r="V40" s="143" t="e">
        <f>+U40/$U$42</f>
        <v>#DIV/0!</v>
      </c>
    </row>
    <row r="41" spans="1:22" ht="12.75" customHeight="1" x14ac:dyDescent="0.3">
      <c r="A41" s="603">
        <v>2</v>
      </c>
      <c r="B41" s="498">
        <f t="shared" ref="B41:I41" si="10">B4*$K$40+B4*$L$40</f>
        <v>0</v>
      </c>
      <c r="C41" s="498">
        <f t="shared" si="10"/>
        <v>55401.09549348001</v>
      </c>
      <c r="D41" s="498">
        <f t="shared" si="10"/>
        <v>110802.19098696002</v>
      </c>
      <c r="E41" s="498">
        <f t="shared" si="10"/>
        <v>55401.09549348001</v>
      </c>
      <c r="F41" s="498">
        <f t="shared" si="10"/>
        <v>110802.19098696002</v>
      </c>
      <c r="G41" s="498">
        <f t="shared" si="10"/>
        <v>55401.09549348001</v>
      </c>
      <c r="H41" s="498">
        <f t="shared" si="10"/>
        <v>110802.19098696002</v>
      </c>
      <c r="I41" s="783">
        <f t="shared" si="10"/>
        <v>55401.09549348001</v>
      </c>
      <c r="J41" s="769"/>
      <c r="K41" s="1056"/>
      <c r="L41" s="1057"/>
      <c r="M41" s="803"/>
      <c r="N41" s="829">
        <f>+K40-N40</f>
        <v>61.003937692129739</v>
      </c>
      <c r="O41" s="807">
        <f>+L40-O40</f>
        <v>6.1003937692129853</v>
      </c>
      <c r="P41" s="803"/>
      <c r="Q41" s="282"/>
      <c r="R41" s="143"/>
      <c r="T41" s="143"/>
      <c r="V41" s="143" t="e">
        <f>+U41/$U$42</f>
        <v>#DIV/0!</v>
      </c>
    </row>
    <row r="42" spans="1:22" ht="12.75" customHeight="1" x14ac:dyDescent="0.3">
      <c r="A42" s="603">
        <v>3</v>
      </c>
      <c r="B42" s="498">
        <f t="shared" ref="B42:I42" si="11">+B5*$K$42+B5*$L$42</f>
        <v>0</v>
      </c>
      <c r="C42" s="498">
        <f t="shared" si="11"/>
        <v>0</v>
      </c>
      <c r="D42" s="498">
        <f t="shared" si="11"/>
        <v>49750.183753145044</v>
      </c>
      <c r="E42" s="498">
        <f t="shared" si="11"/>
        <v>99500.367506290087</v>
      </c>
      <c r="F42" s="498">
        <f t="shared" si="11"/>
        <v>49750.183753145044</v>
      </c>
      <c r="G42" s="498">
        <f t="shared" si="11"/>
        <v>99500.367506290087</v>
      </c>
      <c r="H42" s="498">
        <f t="shared" si="11"/>
        <v>49750.183753145044</v>
      </c>
      <c r="I42" s="783">
        <f t="shared" si="11"/>
        <v>99500.367506290087</v>
      </c>
      <c r="J42" s="769"/>
      <c r="K42" s="1057">
        <f>+K46</f>
        <v>1869.5112200000001</v>
      </c>
      <c r="L42" s="1057">
        <f>+K42*0.1</f>
        <v>186.95112200000003</v>
      </c>
      <c r="M42" s="803"/>
      <c r="N42" s="830"/>
      <c r="O42" s="808">
        <f>+N41+O41</f>
        <v>67.104331461342724</v>
      </c>
      <c r="P42" s="803"/>
      <c r="R42" s="59"/>
      <c r="T42" s="59"/>
      <c r="V42" s="59" t="e">
        <f>SUM(V39:V41)</f>
        <v>#DIV/0!</v>
      </c>
    </row>
    <row r="43" spans="1:22" ht="12.75" customHeight="1" x14ac:dyDescent="0.3">
      <c r="A43" s="603">
        <v>4</v>
      </c>
      <c r="B43" s="498">
        <f>+B6*C42+B6*D42</f>
        <v>0</v>
      </c>
      <c r="C43" s="498">
        <f>+C6*D42+C6*E42</f>
        <v>0</v>
      </c>
      <c r="D43" s="498">
        <f>+D6*E42+D6*F42</f>
        <v>0</v>
      </c>
      <c r="E43" s="498">
        <f>+E6*$K$42+E6*$L$42</f>
        <v>44675.66501032425</v>
      </c>
      <c r="F43" s="498">
        <f>+F6*$K$42+F6*$L$42</f>
        <v>89351.3300206485</v>
      </c>
      <c r="G43" s="498">
        <f>+G6*$K$42+G6*$L$42</f>
        <v>44675.66501032425</v>
      </c>
      <c r="H43" s="498">
        <f>+H6*$K$42+H6*$L$42</f>
        <v>89351.3300206485</v>
      </c>
      <c r="I43" s="783">
        <f>+I6*$K$42+I6*$L$42</f>
        <v>44675.66501032425</v>
      </c>
      <c r="J43" s="769"/>
      <c r="K43" s="1057"/>
      <c r="L43" s="1057"/>
      <c r="M43" s="59"/>
      <c r="N43" s="122" t="s">
        <v>153</v>
      </c>
      <c r="O43" s="122" t="s">
        <v>154</v>
      </c>
      <c r="U43" s="499"/>
    </row>
    <row r="44" spans="1:22" ht="12.75" customHeight="1" x14ac:dyDescent="0.3">
      <c r="A44" s="603">
        <v>5</v>
      </c>
      <c r="B44" s="498">
        <f>+B7*C44+B7*D44</f>
        <v>0</v>
      </c>
      <c r="C44" s="498">
        <f>+C7*D44+C7*E44</f>
        <v>0</v>
      </c>
      <c r="D44" s="498">
        <f>+D7*E44+D7*F44</f>
        <v>0</v>
      </c>
      <c r="E44" s="498">
        <f>+E7*$K$42+E7*$L$42</f>
        <v>0</v>
      </c>
      <c r="F44" s="498">
        <f>+F7*$K$44+F7*$L$44</f>
        <v>40118.74717927118</v>
      </c>
      <c r="G44" s="498">
        <f>+G7*$K$44+G7*$L$44</f>
        <v>80237.494358542361</v>
      </c>
      <c r="H44" s="498">
        <f>+H7*$K$44+H7*$L$44</f>
        <v>40118.74717927118</v>
      </c>
      <c r="I44" s="783">
        <f>+I7*$K$44+I7*$L$44</f>
        <v>80237.494358542361</v>
      </c>
      <c r="J44" s="769"/>
      <c r="K44" s="1057">
        <f>+K46</f>
        <v>1869.5112200000001</v>
      </c>
      <c r="L44" s="1057">
        <f>+K44*0.1</f>
        <v>186.95112200000003</v>
      </c>
      <c r="M44" s="59"/>
      <c r="N44" s="844">
        <f>+'13 TIR'!D6</f>
        <v>9.4582417857748569E-2</v>
      </c>
      <c r="O44" s="845">
        <f>+'14 VAN'!C14</f>
        <v>-8.3875359003753626E-3</v>
      </c>
    </row>
    <row r="45" spans="1:22" ht="12.75" customHeight="1" x14ac:dyDescent="0.3">
      <c r="A45" s="603">
        <v>6</v>
      </c>
      <c r="B45" s="498"/>
      <c r="C45" s="498"/>
      <c r="D45" s="498"/>
      <c r="E45" s="498">
        <f>+E8*$K$42+E8*$L$42</f>
        <v>0</v>
      </c>
      <c r="F45" s="498">
        <f>+F8*$K$42+F8*$L$42</f>
        <v>0</v>
      </c>
      <c r="G45" s="498">
        <f>+G8*$K$44+G8*$L$44</f>
        <v>38008.501077641515</v>
      </c>
      <c r="H45" s="498">
        <f>+H8*$K$44+H8*$L$44</f>
        <v>76017.002155283029</v>
      </c>
      <c r="I45" s="783">
        <f>+I8*$K$44+I8*$L$44</f>
        <v>38008.501077641515</v>
      </c>
      <c r="J45" s="769"/>
      <c r="K45" s="1057"/>
      <c r="L45" s="1057"/>
      <c r="M45" s="59"/>
      <c r="N45" s="738"/>
    </row>
    <row r="46" spans="1:22" ht="12.75" customHeight="1" x14ac:dyDescent="0.3">
      <c r="A46" s="603">
        <v>7</v>
      </c>
      <c r="B46" s="498"/>
      <c r="C46" s="498"/>
      <c r="D46" s="498"/>
      <c r="E46" s="498">
        <f>+E9*$K$42+E9*$L$42</f>
        <v>0</v>
      </c>
      <c r="F46" s="498">
        <f>+F9*$K$42+F9*$L$42</f>
        <v>0</v>
      </c>
      <c r="G46" s="498">
        <f>+G9*$K$42+G9*$L$42</f>
        <v>0</v>
      </c>
      <c r="H46" s="498">
        <f>+H9*$K$46+H9*$L$46</f>
        <v>36009.253920957577</v>
      </c>
      <c r="I46" s="783">
        <f>+I9*$K$46+I9*$L$46</f>
        <v>72018.507841915154</v>
      </c>
      <c r="J46" s="769"/>
      <c r="K46" s="1058">
        <f>+K40</f>
        <v>1869.5112200000001</v>
      </c>
      <c r="L46" s="1057">
        <f>+K46*0.1</f>
        <v>186.95112200000003</v>
      </c>
      <c r="M46" s="59"/>
    </row>
    <row r="47" spans="1:22" ht="12" customHeight="1" thickBot="1" x14ac:dyDescent="0.35">
      <c r="A47" s="603">
        <v>8</v>
      </c>
      <c r="B47" s="498"/>
      <c r="C47" s="498"/>
      <c r="D47" s="498"/>
      <c r="E47" s="498"/>
      <c r="F47" s="498"/>
      <c r="G47" s="498"/>
      <c r="H47" s="498">
        <f>+H10*$K$46+H10*$L$46</f>
        <v>0</v>
      </c>
      <c r="I47" s="783">
        <f>+I10*$K$46+I10*$L$46</f>
        <v>36009.253920957577</v>
      </c>
      <c r="J47" s="769"/>
      <c r="K47" s="1058"/>
      <c r="L47" s="1057"/>
      <c r="M47" s="59"/>
      <c r="Q47" s="48">
        <f>+Q41*T41</f>
        <v>0</v>
      </c>
    </row>
    <row r="48" spans="1:22" ht="13.5" customHeight="1" thickBot="1" x14ac:dyDescent="0.35">
      <c r="A48" s="60" t="s">
        <v>155</v>
      </c>
      <c r="B48" s="852">
        <f>SUM(B40:B47)-B34</f>
        <v>55524.483233999999</v>
      </c>
      <c r="C48" s="852">
        <f t="shared" ref="C48:I48" si="12">SUM(C40:C47)-C34</f>
        <v>160909.95241213203</v>
      </c>
      <c r="D48" s="852">
        <f t="shared" si="12"/>
        <v>200021.62050009455</v>
      </c>
      <c r="E48" s="852">
        <f t="shared" si="12"/>
        <v>290668.38167708495</v>
      </c>
      <c r="F48" s="852">
        <f t="shared" si="12"/>
        <v>316544.68998002226</v>
      </c>
      <c r="G48" s="852">
        <f t="shared" si="12"/>
        <v>397089.77756965044</v>
      </c>
      <c r="H48" s="852">
        <f t="shared" si="12"/>
        <v>417368.32044863875</v>
      </c>
      <c r="I48" s="853">
        <f t="shared" si="12"/>
        <v>494314.76315623586</v>
      </c>
      <c r="J48" s="771"/>
      <c r="K48" s="61"/>
      <c r="L48" s="61"/>
      <c r="M48" s="62"/>
    </row>
    <row r="49" spans="1:21" ht="34.5" customHeight="1" thickBot="1" x14ac:dyDescent="0.35"/>
    <row r="50" spans="1:21" ht="21.75" customHeight="1" thickBot="1" x14ac:dyDescent="0.35">
      <c r="A50" s="962" t="s">
        <v>156</v>
      </c>
      <c r="B50" s="963"/>
      <c r="C50" s="963"/>
      <c r="D50" s="963"/>
      <c r="E50" s="963"/>
      <c r="F50" s="963"/>
      <c r="G50" s="963"/>
      <c r="H50" s="963"/>
      <c r="I50" s="969"/>
      <c r="J50" s="764"/>
    </row>
    <row r="51" spans="1:21" ht="21.75" customHeight="1" thickBot="1" x14ac:dyDescent="0.35">
      <c r="A51" s="859" t="s">
        <v>157</v>
      </c>
      <c r="B51" s="860">
        <f t="shared" ref="B51:I51" si="13">+B39</f>
        <v>2023</v>
      </c>
      <c r="C51" s="860">
        <f t="shared" si="13"/>
        <v>2023</v>
      </c>
      <c r="D51" s="97">
        <f t="shared" si="13"/>
        <v>2024</v>
      </c>
      <c r="E51" s="97">
        <f t="shared" si="13"/>
        <v>2024</v>
      </c>
      <c r="F51" s="97">
        <f t="shared" si="13"/>
        <v>2025</v>
      </c>
      <c r="G51" s="97">
        <f t="shared" si="13"/>
        <v>2025</v>
      </c>
      <c r="H51" s="97">
        <f t="shared" si="13"/>
        <v>2026</v>
      </c>
      <c r="I51" s="789">
        <f t="shared" si="13"/>
        <v>2026</v>
      </c>
      <c r="J51" s="774"/>
      <c r="K51" s="47"/>
      <c r="L51" s="47"/>
    </row>
    <row r="52" spans="1:21" ht="18.75" customHeight="1" thickBot="1" x14ac:dyDescent="0.35">
      <c r="A52" s="962" t="str">
        <f>+'6 Capital de trabajo'!A20:D20</f>
        <v>MATERIALES Y SUMINISTROS</v>
      </c>
      <c r="B52" s="963"/>
      <c r="C52" s="963"/>
      <c r="D52" s="963"/>
      <c r="E52" s="963"/>
      <c r="F52" s="963"/>
      <c r="G52" s="963"/>
      <c r="H52" s="963"/>
      <c r="I52" s="963"/>
      <c r="J52" s="764"/>
      <c r="K52" s="47"/>
      <c r="L52" s="47"/>
    </row>
    <row r="53" spans="1:21" x14ac:dyDescent="0.3">
      <c r="A53" s="81" t="str">
        <f>+'6 Capital de trabajo'!B21</f>
        <v>Resma de papel bond de 75 gramos</v>
      </c>
      <c r="B53" s="790">
        <f>+(100*B11)/500</f>
        <v>6</v>
      </c>
      <c r="C53" s="790">
        <f>+(100*C11)/500</f>
        <v>17.388000000000002</v>
      </c>
      <c r="D53" s="790">
        <f t="shared" ref="D53:I53" si="14">+(100*D11)/500</f>
        <v>21.614424</v>
      </c>
      <c r="E53" s="790">
        <f t="shared" si="14"/>
        <v>31.409752752000003</v>
      </c>
      <c r="F53" s="790">
        <f t="shared" si="14"/>
        <v>34.205957971296002</v>
      </c>
      <c r="G53" s="790">
        <f t="shared" si="14"/>
        <v>42.909695446908231</v>
      </c>
      <c r="H53" s="790">
        <f t="shared" si="14"/>
        <v>45.101003680452067</v>
      </c>
      <c r="I53" s="791">
        <f t="shared" si="14"/>
        <v>53.415870012479026</v>
      </c>
      <c r="J53" s="775"/>
      <c r="K53" s="50"/>
      <c r="L53" s="50"/>
    </row>
    <row r="54" spans="1:21" x14ac:dyDescent="0.3">
      <c r="A54" s="63" t="str">
        <f>+'6 Capital de trabajo'!B22</f>
        <v>Cartuchos de impresora (Color)</v>
      </c>
      <c r="B54" s="760">
        <f>+(100*B11)/5000</f>
        <v>0.6</v>
      </c>
      <c r="C54" s="760">
        <f>+(100*C11)/5000</f>
        <v>1.7387999999999999</v>
      </c>
      <c r="D54" s="760">
        <f t="shared" ref="D54:I54" si="15">+(100*D11)/5000</f>
        <v>2.1614423999999999</v>
      </c>
      <c r="E54" s="760">
        <f t="shared" si="15"/>
        <v>3.1409752752000002</v>
      </c>
      <c r="F54" s="760">
        <f t="shared" si="15"/>
        <v>3.4205957971296006</v>
      </c>
      <c r="G54" s="760">
        <f t="shared" si="15"/>
        <v>4.2909695446908236</v>
      </c>
      <c r="H54" s="760">
        <f t="shared" si="15"/>
        <v>4.5101003680452063</v>
      </c>
      <c r="I54" s="792">
        <f t="shared" si="15"/>
        <v>5.3415870012479028</v>
      </c>
      <c r="J54" s="775"/>
      <c r="K54" s="50"/>
      <c r="L54" s="50"/>
    </row>
    <row r="55" spans="1:21" x14ac:dyDescent="0.3">
      <c r="A55" s="63" t="str">
        <f>+'6 Capital de trabajo'!B23</f>
        <v>Cartuchos de impresora (Negro)</v>
      </c>
      <c r="B55" s="760">
        <f>+(100*B11)/5000</f>
        <v>0.6</v>
      </c>
      <c r="C55" s="760">
        <f>+(100*C11)/5000</f>
        <v>1.7387999999999999</v>
      </c>
      <c r="D55" s="760">
        <f t="shared" ref="D55:I55" si="16">+(100*D11)/5000</f>
        <v>2.1614423999999999</v>
      </c>
      <c r="E55" s="760">
        <f t="shared" si="16"/>
        <v>3.1409752752000002</v>
      </c>
      <c r="F55" s="760">
        <f t="shared" si="16"/>
        <v>3.4205957971296006</v>
      </c>
      <c r="G55" s="760">
        <f t="shared" si="16"/>
        <v>4.2909695446908236</v>
      </c>
      <c r="H55" s="760">
        <f t="shared" si="16"/>
        <v>4.5101003680452063</v>
      </c>
      <c r="I55" s="792">
        <f t="shared" si="16"/>
        <v>5.3415870012479028</v>
      </c>
      <c r="J55" s="775"/>
      <c r="K55" s="50"/>
      <c r="L55" s="50"/>
      <c r="N55" s="66"/>
    </row>
    <row r="56" spans="1:21" x14ac:dyDescent="0.3">
      <c r="A56" s="63" t="str">
        <f>+'6 Capital de trabajo'!B24</f>
        <v>Carpetas de cartón</v>
      </c>
      <c r="B56" s="760">
        <f>B11*2</f>
        <v>60</v>
      </c>
      <c r="C56" s="760">
        <f>C11*2</f>
        <v>173.88</v>
      </c>
      <c r="D56" s="760">
        <f t="shared" ref="D56:I56" si="17">D11*2</f>
        <v>216.14424</v>
      </c>
      <c r="E56" s="760">
        <f t="shared" si="17"/>
        <v>314.09752752000003</v>
      </c>
      <c r="F56" s="760">
        <f t="shared" si="17"/>
        <v>342.05957971296004</v>
      </c>
      <c r="G56" s="760">
        <f t="shared" si="17"/>
        <v>429.09695446908233</v>
      </c>
      <c r="H56" s="760">
        <f t="shared" si="17"/>
        <v>451.01003680452061</v>
      </c>
      <c r="I56" s="792">
        <f t="shared" si="17"/>
        <v>534.15870012479024</v>
      </c>
      <c r="J56" s="775"/>
      <c r="K56" s="50"/>
      <c r="L56" s="50"/>
    </row>
    <row r="57" spans="1:21" x14ac:dyDescent="0.3">
      <c r="A57" s="63" t="str">
        <f>+'6 Capital de trabajo'!B25</f>
        <v>Porta files</v>
      </c>
      <c r="B57" s="760">
        <f>B11*1</f>
        <v>30</v>
      </c>
      <c r="C57" s="760">
        <f>C11*1</f>
        <v>86.94</v>
      </c>
      <c r="D57" s="760">
        <f t="shared" ref="D57:I57" si="18">D11*1</f>
        <v>108.07212</v>
      </c>
      <c r="E57" s="760">
        <f t="shared" si="18"/>
        <v>157.04876376000001</v>
      </c>
      <c r="F57" s="760">
        <f t="shared" si="18"/>
        <v>171.02978985648002</v>
      </c>
      <c r="G57" s="760">
        <f t="shared" si="18"/>
        <v>214.54847723454117</v>
      </c>
      <c r="H57" s="760">
        <f t="shared" si="18"/>
        <v>225.5050184022603</v>
      </c>
      <c r="I57" s="792">
        <f t="shared" si="18"/>
        <v>267.07935006239512</v>
      </c>
      <c r="J57" s="775"/>
      <c r="K57" s="50"/>
      <c r="L57" s="50"/>
    </row>
    <row r="58" spans="1:21" x14ac:dyDescent="0.3">
      <c r="A58" s="63" t="str">
        <f>+'6 Capital de trabajo'!B26</f>
        <v>Esferos, micro minas, lápiz, borradores, correctores</v>
      </c>
      <c r="B58" s="760">
        <f>B11*1</f>
        <v>30</v>
      </c>
      <c r="C58" s="760">
        <f>C11*1</f>
        <v>86.94</v>
      </c>
      <c r="D58" s="760">
        <f t="shared" ref="D58:I58" si="19">D11*1</f>
        <v>108.07212</v>
      </c>
      <c r="E58" s="760">
        <f t="shared" si="19"/>
        <v>157.04876376000001</v>
      </c>
      <c r="F58" s="760">
        <f t="shared" si="19"/>
        <v>171.02978985648002</v>
      </c>
      <c r="G58" s="760">
        <f t="shared" si="19"/>
        <v>214.54847723454117</v>
      </c>
      <c r="H58" s="760">
        <f t="shared" si="19"/>
        <v>225.5050184022603</v>
      </c>
      <c r="I58" s="792">
        <f t="shared" si="19"/>
        <v>267.07935006239512</v>
      </c>
      <c r="J58" s="775"/>
      <c r="K58" s="50"/>
      <c r="L58" s="50"/>
    </row>
    <row r="59" spans="1:21" ht="10.8" thickBot="1" x14ac:dyDescent="0.35">
      <c r="A59" s="67" t="str">
        <f>+'6 Capital de trabajo'!B27</f>
        <v>Grapas, clips (CAJA)</v>
      </c>
      <c r="B59" s="793">
        <f>(B11*20)/1000</f>
        <v>0.6</v>
      </c>
      <c r="C59" s="793">
        <f>(C11*20)/1000</f>
        <v>1.7387999999999999</v>
      </c>
      <c r="D59" s="793">
        <f t="shared" ref="D59:I59" si="20">(D11*20)/1000</f>
        <v>2.1614423999999999</v>
      </c>
      <c r="E59" s="793">
        <f t="shared" si="20"/>
        <v>3.1409752752000002</v>
      </c>
      <c r="F59" s="793">
        <f t="shared" si="20"/>
        <v>3.4205957971296002</v>
      </c>
      <c r="G59" s="793">
        <f t="shared" si="20"/>
        <v>4.2909695446908236</v>
      </c>
      <c r="H59" s="793">
        <f t="shared" si="20"/>
        <v>4.5101003680452063</v>
      </c>
      <c r="I59" s="794">
        <f t="shared" si="20"/>
        <v>5.3415870012479028</v>
      </c>
      <c r="J59" s="775"/>
      <c r="K59" s="50"/>
      <c r="L59" s="50"/>
    </row>
    <row r="60" spans="1:21" ht="23.25" customHeight="1" thickBot="1" x14ac:dyDescent="0.35">
      <c r="A60" s="962" t="str">
        <f>+'6 Capital de trabajo'!A29:D29</f>
        <v>SUMINISTROS DE ASEO Y LIMPIEZA</v>
      </c>
      <c r="B60" s="963"/>
      <c r="C60" s="963"/>
      <c r="D60" s="963"/>
      <c r="E60" s="963"/>
      <c r="F60" s="963"/>
      <c r="G60" s="963"/>
      <c r="H60" s="963"/>
      <c r="I60" s="963"/>
      <c r="J60" s="764"/>
      <c r="K60" s="50"/>
      <c r="L60" s="50"/>
    </row>
    <row r="61" spans="1:21" x14ac:dyDescent="0.3">
      <c r="A61" s="81" t="str">
        <f>+'6 Capital de trabajo'!B30</f>
        <v>Desinfectante (Galón)</v>
      </c>
      <c r="B61" s="795">
        <f>+B11*0.005*6</f>
        <v>0.89999999999999991</v>
      </c>
      <c r="C61" s="795">
        <f t="shared" ref="C61:I61" si="21">+C11*0.005*6</f>
        <v>2.6082000000000001</v>
      </c>
      <c r="D61" s="795">
        <f t="shared" si="21"/>
        <v>3.2421635999999996</v>
      </c>
      <c r="E61" s="795">
        <f t="shared" si="21"/>
        <v>4.7114629128000001</v>
      </c>
      <c r="F61" s="795">
        <f t="shared" si="21"/>
        <v>5.1308936956944011</v>
      </c>
      <c r="G61" s="795">
        <f t="shared" si="21"/>
        <v>6.4364543170362349</v>
      </c>
      <c r="H61" s="795">
        <f t="shared" si="21"/>
        <v>6.7651505520678095</v>
      </c>
      <c r="I61" s="796">
        <f t="shared" si="21"/>
        <v>8.0123805018718546</v>
      </c>
      <c r="J61" s="776"/>
      <c r="K61" s="50"/>
      <c r="L61" s="50"/>
    </row>
    <row r="62" spans="1:21" x14ac:dyDescent="0.3">
      <c r="A62" s="63" t="str">
        <f>+'6 Capital de trabajo'!B31</f>
        <v>Jabón Líquido (Galón)</v>
      </c>
      <c r="B62" s="759">
        <f>+B11*0.006*6</f>
        <v>1.08</v>
      </c>
      <c r="C62" s="759">
        <f t="shared" ref="C62:I62" si="22">+C11*0.006*6</f>
        <v>3.1298399999999997</v>
      </c>
      <c r="D62" s="759">
        <f t="shared" si="22"/>
        <v>3.8905963199999998</v>
      </c>
      <c r="E62" s="759">
        <f t="shared" si="22"/>
        <v>5.6537554953600004</v>
      </c>
      <c r="F62" s="759">
        <f t="shared" si="22"/>
        <v>6.1570724348332808</v>
      </c>
      <c r="G62" s="759">
        <f t="shared" si="22"/>
        <v>7.7237451804434825</v>
      </c>
      <c r="H62" s="759">
        <f t="shared" si="22"/>
        <v>8.1181806624813717</v>
      </c>
      <c r="I62" s="79">
        <f t="shared" si="22"/>
        <v>9.6148566022462241</v>
      </c>
      <c r="J62" s="776"/>
      <c r="K62" s="50"/>
      <c r="L62" s="50"/>
    </row>
    <row r="63" spans="1:21" x14ac:dyDescent="0.3">
      <c r="A63" s="63" t="str">
        <f>+'6 Capital de trabajo'!B32</f>
        <v>Papel Higiénico (Rollo Grande)</v>
      </c>
      <c r="B63" s="759">
        <f>+B11*0.13*6</f>
        <v>23.400000000000002</v>
      </c>
      <c r="C63" s="759">
        <f t="shared" ref="C63:I63" si="23">+C11*0.13*6</f>
        <v>67.813200000000009</v>
      </c>
      <c r="D63" s="759">
        <f t="shared" si="23"/>
        <v>84.2962536</v>
      </c>
      <c r="E63" s="759">
        <f t="shared" si="23"/>
        <v>122.49803573280002</v>
      </c>
      <c r="F63" s="759">
        <f t="shared" si="23"/>
        <v>133.40323608805443</v>
      </c>
      <c r="G63" s="759">
        <f t="shared" si="23"/>
        <v>167.3478122429421</v>
      </c>
      <c r="H63" s="759">
        <f t="shared" si="23"/>
        <v>175.89391435376305</v>
      </c>
      <c r="I63" s="79">
        <f t="shared" si="23"/>
        <v>208.32189304866822</v>
      </c>
      <c r="J63" s="776"/>
      <c r="K63" s="50"/>
      <c r="L63" s="50"/>
      <c r="T63" s="48">
        <v>1</v>
      </c>
      <c r="U63" s="48">
        <v>2.2000000000000002</v>
      </c>
    </row>
    <row r="64" spans="1:21" x14ac:dyDescent="0.3">
      <c r="A64" s="63" t="str">
        <f>+'6 Capital de trabajo'!B33</f>
        <v>Escoba</v>
      </c>
      <c r="B64" s="759">
        <v>2</v>
      </c>
      <c r="C64" s="759">
        <v>2</v>
      </c>
      <c r="D64" s="759">
        <v>2</v>
      </c>
      <c r="E64" s="759">
        <v>2</v>
      </c>
      <c r="F64" s="759">
        <v>2</v>
      </c>
      <c r="G64" s="759">
        <v>2</v>
      </c>
      <c r="H64" s="759">
        <v>2</v>
      </c>
      <c r="I64" s="79">
        <v>2</v>
      </c>
      <c r="J64" s="776"/>
      <c r="K64" s="50"/>
      <c r="L64" s="50"/>
      <c r="U64" s="48">
        <v>1</v>
      </c>
    </row>
    <row r="65" spans="1:21" x14ac:dyDescent="0.3">
      <c r="A65" s="63" t="str">
        <f>+'6 Capital de trabajo'!B34</f>
        <v>Paquete de Fundas de Basura</v>
      </c>
      <c r="B65" s="759">
        <f>+(100*B11)/500</f>
        <v>6</v>
      </c>
      <c r="C65" s="759">
        <f t="shared" ref="C65:I65" si="24">+(100*C11)/500</f>
        <v>17.388000000000002</v>
      </c>
      <c r="D65" s="759">
        <f t="shared" si="24"/>
        <v>21.614424</v>
      </c>
      <c r="E65" s="759">
        <f t="shared" si="24"/>
        <v>31.409752752000003</v>
      </c>
      <c r="F65" s="759">
        <f t="shared" si="24"/>
        <v>34.205957971296002</v>
      </c>
      <c r="G65" s="759">
        <f t="shared" si="24"/>
        <v>42.909695446908231</v>
      </c>
      <c r="H65" s="759">
        <f t="shared" si="24"/>
        <v>45.101003680452067</v>
      </c>
      <c r="I65" s="79">
        <f t="shared" si="24"/>
        <v>53.415870012479026</v>
      </c>
      <c r="J65" s="776"/>
      <c r="K65" s="50"/>
      <c r="L65" s="50"/>
      <c r="U65" s="48">
        <f>+U64/U63</f>
        <v>0.45454545454545453</v>
      </c>
    </row>
    <row r="66" spans="1:21" x14ac:dyDescent="0.3">
      <c r="A66" s="63" t="str">
        <f>+'6 Capital de trabajo'!B35</f>
        <v>Trapeador</v>
      </c>
      <c r="B66" s="759">
        <v>3</v>
      </c>
      <c r="C66" s="759">
        <v>3</v>
      </c>
      <c r="D66" s="759">
        <v>3</v>
      </c>
      <c r="E66" s="759">
        <v>3</v>
      </c>
      <c r="F66" s="759">
        <v>3</v>
      </c>
      <c r="G66" s="759">
        <v>3</v>
      </c>
      <c r="H66" s="759">
        <v>3</v>
      </c>
      <c r="I66" s="79">
        <v>3</v>
      </c>
      <c r="J66" s="776"/>
      <c r="K66" s="50"/>
      <c r="L66" s="50"/>
    </row>
    <row r="67" spans="1:21" ht="10.8" thickBot="1" x14ac:dyDescent="0.35">
      <c r="A67" s="67" t="str">
        <f>+'6 Capital de trabajo'!B36</f>
        <v>Cloro (Galón)</v>
      </c>
      <c r="B67" s="797">
        <f>+B11*0.005*6</f>
        <v>0.89999999999999991</v>
      </c>
      <c r="C67" s="797">
        <f t="shared" ref="C67:I67" si="25">+C11*0.005*6</f>
        <v>2.6082000000000001</v>
      </c>
      <c r="D67" s="797">
        <f t="shared" si="25"/>
        <v>3.2421635999999996</v>
      </c>
      <c r="E67" s="797">
        <f t="shared" si="25"/>
        <v>4.7114629128000001</v>
      </c>
      <c r="F67" s="797">
        <f t="shared" si="25"/>
        <v>5.1308936956944011</v>
      </c>
      <c r="G67" s="797">
        <f t="shared" si="25"/>
        <v>6.4364543170362349</v>
      </c>
      <c r="H67" s="797">
        <f t="shared" si="25"/>
        <v>6.7651505520678095</v>
      </c>
      <c r="I67" s="798">
        <f t="shared" si="25"/>
        <v>8.0123805018718546</v>
      </c>
      <c r="J67" s="776"/>
      <c r="K67" s="50"/>
      <c r="L67" s="50"/>
    </row>
    <row r="68" spans="1:21" ht="21" customHeight="1" thickBot="1" x14ac:dyDescent="0.35">
      <c r="A68" s="1012" t="str">
        <f>+'6 Capital de trabajo'!A38:D38</f>
        <v>ACCESORIOS Y MATERIALES</v>
      </c>
      <c r="B68" s="1013"/>
      <c r="C68" s="1013"/>
      <c r="D68" s="1013"/>
      <c r="E68" s="1013"/>
      <c r="F68" s="1013"/>
      <c r="G68" s="1013"/>
      <c r="H68" s="1013"/>
      <c r="I68" s="1013"/>
      <c r="J68" s="764"/>
      <c r="K68" s="50"/>
      <c r="L68" s="50"/>
    </row>
    <row r="69" spans="1:21" x14ac:dyDescent="0.3">
      <c r="A69" s="81" t="str">
        <f>+'6 Capital de trabajo'!B40</f>
        <v>Grapadora</v>
      </c>
      <c r="B69" s="761">
        <f>+B20+4</f>
        <v>5.25</v>
      </c>
      <c r="C69" s="761">
        <f t="shared" ref="C69:I69" si="26">+C20+4</f>
        <v>8.1333333333333329</v>
      </c>
      <c r="D69" s="761">
        <f t="shared" si="26"/>
        <v>9.5444444444444443</v>
      </c>
      <c r="E69" s="761">
        <f t="shared" si="26"/>
        <v>12.527777777777779</v>
      </c>
      <c r="F69" s="761">
        <f t="shared" si="26"/>
        <v>14.069444444444445</v>
      </c>
      <c r="G69" s="761">
        <f t="shared" si="26"/>
        <v>17.116666666666667</v>
      </c>
      <c r="H69" s="761">
        <f t="shared" si="26"/>
        <v>18.697222222222223</v>
      </c>
      <c r="I69" s="799">
        <f t="shared" si="26"/>
        <v>21.725000000000001</v>
      </c>
      <c r="J69" s="777"/>
      <c r="K69" s="50"/>
      <c r="L69" s="50"/>
    </row>
    <row r="70" spans="1:21" x14ac:dyDescent="0.3">
      <c r="A70" s="63" t="str">
        <f>+'6 Capital de trabajo'!B41</f>
        <v>Perforadora</v>
      </c>
      <c r="B70" s="762">
        <f>+B20+4</f>
        <v>5.25</v>
      </c>
      <c r="C70" s="762">
        <f t="shared" ref="C70:I70" si="27">+C20+4</f>
        <v>8.1333333333333329</v>
      </c>
      <c r="D70" s="762">
        <f t="shared" si="27"/>
        <v>9.5444444444444443</v>
      </c>
      <c r="E70" s="762">
        <f t="shared" si="27"/>
        <v>12.527777777777779</v>
      </c>
      <c r="F70" s="762">
        <f t="shared" si="27"/>
        <v>14.069444444444445</v>
      </c>
      <c r="G70" s="762">
        <f t="shared" si="27"/>
        <v>17.116666666666667</v>
      </c>
      <c r="H70" s="762">
        <f t="shared" si="27"/>
        <v>18.697222222222223</v>
      </c>
      <c r="I70" s="800">
        <f t="shared" si="27"/>
        <v>21.725000000000001</v>
      </c>
      <c r="J70" s="777"/>
      <c r="K70" s="50"/>
      <c r="L70" s="50"/>
    </row>
    <row r="71" spans="1:21" x14ac:dyDescent="0.3">
      <c r="A71" s="801"/>
      <c r="B71" s="51"/>
      <c r="C71" s="51"/>
      <c r="D71" s="51"/>
      <c r="E71" s="51"/>
      <c r="F71" s="55"/>
      <c r="G71" s="55"/>
      <c r="H71" s="55"/>
      <c r="I71" s="56"/>
      <c r="J71" s="50"/>
      <c r="K71" s="50"/>
      <c r="L71" s="50"/>
    </row>
    <row r="72" spans="1:21" x14ac:dyDescent="0.3">
      <c r="A72" s="63">
        <f>+'6 Capital de trabajo'!B42</f>
        <v>0</v>
      </c>
      <c r="B72" s="64"/>
      <c r="C72" s="64"/>
      <c r="D72" s="64"/>
      <c r="E72" s="64"/>
      <c r="F72" s="64"/>
      <c r="G72" s="64"/>
      <c r="H72" s="64"/>
      <c r="I72" s="65"/>
      <c r="J72" s="71"/>
      <c r="K72" s="50"/>
      <c r="L72" s="50"/>
    </row>
    <row r="73" spans="1:21" x14ac:dyDescent="0.3">
      <c r="A73" s="63">
        <f>+'6 Capital de trabajo'!B43</f>
        <v>0</v>
      </c>
      <c r="B73" s="64"/>
      <c r="C73" s="64"/>
      <c r="D73" s="64"/>
      <c r="E73" s="64"/>
      <c r="F73" s="64"/>
      <c r="G73" s="64"/>
      <c r="H73" s="64"/>
      <c r="I73" s="65"/>
      <c r="J73" s="71"/>
      <c r="K73" s="50"/>
      <c r="L73" s="50"/>
    </row>
    <row r="74" spans="1:21" x14ac:dyDescent="0.3">
      <c r="A74" s="63">
        <f>+'6 Capital de trabajo'!B44</f>
        <v>0</v>
      </c>
      <c r="B74" s="64"/>
      <c r="C74" s="64"/>
      <c r="D74" s="64"/>
      <c r="E74" s="64"/>
      <c r="F74" s="64"/>
      <c r="G74" s="64"/>
      <c r="H74" s="64"/>
      <c r="I74" s="65"/>
      <c r="J74" s="71"/>
      <c r="K74" s="50"/>
      <c r="L74" s="50"/>
    </row>
    <row r="75" spans="1:21" x14ac:dyDescent="0.3">
      <c r="A75" s="63">
        <f>+'6 Capital de trabajo'!B45</f>
        <v>0</v>
      </c>
      <c r="B75" s="64"/>
      <c r="C75" s="64"/>
      <c r="D75" s="64"/>
      <c r="E75" s="64"/>
      <c r="F75" s="64"/>
      <c r="G75" s="64"/>
      <c r="H75" s="64"/>
      <c r="I75" s="65"/>
      <c r="J75" s="71"/>
      <c r="K75" s="50"/>
      <c r="L75" s="50"/>
    </row>
    <row r="76" spans="1:21" ht="10.8" thickBot="1" x14ac:dyDescent="0.35">
      <c r="A76" s="67">
        <f>+'6 Capital de trabajo'!B46</f>
        <v>0</v>
      </c>
      <c r="B76" s="68"/>
      <c r="C76" s="68"/>
      <c r="D76" s="68"/>
      <c r="E76" s="68"/>
      <c r="F76" s="68"/>
      <c r="G76" s="68"/>
      <c r="H76" s="68"/>
      <c r="I76" s="69"/>
      <c r="J76" s="71"/>
      <c r="K76" s="50"/>
      <c r="L76" s="50"/>
    </row>
    <row r="77" spans="1:21" ht="29.25" customHeight="1" thickBot="1" x14ac:dyDescent="0.35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50"/>
      <c r="L77" s="50"/>
    </row>
    <row r="78" spans="1:21" ht="24" customHeight="1" thickBot="1" x14ac:dyDescent="0.35">
      <c r="A78" s="1039" t="s">
        <v>158</v>
      </c>
      <c r="B78" s="1040"/>
      <c r="C78" s="1040"/>
      <c r="D78" s="1040"/>
      <c r="E78" s="1040"/>
      <c r="F78" s="1040"/>
      <c r="G78" s="1040"/>
      <c r="H78" s="1040"/>
      <c r="I78" s="1040"/>
      <c r="J78" s="764"/>
      <c r="K78" s="50"/>
      <c r="L78" s="50"/>
    </row>
    <row r="79" spans="1:21" ht="15.75" customHeight="1" x14ac:dyDescent="0.3">
      <c r="A79" s="596" t="s">
        <v>159</v>
      </c>
      <c r="B79" s="72">
        <f>+'7 Sueldos'!E228</f>
        <v>1</v>
      </c>
      <c r="C79" s="72">
        <f>+'7 Sueldos'!E229</f>
        <v>1.0143</v>
      </c>
      <c r="D79" s="72">
        <f>+'7 Sueldos'!E229</f>
        <v>1.0143</v>
      </c>
      <c r="E79" s="72">
        <f>+'7 Sueldos'!E230</f>
        <v>1.0330999999999999</v>
      </c>
      <c r="F79" s="72">
        <f>+'7 Sueldos'!E230</f>
        <v>1.0330999999999999</v>
      </c>
      <c r="G79" s="72">
        <f>+'7 Sueldos'!E231</f>
        <v>1.0135000000000001</v>
      </c>
      <c r="H79" s="72">
        <f>+'7 Sueldos'!E231</f>
        <v>1.0135000000000001</v>
      </c>
      <c r="I79" s="72">
        <f>+'7 Sueldos'!E232</f>
        <v>1.0135000000000001</v>
      </c>
      <c r="J79" s="778"/>
    </row>
    <row r="80" spans="1:21" ht="16.2" thickBot="1" x14ac:dyDescent="0.35">
      <c r="A80" s="541" t="s">
        <v>157</v>
      </c>
      <c r="B80" s="141">
        <f t="shared" ref="B80:I80" si="28">+B51</f>
        <v>2023</v>
      </c>
      <c r="C80" s="141">
        <f t="shared" si="28"/>
        <v>2023</v>
      </c>
      <c r="D80" s="73">
        <f t="shared" si="28"/>
        <v>2024</v>
      </c>
      <c r="E80" s="73">
        <f t="shared" si="28"/>
        <v>2024</v>
      </c>
      <c r="F80" s="73">
        <f t="shared" si="28"/>
        <v>2025</v>
      </c>
      <c r="G80" s="73">
        <f t="shared" si="28"/>
        <v>2025</v>
      </c>
      <c r="H80" s="73">
        <f t="shared" si="28"/>
        <v>2026</v>
      </c>
      <c r="I80" s="73">
        <f t="shared" si="28"/>
        <v>2026</v>
      </c>
      <c r="J80" s="774"/>
      <c r="K80" s="47"/>
      <c r="L80" s="47"/>
    </row>
    <row r="81" spans="1:21" ht="29.25" customHeight="1" thickBot="1" x14ac:dyDescent="0.35">
      <c r="A81" s="1039" t="str">
        <f t="shared" ref="A81:A97" si="29">+A52</f>
        <v>MATERIALES Y SUMINISTROS</v>
      </c>
      <c r="B81" s="1040"/>
      <c r="C81" s="1040"/>
      <c r="D81" s="1040"/>
      <c r="E81" s="1040"/>
      <c r="F81" s="1040"/>
      <c r="G81" s="1040"/>
      <c r="H81" s="1040"/>
      <c r="I81" s="1040"/>
      <c r="J81" s="764"/>
      <c r="K81" s="47"/>
      <c r="L81" s="47"/>
    </row>
    <row r="82" spans="1:21" x14ac:dyDescent="0.3">
      <c r="A82" s="86" t="str">
        <f t="shared" si="29"/>
        <v>Resma de papel bond de 75 gramos</v>
      </c>
      <c r="B82" s="87">
        <f>+B53*$B$79*'6 Capital de trabajo'!$C$21</f>
        <v>19.5</v>
      </c>
      <c r="C82" s="87">
        <f>+C53*$C$79*'6 Capital de trabajo'!C21</f>
        <v>57.319107300000006</v>
      </c>
      <c r="D82" s="87">
        <f>+D53*$D$79*'6 Capital de trabajo'!C21</f>
        <v>71.251408355400002</v>
      </c>
      <c r="E82" s="87">
        <f>+E53*$E$79*'6 Capital de trabajo'!C21</f>
        <v>105.46060059629639</v>
      </c>
      <c r="F82" s="87">
        <f>+F53*$F$79*'6 Capital de trabajo'!C21</f>
        <v>114.84906933547416</v>
      </c>
      <c r="G82" s="87">
        <f>+G53*$G$79*'6 Capital de trabajo'!C21</f>
        <v>141.33917309018486</v>
      </c>
      <c r="H82" s="87">
        <f>+H53*$H$79*'6 Capital de trabajo'!C21</f>
        <v>148.55706849794905</v>
      </c>
      <c r="I82" s="88">
        <f>+I53*$I$79*'6 Capital de trabajo'!C21</f>
        <v>175.94519883735438</v>
      </c>
      <c r="J82" s="779"/>
      <c r="K82" s="74"/>
      <c r="L82" s="74"/>
    </row>
    <row r="83" spans="1:21" x14ac:dyDescent="0.3">
      <c r="A83" s="75" t="str">
        <f t="shared" si="29"/>
        <v>Cartuchos de impresora (Color)</v>
      </c>
      <c r="B83" s="76">
        <f>+B54*$B$79*'6 Capital de trabajo'!$C$22</f>
        <v>30</v>
      </c>
      <c r="C83" s="76">
        <f>+C54*$C$79*'6 Capital de trabajo'!C22</f>
        <v>88.183241999999993</v>
      </c>
      <c r="D83" s="76">
        <f>+D54*$D$79*'6 Capital de trabajo'!C22</f>
        <v>109.61755131599999</v>
      </c>
      <c r="E83" s="76">
        <f>+E54*$E$79*'6 Capital de trabajo'!C22</f>
        <v>162.247077840456</v>
      </c>
      <c r="F83" s="76">
        <f>+F54*$F$79*'6 Capital de trabajo'!C22</f>
        <v>176.69087590072948</v>
      </c>
      <c r="G83" s="76">
        <f>+G54*$G$79*'6 Capital de trabajo'!C22</f>
        <v>217.44488167720749</v>
      </c>
      <c r="H83" s="76">
        <f>+H54*$H$79*'6 Capital de trabajo'!C22</f>
        <v>228.54933615069086</v>
      </c>
      <c r="I83" s="77">
        <f>+I54*$I$79*'6 Capital de trabajo'!C22</f>
        <v>270.68492128823749</v>
      </c>
      <c r="J83" s="779"/>
      <c r="K83" s="74"/>
      <c r="L83" s="74"/>
    </row>
    <row r="84" spans="1:21" x14ac:dyDescent="0.3">
      <c r="A84" s="75" t="str">
        <f t="shared" si="29"/>
        <v>Cartuchos de impresora (Negro)</v>
      </c>
      <c r="B84" s="76">
        <f>+B55*$B$79*'6 Capital de trabajo'!$C$23</f>
        <v>24</v>
      </c>
      <c r="C84" s="76">
        <f>+C55*$C$79*'6 Capital de trabajo'!C23</f>
        <v>70.546593599999994</v>
      </c>
      <c r="D84" s="76">
        <f>+D55*$D$79*'6 Capital de trabajo'!C23</f>
        <v>87.694041052800003</v>
      </c>
      <c r="E84" s="76">
        <f>+E55*$E$79*'6 Capital de trabajo'!C23</f>
        <v>129.79766227236479</v>
      </c>
      <c r="F84" s="76">
        <f>+F55*$F$79*'6 Capital de trabajo'!C23</f>
        <v>141.35270072058358</v>
      </c>
      <c r="G84" s="76">
        <f>+G55*$G$79*'6 Capital de trabajo'!C23</f>
        <v>173.95590534176597</v>
      </c>
      <c r="H84" s="76">
        <f>+H55*$H$79*'6 Capital de trabajo'!C23</f>
        <v>182.83946892055269</v>
      </c>
      <c r="I84" s="77">
        <f>+I55*$I$79*'6 Capital de trabajo'!C23</f>
        <v>216.54793703058999</v>
      </c>
      <c r="J84" s="779"/>
      <c r="K84" s="74"/>
      <c r="L84" s="74"/>
    </row>
    <row r="85" spans="1:21" x14ac:dyDescent="0.3">
      <c r="A85" s="75" t="str">
        <f t="shared" si="29"/>
        <v>Carpetas de cartón</v>
      </c>
      <c r="B85" s="76">
        <f>+B56*$B$79*'6 Capital de trabajo'!C24</f>
        <v>60</v>
      </c>
      <c r="C85" s="76">
        <f>+C56*$C$79*'6 Capital de trabajo'!C24</f>
        <v>176.36648399999999</v>
      </c>
      <c r="D85" s="76">
        <f>+D56*$D$79*'6 Capital de trabajo'!C24</f>
        <v>219.23510263199998</v>
      </c>
      <c r="E85" s="76">
        <f>+E56*$E$79*'6 Capital de trabajo'!C24</f>
        <v>324.494155680912</v>
      </c>
      <c r="F85" s="76">
        <f>+F56*$F$79*'6 Capital de trabajo'!C24</f>
        <v>353.38175180145902</v>
      </c>
      <c r="G85" s="76">
        <f>+G56*$G$79*'6 Capital de trabajo'!C24</f>
        <v>434.88976335441498</v>
      </c>
      <c r="H85" s="76">
        <f>+H56*$H$79*'6 Capital de trabajo'!C24</f>
        <v>457.09867230138167</v>
      </c>
      <c r="I85" s="77">
        <f>+I56*$I$79*'6 Capital de trabajo'!C24</f>
        <v>541.36984257647498</v>
      </c>
      <c r="J85" s="779"/>
      <c r="K85" s="74"/>
      <c r="L85" s="74"/>
    </row>
    <row r="86" spans="1:21" x14ac:dyDescent="0.3">
      <c r="A86" s="75" t="str">
        <f t="shared" si="29"/>
        <v>Porta files</v>
      </c>
      <c r="B86" s="76">
        <f>+B57*$B$79*'6 Capital de trabajo'!C25</f>
        <v>60</v>
      </c>
      <c r="C86" s="76">
        <f>+C57*$C$79*'6 Capital de trabajo'!C25</f>
        <v>176.36648399999999</v>
      </c>
      <c r="D86" s="76">
        <f>+D57*$D$79*'6 Capital de trabajo'!C25</f>
        <v>219.23510263199998</v>
      </c>
      <c r="E86" s="76">
        <f>+E57*$E$79*'6 Capital de trabajo'!C25</f>
        <v>324.494155680912</v>
      </c>
      <c r="F86" s="76">
        <f>+F57*$F$79*'6 Capital de trabajo'!C25</f>
        <v>353.38175180145902</v>
      </c>
      <c r="G86" s="76">
        <f>+G57*$G$79*'6 Capital de trabajo'!C25</f>
        <v>434.88976335441498</v>
      </c>
      <c r="H86" s="76">
        <f>+H57*$H$79*'6 Capital de trabajo'!C25</f>
        <v>457.09867230138167</v>
      </c>
      <c r="I86" s="77">
        <f>+I57*$I$79*'6 Capital de trabajo'!C25</f>
        <v>541.36984257647498</v>
      </c>
      <c r="J86" s="779"/>
      <c r="K86" s="74"/>
      <c r="L86" s="74"/>
    </row>
    <row r="87" spans="1:21" x14ac:dyDescent="0.3">
      <c r="A87" s="75" t="str">
        <f t="shared" si="29"/>
        <v>Esferos, micro minas, lápiz, borradores, correctores</v>
      </c>
      <c r="B87" s="76">
        <f>+B58*$B$79*'6 Capital de trabajo'!C26</f>
        <v>7.5</v>
      </c>
      <c r="C87" s="76">
        <f>+C58*$C$79*'6 Capital de trabajo'!C26</f>
        <v>22.045810499999998</v>
      </c>
      <c r="D87" s="76">
        <f>+D58*$D$79*'6 Capital de trabajo'!C26</f>
        <v>27.404387828999997</v>
      </c>
      <c r="E87" s="76">
        <f>+E58*$E$79*'6 Capital de trabajo'!C26</f>
        <v>40.561769460114</v>
      </c>
      <c r="F87" s="76">
        <f>+F58*$F$79*'6 Capital de trabajo'!C26</f>
        <v>44.172718975182377</v>
      </c>
      <c r="G87" s="76">
        <f>+G58*$G$79*'6 Capital de trabajo'!C26</f>
        <v>54.361220419301873</v>
      </c>
      <c r="H87" s="76">
        <f>+H58*$H$79*'6 Capital de trabajo'!C26</f>
        <v>57.137334037672709</v>
      </c>
      <c r="I87" s="77">
        <f>+I58*$I$79*'6 Capital de trabajo'!C26</f>
        <v>67.671230322059372</v>
      </c>
      <c r="J87" s="779"/>
      <c r="K87" s="74"/>
      <c r="L87" s="74"/>
    </row>
    <row r="88" spans="1:21" ht="10.8" thickBot="1" x14ac:dyDescent="0.35">
      <c r="A88" s="802" t="str">
        <f t="shared" si="29"/>
        <v>Grapas, clips (CAJA)</v>
      </c>
      <c r="B88" s="89">
        <f>+B59*$B$79*'6 Capital de trabajo'!C27</f>
        <v>0.6</v>
      </c>
      <c r="C88" s="89">
        <f>+C59*$C$79*'6 Capital de trabajo'!C27</f>
        <v>1.7636648399999999</v>
      </c>
      <c r="D88" s="89">
        <f>+D59*$D$79*'6 Capital de trabajo'!C27</f>
        <v>2.1923510263199999</v>
      </c>
      <c r="E88" s="89">
        <f>+E59*$E$79*'6 Capital de trabajo'!C27</f>
        <v>3.24494155680912</v>
      </c>
      <c r="F88" s="89">
        <f>+F59*$F$79*'6 Capital de trabajo'!C27</f>
        <v>3.5338175180145894</v>
      </c>
      <c r="G88" s="89">
        <f>+G59*$G$79*'6 Capital de trabajo'!C27</f>
        <v>4.3488976335441496</v>
      </c>
      <c r="H88" s="89">
        <f>+H59*$H$79*'6 Capital de trabajo'!C27</f>
        <v>4.5709867230138173</v>
      </c>
      <c r="I88" s="90">
        <f>+I59*$I$79*'6 Capital de trabajo'!C27</f>
        <v>5.4136984257647498</v>
      </c>
      <c r="J88" s="779"/>
      <c r="K88" s="74"/>
      <c r="L88" s="74"/>
    </row>
    <row r="89" spans="1:21" ht="22.5" customHeight="1" thickBot="1" x14ac:dyDescent="0.35">
      <c r="A89" s="1054" t="str">
        <f t="shared" si="29"/>
        <v>SUMINISTROS DE ASEO Y LIMPIEZA</v>
      </c>
      <c r="B89" s="1055"/>
      <c r="C89" s="1055"/>
      <c r="D89" s="1055"/>
      <c r="E89" s="1055"/>
      <c r="F89" s="1055"/>
      <c r="G89" s="1055"/>
      <c r="H89" s="1055"/>
      <c r="I89" s="1055"/>
      <c r="J89" s="780"/>
      <c r="K89" s="74"/>
      <c r="L89" s="74"/>
    </row>
    <row r="90" spans="1:21" x14ac:dyDescent="0.3">
      <c r="A90" s="86" t="str">
        <f t="shared" si="29"/>
        <v>Desinfectante (Galón)</v>
      </c>
      <c r="B90" s="87">
        <f>+B61*$B$79*'6 Capital de trabajo'!C30</f>
        <v>3.5999999999999996</v>
      </c>
      <c r="C90" s="87">
        <f>+C61*$C$79*'6 Capital de trabajo'!C30</f>
        <v>10.58198904</v>
      </c>
      <c r="D90" s="87">
        <f>+D61*$D$79*'6 Capital de trabajo'!C30</f>
        <v>13.154106157919998</v>
      </c>
      <c r="E90" s="87">
        <f>+E61*$E$79*'6 Capital de trabajo'!C30</f>
        <v>19.469649340854719</v>
      </c>
      <c r="F90" s="87">
        <f>+F61*$F$79*'6 Capital de trabajo'!C30</f>
        <v>21.202905108087542</v>
      </c>
      <c r="G90" s="87">
        <f>+G61*$G$79*'6 Capital de trabajo'!C30</f>
        <v>26.093385801264898</v>
      </c>
      <c r="H90" s="87">
        <f>+H61*$H$79*'6 Capital de trabajo'!C30</f>
        <v>27.4259203380829</v>
      </c>
      <c r="I90" s="88">
        <f>+I61*$I$79*'6 Capital de trabajo'!C30</f>
        <v>32.482190554588499</v>
      </c>
      <c r="J90" s="779"/>
      <c r="K90" s="74"/>
      <c r="L90" s="74"/>
    </row>
    <row r="91" spans="1:21" x14ac:dyDescent="0.3">
      <c r="A91" s="75" t="str">
        <f t="shared" si="29"/>
        <v>Jabón Líquido (Galón)</v>
      </c>
      <c r="B91" s="76">
        <f>+B62*$B$79*'6 Capital de trabajo'!C31</f>
        <v>3.24</v>
      </c>
      <c r="C91" s="76">
        <f>+C62*$C$79*'6 Capital de trabajo'!C31</f>
        <v>9.5237901359999988</v>
      </c>
      <c r="D91" s="76">
        <f>+D62*$D$79*'6 Capital de trabajo'!C31</f>
        <v>11.838695542127999</v>
      </c>
      <c r="E91" s="76">
        <f>+E62*$E$79*'6 Capital de trabajo'!C31</f>
        <v>17.522684406769248</v>
      </c>
      <c r="F91" s="76">
        <f>+F62*$F$79*'6 Capital de trabajo'!C31</f>
        <v>19.082614597278784</v>
      </c>
      <c r="G91" s="76">
        <f>+G62*$G$79*'6 Capital de trabajo'!C31</f>
        <v>23.484047221138411</v>
      </c>
      <c r="H91" s="76">
        <f>+H62*$H$79*'6 Capital de trabajo'!C31</f>
        <v>24.68332830427461</v>
      </c>
      <c r="I91" s="77">
        <f>+I62*$I$79*'6 Capital de trabajo'!C31</f>
        <v>29.233971499129645</v>
      </c>
      <c r="J91" s="779"/>
      <c r="K91" s="74"/>
      <c r="L91" s="74"/>
    </row>
    <row r="92" spans="1:21" x14ac:dyDescent="0.3">
      <c r="A92" s="75" t="str">
        <f t="shared" si="29"/>
        <v>Papel Higiénico (Rollo Grande)</v>
      </c>
      <c r="B92" s="76">
        <f>+B63*$B$79*'6 Capital de trabajo'!C32</f>
        <v>245.70000000000002</v>
      </c>
      <c r="C92" s="76">
        <f>+C63*$C$79*'6 Capital de trabajo'!C32</f>
        <v>722.22075198000005</v>
      </c>
      <c r="D92" s="76">
        <f>+D63*$D$79*'6 Capital de trabajo'!C32</f>
        <v>897.76774527803991</v>
      </c>
      <c r="E92" s="76">
        <f>+E63*$E$79*'6 Capital de trabajo'!C32</f>
        <v>1328.8035675133349</v>
      </c>
      <c r="F92" s="76">
        <f>+F63*$F$79*'6 Capital de trabajo'!C32</f>
        <v>1447.0982736269748</v>
      </c>
      <c r="G92" s="76">
        <f>+G63*$G$79*'6 Capital de trabajo'!C32</f>
        <v>1780.8735809363293</v>
      </c>
      <c r="H92" s="76">
        <f>+H63*$H$79*'6 Capital de trabajo'!C32</f>
        <v>1871.8190630741581</v>
      </c>
      <c r="I92" s="77">
        <f>+I63*$I$79*'6 Capital de trabajo'!C32</f>
        <v>2216.9095053506649</v>
      </c>
      <c r="J92" s="779"/>
      <c r="K92" s="74"/>
      <c r="L92" s="74"/>
      <c r="U92" s="604"/>
    </row>
    <row r="93" spans="1:21" x14ac:dyDescent="0.3">
      <c r="A93" s="75" t="str">
        <f t="shared" si="29"/>
        <v>Escoba</v>
      </c>
      <c r="B93" s="76">
        <f>+B64*$B$79*'6 Capital de trabajo'!C33</f>
        <v>21</v>
      </c>
      <c r="C93" s="76">
        <f>+C64*$C$79*'6 Capital de trabajo'!C33</f>
        <v>21.3003</v>
      </c>
      <c r="D93" s="76">
        <f>+D64*$D$79*'6 Capital de trabajo'!C33</f>
        <v>21.3003</v>
      </c>
      <c r="E93" s="76">
        <f>+E64*$E$79*'6 Capital de trabajo'!C33</f>
        <v>21.695099999999996</v>
      </c>
      <c r="F93" s="76">
        <f>+F64*$F$79*'6 Capital de trabajo'!C33</f>
        <v>21.695099999999996</v>
      </c>
      <c r="G93" s="76">
        <f>+G64*$G$79*'6 Capital de trabajo'!C33</f>
        <v>21.2835</v>
      </c>
      <c r="H93" s="76">
        <f>+H64*$H$79*'6 Capital de trabajo'!C33</f>
        <v>21.2835</v>
      </c>
      <c r="I93" s="77">
        <f>+I64*$I$79*'6 Capital de trabajo'!C33</f>
        <v>21.2835</v>
      </c>
      <c r="J93" s="779"/>
      <c r="K93" s="74"/>
      <c r="L93" s="74"/>
    </row>
    <row r="94" spans="1:21" x14ac:dyDescent="0.3">
      <c r="A94" s="75" t="str">
        <f t="shared" si="29"/>
        <v>Paquete de Fundas de Basura</v>
      </c>
      <c r="B94" s="76">
        <f>+B65*$B$79*'6 Capital de trabajo'!C34</f>
        <v>4.8000000000000007</v>
      </c>
      <c r="C94" s="76">
        <f>+C65*$C$79*'6 Capital de trabajo'!C34</f>
        <v>14.109318720000003</v>
      </c>
      <c r="D94" s="76">
        <f>+D65*$D$79*'6 Capital de trabajo'!C34</f>
        <v>17.538808210560003</v>
      </c>
      <c r="E94" s="76">
        <f>+E65*$E$79*'6 Capital de trabajo'!C34</f>
        <v>25.95953245447296</v>
      </c>
      <c r="F94" s="76">
        <f>+F65*$F$79*'6 Capital de trabajo'!C34</f>
        <v>28.270540144116719</v>
      </c>
      <c r="G94" s="76">
        <f>+G65*$G$79*'6 Capital de trabajo'!C34</f>
        <v>34.791181068353197</v>
      </c>
      <c r="H94" s="76">
        <f>+H65*$H$79*'6 Capital de trabajo'!C34</f>
        <v>36.567893784110538</v>
      </c>
      <c r="I94" s="77">
        <f>+I65*$I$79*'6 Capital de trabajo'!C34</f>
        <v>43.309587406117998</v>
      </c>
      <c r="J94" s="779"/>
      <c r="K94" s="74"/>
      <c r="L94" s="74"/>
    </row>
    <row r="95" spans="1:21" x14ac:dyDescent="0.3">
      <c r="A95" s="75" t="str">
        <f t="shared" si="29"/>
        <v>Trapeador</v>
      </c>
      <c r="B95" s="76">
        <f>+B66*$B$79*'6 Capital de trabajo'!C35</f>
        <v>7.5</v>
      </c>
      <c r="C95" s="76">
        <f>+C66*$C$79*'6 Capital de trabajo'!C35</f>
        <v>7.6072499999999996</v>
      </c>
      <c r="D95" s="76">
        <f>+D66*$D$79*'6 Capital de trabajo'!C35</f>
        <v>7.6072499999999996</v>
      </c>
      <c r="E95" s="76">
        <f>+E66*$E$79*'6 Capital de trabajo'!C35</f>
        <v>7.7482499999999987</v>
      </c>
      <c r="F95" s="76">
        <f>+F66*$F$79*'6 Capital de trabajo'!C35</f>
        <v>7.7482499999999987</v>
      </c>
      <c r="G95" s="76">
        <f>+G66*$G$79*'6 Capital de trabajo'!C35</f>
        <v>7.6012500000000003</v>
      </c>
      <c r="H95" s="76">
        <f>+H66*$H$79*'6 Capital de trabajo'!C35</f>
        <v>7.6012500000000003</v>
      </c>
      <c r="I95" s="77">
        <f>+I66*$I$79*'6 Capital de trabajo'!C35</f>
        <v>7.6012500000000003</v>
      </c>
      <c r="J95" s="779"/>
      <c r="K95" s="74"/>
      <c r="L95" s="74"/>
    </row>
    <row r="96" spans="1:21" ht="10.8" thickBot="1" x14ac:dyDescent="0.35">
      <c r="A96" s="802" t="str">
        <f t="shared" si="29"/>
        <v>Cloro (Galón)</v>
      </c>
      <c r="B96" s="89">
        <f>+B67*$B$79*'6 Capital de trabajo'!C36</f>
        <v>2.25</v>
      </c>
      <c r="C96" s="89">
        <f>+C67*$C$79*'6 Capital de trabajo'!C36</f>
        <v>6.6137431499999995</v>
      </c>
      <c r="D96" s="89">
        <f>+D67*$D$79*'6 Capital de trabajo'!C36</f>
        <v>8.2213163486999985</v>
      </c>
      <c r="E96" s="89">
        <f>+E67*$E$79*'6 Capital de trabajo'!C36</f>
        <v>12.168530838034199</v>
      </c>
      <c r="F96" s="89">
        <f>+F67*$F$79*'6 Capital de trabajo'!C36</f>
        <v>13.251815692554715</v>
      </c>
      <c r="G96" s="89">
        <f>+G67*$G$79*'6 Capital de trabajo'!C36</f>
        <v>16.30836612579056</v>
      </c>
      <c r="H96" s="89">
        <f>+H67*$H$79*'6 Capital de trabajo'!C36</f>
        <v>17.141200211301811</v>
      </c>
      <c r="I96" s="90">
        <f>+I67*$I$79*'6 Capital de trabajo'!C36</f>
        <v>20.301369096617812</v>
      </c>
      <c r="J96" s="779"/>
      <c r="K96" s="74"/>
      <c r="L96" s="74"/>
    </row>
    <row r="97" spans="1:12" ht="24" customHeight="1" thickBot="1" x14ac:dyDescent="0.35">
      <c r="A97" s="1059" t="str">
        <f t="shared" si="29"/>
        <v>ACCESORIOS Y MATERIALES</v>
      </c>
      <c r="B97" s="1060"/>
      <c r="C97" s="1060"/>
      <c r="D97" s="1060"/>
      <c r="E97" s="1060"/>
      <c r="F97" s="1060"/>
      <c r="G97" s="1060"/>
      <c r="H97" s="1060"/>
      <c r="I97" s="1060"/>
      <c r="J97" s="780"/>
      <c r="K97" s="74"/>
      <c r="L97" s="74"/>
    </row>
    <row r="98" spans="1:12" x14ac:dyDescent="0.3">
      <c r="A98" s="81" t="str">
        <f>+A69</f>
        <v>Grapadora</v>
      </c>
      <c r="B98" s="87">
        <f>+B69*$B$79*'6 Capital de trabajo'!C40</f>
        <v>78.75</v>
      </c>
      <c r="C98" s="87">
        <f>+C69*$C$79*'6 Capital de trabajo'!C40</f>
        <v>123.74459999999999</v>
      </c>
      <c r="D98" s="87">
        <f>+D69*$D$79*'6 Capital de trabajo'!C40</f>
        <v>145.21395000000001</v>
      </c>
      <c r="E98" s="87">
        <f>+E69*$E$79*'6 Capital de trabajo'!C40</f>
        <v>194.13670833333333</v>
      </c>
      <c r="F98" s="87">
        <f>+F70*$F$79*'6 Capital de trabajo'!C40</f>
        <v>218.02714583333332</v>
      </c>
      <c r="G98" s="87">
        <f>+G70*$G$79*'6 Capital de trabajo'!C40</f>
        <v>260.21612500000003</v>
      </c>
      <c r="H98" s="87">
        <f>+H70*$H$79*'6 Capital de trabajo'!C40</f>
        <v>284.24452083333335</v>
      </c>
      <c r="I98" s="88">
        <f>+I70*$I$79*'6 Capital de trabajo'!C40</f>
        <v>330.27431250000006</v>
      </c>
      <c r="J98" s="779"/>
      <c r="K98" s="74"/>
      <c r="L98" s="74"/>
    </row>
    <row r="99" spans="1:12" x14ac:dyDescent="0.3">
      <c r="A99" s="63" t="str">
        <f>+A70</f>
        <v>Perforadora</v>
      </c>
      <c r="B99" s="76">
        <f>+B70*$B$79*'6 Capital de trabajo'!C41</f>
        <v>52.5</v>
      </c>
      <c r="C99" s="76">
        <f>+C70*$C$79*'6 Capital de trabajo'!C41</f>
        <v>82.496399999999994</v>
      </c>
      <c r="D99" s="76">
        <f>+D70*$D$79*'6 Capital de trabajo'!C41</f>
        <v>96.809300000000007</v>
      </c>
      <c r="E99" s="76">
        <f>+E70*$E$79*'6 Capital de trabajo'!C41</f>
        <v>129.42447222222222</v>
      </c>
      <c r="F99" s="76">
        <f>+F71*$F$79*'6 Capital de trabajo'!C41</f>
        <v>0</v>
      </c>
      <c r="G99" s="76">
        <f>+G71*$G$79*'6 Capital de trabajo'!C41</f>
        <v>0</v>
      </c>
      <c r="H99" s="76">
        <f>+H71*$H$79*'6 Capital de trabajo'!C41</f>
        <v>0</v>
      </c>
      <c r="I99" s="77">
        <f>+I71*$I$79*'6 Capital de trabajo'!C41</f>
        <v>0</v>
      </c>
      <c r="J99" s="779"/>
      <c r="K99" s="74"/>
      <c r="L99" s="74"/>
    </row>
    <row r="100" spans="1:12" x14ac:dyDescent="0.3">
      <c r="A100" s="63">
        <f>+A72</f>
        <v>0</v>
      </c>
      <c r="B100" s="76">
        <f>+B72*$B$79*'6 Capital de trabajo'!C42</f>
        <v>0</v>
      </c>
      <c r="C100" s="76">
        <f>+C72*$C$79*'6 Capital de trabajo'!C42</f>
        <v>0</v>
      </c>
      <c r="D100" s="76">
        <f>+D72*$D$79*'6 Capital de trabajo'!C42</f>
        <v>0</v>
      </c>
      <c r="E100" s="76">
        <f>+E72*$E$79*'6 Capital de trabajo'!C42</f>
        <v>0</v>
      </c>
      <c r="F100" s="76">
        <f>+F72*$F$79*'6 Capital de trabajo'!C42</f>
        <v>0</v>
      </c>
      <c r="G100" s="76">
        <f>+G72*$G$79*'6 Capital de trabajo'!C42</f>
        <v>0</v>
      </c>
      <c r="H100" s="76">
        <f>+H72*$H$79*'6 Capital de trabajo'!C42</f>
        <v>0</v>
      </c>
      <c r="I100" s="77">
        <f>+I72*$I$79*'6 Capital de trabajo'!C42</f>
        <v>0</v>
      </c>
      <c r="J100" s="779"/>
      <c r="K100" s="74"/>
      <c r="L100" s="74"/>
    </row>
    <row r="101" spans="1:12" x14ac:dyDescent="0.3">
      <c r="A101" s="63">
        <f>+A73</f>
        <v>0</v>
      </c>
      <c r="B101" s="76">
        <f>+B73*$B$79*'6 Capital de trabajo'!C43</f>
        <v>0</v>
      </c>
      <c r="C101" s="76">
        <f>+C73*$C$79*'6 Capital de trabajo'!C43</f>
        <v>0</v>
      </c>
      <c r="D101" s="76">
        <f>+D73*$D$79*'6 Capital de trabajo'!C43</f>
        <v>0</v>
      </c>
      <c r="E101" s="76">
        <f>+E73*$E$79*'6 Capital de trabajo'!C43</f>
        <v>0</v>
      </c>
      <c r="F101" s="76">
        <f>+F73*$F$79*'6 Capital de trabajo'!C43</f>
        <v>0</v>
      </c>
      <c r="G101" s="76">
        <f>+G73*$G$79*'6 Capital de trabajo'!C43</f>
        <v>0</v>
      </c>
      <c r="H101" s="76">
        <f>+H73*$H$79*'6 Capital de trabajo'!C43</f>
        <v>0</v>
      </c>
      <c r="I101" s="77">
        <f>+I73*$I$79*'6 Capital de trabajo'!C43</f>
        <v>0</v>
      </c>
      <c r="J101" s="779"/>
      <c r="K101" s="74"/>
      <c r="L101" s="74"/>
    </row>
    <row r="102" spans="1:12" x14ac:dyDescent="0.3">
      <c r="A102" s="63">
        <f>+A74</f>
        <v>0</v>
      </c>
      <c r="B102" s="76">
        <f>+B74*$B$79*'6 Capital de trabajo'!C44</f>
        <v>0</v>
      </c>
      <c r="C102" s="76">
        <f>+C74*$C$79*'6 Capital de trabajo'!C44</f>
        <v>0</v>
      </c>
      <c r="D102" s="76">
        <f>+D74*$D$79*'6 Capital de trabajo'!C44</f>
        <v>0</v>
      </c>
      <c r="E102" s="76">
        <f>+E74*$E$79*'6 Capital de trabajo'!C44</f>
        <v>0</v>
      </c>
      <c r="F102" s="76">
        <f>+F74*$F$79*'6 Capital de trabajo'!C44</f>
        <v>0</v>
      </c>
      <c r="G102" s="76">
        <f>+G74*$G$79*'6 Capital de trabajo'!C44</f>
        <v>0</v>
      </c>
      <c r="H102" s="76">
        <f>+H74*$H$79*'6 Capital de trabajo'!C44</f>
        <v>0</v>
      </c>
      <c r="I102" s="77">
        <f>+I74*$I$79*'6 Capital de trabajo'!C44</f>
        <v>0</v>
      </c>
      <c r="J102" s="779"/>
      <c r="K102" s="74"/>
      <c r="L102" s="74"/>
    </row>
    <row r="103" spans="1:12" x14ac:dyDescent="0.3">
      <c r="A103" s="63">
        <f>+A75</f>
        <v>0</v>
      </c>
      <c r="B103" s="76">
        <f>+B75*$B$79*'6 Capital de trabajo'!C45</f>
        <v>0</v>
      </c>
      <c r="C103" s="76">
        <f>+C75*$C$79*'6 Capital de trabajo'!C45</f>
        <v>0</v>
      </c>
      <c r="D103" s="76">
        <f>+D75*$D$79*'6 Capital de trabajo'!C45</f>
        <v>0</v>
      </c>
      <c r="E103" s="76">
        <f>+E75*$E$79*'6 Capital de trabajo'!C45</f>
        <v>0</v>
      </c>
      <c r="F103" s="76">
        <f>+F75*$F$79*'6 Capital de trabajo'!C45</f>
        <v>0</v>
      </c>
      <c r="G103" s="76">
        <f>+G75*$G$79*'6 Capital de trabajo'!C45</f>
        <v>0</v>
      </c>
      <c r="H103" s="76">
        <f>+H75*$H$79*'6 Capital de trabajo'!C45</f>
        <v>0</v>
      </c>
      <c r="I103" s="77">
        <f>+I75*$I$79*'6 Capital de trabajo'!C45</f>
        <v>0</v>
      </c>
      <c r="J103" s="779"/>
      <c r="K103" s="74"/>
      <c r="L103" s="74"/>
    </row>
    <row r="104" spans="1:12" ht="10.8" thickBot="1" x14ac:dyDescent="0.35">
      <c r="A104" s="67">
        <f>+A76</f>
        <v>0</v>
      </c>
      <c r="B104" s="89">
        <f>+B76*$B$79*'6 Capital de trabajo'!C46</f>
        <v>0</v>
      </c>
      <c r="C104" s="89">
        <f>+C76*$C$79*'6 Capital de trabajo'!C46</f>
        <v>0</v>
      </c>
      <c r="D104" s="89">
        <f>+D76*$D$79*'6 Capital de trabajo'!C46</f>
        <v>0</v>
      </c>
      <c r="E104" s="89">
        <f>+E76*$E$79*'6 Capital de trabajo'!C46</f>
        <v>0</v>
      </c>
      <c r="F104" s="89">
        <f>+F76*$F$79*'6 Capital de trabajo'!C46</f>
        <v>0</v>
      </c>
      <c r="G104" s="89">
        <f>+G76*$G$79*'6 Capital de trabajo'!C46</f>
        <v>0</v>
      </c>
      <c r="H104" s="89">
        <f>+H76*$H$79*'6 Capital de trabajo'!C46</f>
        <v>0</v>
      </c>
      <c r="I104" s="90">
        <f>+I76*$I$79*'6 Capital de trabajo'!C46</f>
        <v>0</v>
      </c>
      <c r="J104" s="779"/>
      <c r="K104" s="74"/>
      <c r="L104" s="74"/>
    </row>
    <row r="105" spans="1:12" ht="19.5" customHeight="1" thickBot="1" x14ac:dyDescent="0.35">
      <c r="A105" s="84" t="s">
        <v>115</v>
      </c>
      <c r="B105" s="85">
        <f t="shared" ref="B105:I105" si="30">SUM(B82:B104)</f>
        <v>620.94000000000005</v>
      </c>
      <c r="C105" s="85">
        <f t="shared" si="30"/>
        <v>1590.789529266</v>
      </c>
      <c r="D105" s="85">
        <f t="shared" si="30"/>
        <v>1956.0814163808682</v>
      </c>
      <c r="E105" s="85">
        <f t="shared" si="30"/>
        <v>2847.228858196886</v>
      </c>
      <c r="F105" s="85">
        <f t="shared" si="30"/>
        <v>2963.7393310552479</v>
      </c>
      <c r="G105" s="85">
        <f t="shared" si="30"/>
        <v>3631.8810410237106</v>
      </c>
      <c r="H105" s="85">
        <f t="shared" si="30"/>
        <v>3826.6182154779044</v>
      </c>
      <c r="I105" s="85">
        <f t="shared" si="30"/>
        <v>4520.3983574640743</v>
      </c>
      <c r="J105" s="781"/>
      <c r="K105" s="78"/>
      <c r="L105" s="78"/>
    </row>
  </sheetData>
  <mergeCells count="21">
    <mergeCell ref="A97:I97"/>
    <mergeCell ref="A1:I1"/>
    <mergeCell ref="A38:I38"/>
    <mergeCell ref="A50:I50"/>
    <mergeCell ref="A52:I52"/>
    <mergeCell ref="A60:I60"/>
    <mergeCell ref="A22:I22"/>
    <mergeCell ref="A13:I13"/>
    <mergeCell ref="M1:N1"/>
    <mergeCell ref="A68:I68"/>
    <mergeCell ref="A78:I78"/>
    <mergeCell ref="A81:I81"/>
    <mergeCell ref="A89:I89"/>
    <mergeCell ref="K40:K41"/>
    <mergeCell ref="K42:K43"/>
    <mergeCell ref="L40:L41"/>
    <mergeCell ref="L42:L43"/>
    <mergeCell ref="K44:K45"/>
    <mergeCell ref="L44:L45"/>
    <mergeCell ref="K46:K47"/>
    <mergeCell ref="L46:L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6"/>
  <sheetViews>
    <sheetView showGridLines="0" zoomScaleNormal="100" workbookViewId="0">
      <selection activeCell="D6" sqref="D6"/>
    </sheetView>
  </sheetViews>
  <sheetFormatPr baseColWidth="10" defaultColWidth="11.44140625" defaultRowHeight="10.199999999999999" x14ac:dyDescent="0.3"/>
  <cols>
    <col min="1" max="2" width="11.44140625" style="48"/>
    <col min="3" max="3" width="11.5546875" style="48" bestFit="1" customWidth="1"/>
    <col min="4" max="4" width="12.44140625" style="48" customWidth="1"/>
    <col min="5" max="6" width="11.5546875" style="48" bestFit="1" customWidth="1"/>
    <col min="7" max="11" width="10.88671875" style="48" customWidth="1"/>
    <col min="12" max="16384" width="11.44140625" style="48"/>
  </cols>
  <sheetData>
    <row r="1" spans="1:11" ht="27.75" customHeight="1" thickBot="1" x14ac:dyDescent="0.35">
      <c r="A1" s="962" t="s">
        <v>356</v>
      </c>
      <c r="B1" s="963"/>
      <c r="C1" s="1013"/>
      <c r="D1" s="1013"/>
      <c r="E1" s="1013"/>
      <c r="F1" s="1013"/>
      <c r="G1" s="1013"/>
      <c r="H1" s="1013"/>
      <c r="I1" s="1013"/>
      <c r="J1" s="1013"/>
      <c r="K1" s="1013"/>
    </row>
    <row r="2" spans="1:11" ht="21" customHeight="1" x14ac:dyDescent="0.3">
      <c r="A2" s="986" t="s">
        <v>161</v>
      </c>
      <c r="B2" s="988"/>
      <c r="C2" s="986" t="s">
        <v>344</v>
      </c>
      <c r="D2" s="987"/>
      <c r="E2" s="987"/>
      <c r="F2" s="987"/>
      <c r="G2" s="987"/>
      <c r="H2" s="987"/>
      <c r="I2" s="987"/>
      <c r="J2" s="987"/>
      <c r="K2" s="987"/>
    </row>
    <row r="3" spans="1:11" ht="23.25" customHeight="1" x14ac:dyDescent="0.3">
      <c r="A3" s="1065"/>
      <c r="B3" s="1066"/>
      <c r="C3" s="871">
        <v>0</v>
      </c>
      <c r="D3" s="875">
        <f>+'1 Estudiantes'!B3</f>
        <v>2023</v>
      </c>
      <c r="E3" s="875">
        <f>+'1 Estudiantes'!C3</f>
        <v>2023</v>
      </c>
      <c r="F3" s="875">
        <f>+'1 Estudiantes'!D3</f>
        <v>2024</v>
      </c>
      <c r="G3" s="875">
        <f>+'1 Estudiantes'!E3</f>
        <v>2024</v>
      </c>
      <c r="H3" s="875">
        <f>+'1 Estudiantes'!F3</f>
        <v>2025</v>
      </c>
      <c r="I3" s="875">
        <f>+'1 Estudiantes'!G3</f>
        <v>2025</v>
      </c>
      <c r="J3" s="875">
        <f>+'1 Estudiantes'!H3</f>
        <v>2026</v>
      </c>
      <c r="K3" s="875">
        <f>+'1 Estudiantes'!I3</f>
        <v>2026</v>
      </c>
    </row>
    <row r="4" spans="1:11" ht="25.5" customHeight="1" thickBot="1" x14ac:dyDescent="0.35">
      <c r="A4" s="1063" t="s">
        <v>357</v>
      </c>
      <c r="B4" s="1064"/>
      <c r="C4" s="233">
        <f>+'16 Flujo de Fondos'!C20</f>
        <v>-18848.684286266667</v>
      </c>
      <c r="D4" s="233">
        <f>+'16 Flujo de Fondos'!D20</f>
        <v>-5401.1170552528292</v>
      </c>
      <c r="E4" s="233">
        <f>+'16 Flujo de Fondos'!E20</f>
        <v>11562.807754320442</v>
      </c>
      <c r="F4" s="233">
        <f>+'16 Flujo de Fondos'!F20</f>
        <v>-10955.499086444435</v>
      </c>
      <c r="G4" s="233">
        <f>+'16 Flujo de Fondos'!G20</f>
        <v>-1792.1437068192172</v>
      </c>
      <c r="H4" s="233">
        <f>+'16 Flujo de Fondos'!H20</f>
        <v>17058.275807191359</v>
      </c>
      <c r="I4" s="233">
        <f>+'16 Flujo de Fondos'!I20</f>
        <v>14712.249232388478</v>
      </c>
      <c r="J4" s="233">
        <f>+'16 Flujo de Fondos'!J20</f>
        <v>4086.60662792118</v>
      </c>
      <c r="K4" s="233">
        <f>+'16 Flujo de Fondos'!K20</f>
        <v>4435.9619608287785</v>
      </c>
    </row>
    <row r="5" spans="1:11" ht="10.8" thickBot="1" x14ac:dyDescent="0.35"/>
    <row r="6" spans="1:11" ht="27.75" customHeight="1" thickBot="1" x14ac:dyDescent="0.35">
      <c r="A6" s="962" t="s">
        <v>358</v>
      </c>
      <c r="B6" s="963"/>
      <c r="C6" s="969"/>
      <c r="D6" s="933">
        <f>IRR(C4:K4)</f>
        <v>9.4582417857748569E-2</v>
      </c>
      <c r="E6" s="234"/>
    </row>
  </sheetData>
  <mergeCells count="5">
    <mergeCell ref="A6:C6"/>
    <mergeCell ref="A4:B4"/>
    <mergeCell ref="A2:B3"/>
    <mergeCell ref="A1:K1"/>
    <mergeCell ref="C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showGridLines="0" zoomScaleNormal="100" workbookViewId="0">
      <selection activeCell="A6" sqref="A6:C6"/>
    </sheetView>
  </sheetViews>
  <sheetFormatPr baseColWidth="10" defaultColWidth="11.44140625" defaultRowHeight="10.199999999999999" x14ac:dyDescent="0.3"/>
  <cols>
    <col min="1" max="2" width="11.44140625" style="48"/>
    <col min="3" max="3" width="13.88671875" style="48" bestFit="1" customWidth="1"/>
    <col min="4" max="4" width="11.109375" style="48" customWidth="1"/>
    <col min="5" max="6" width="11.6640625" style="48" bestFit="1" customWidth="1"/>
    <col min="7" max="7" width="11.109375" style="48" customWidth="1"/>
    <col min="8" max="8" width="11.6640625" style="48" bestFit="1" customWidth="1"/>
    <col min="9" max="9" width="11.109375" style="48" customWidth="1"/>
    <col min="10" max="10" width="13.109375" style="48" customWidth="1"/>
    <col min="11" max="11" width="11.109375" style="48" customWidth="1"/>
    <col min="12" max="16384" width="11.44140625" style="48"/>
  </cols>
  <sheetData>
    <row r="1" spans="1:11" ht="10.8" thickBot="1" x14ac:dyDescent="0.35"/>
    <row r="2" spans="1:11" ht="24.75" customHeight="1" x14ac:dyDescent="0.3">
      <c r="A2" s="986" t="s">
        <v>359</v>
      </c>
      <c r="B2" s="987"/>
      <c r="C2" s="987"/>
      <c r="D2" s="1070"/>
      <c r="E2" s="47"/>
    </row>
    <row r="3" spans="1:11" x14ac:dyDescent="0.3">
      <c r="A3" s="1071" t="s">
        <v>360</v>
      </c>
      <c r="B3" s="1072"/>
      <c r="C3" s="1073"/>
      <c r="D3" s="334">
        <v>9.5000000000000001E-2</v>
      </c>
      <c r="E3" s="289"/>
    </row>
    <row r="4" spans="1:11" x14ac:dyDescent="0.3">
      <c r="A4" s="1071" t="s">
        <v>361</v>
      </c>
      <c r="B4" s="1072"/>
      <c r="C4" s="1073"/>
      <c r="D4" s="334">
        <v>1.35E-2</v>
      </c>
      <c r="E4" s="289"/>
    </row>
    <row r="5" spans="1:11" ht="10.8" thickBot="1" x14ac:dyDescent="0.35">
      <c r="A5" s="1074" t="s">
        <v>362</v>
      </c>
      <c r="B5" s="1075"/>
      <c r="C5" s="1076"/>
      <c r="D5" s="931">
        <v>9.3299999999999994E-2</v>
      </c>
      <c r="E5" s="59"/>
      <c r="G5" s="289"/>
    </row>
    <row r="6" spans="1:11" ht="24" customHeight="1" thickBot="1" x14ac:dyDescent="0.35">
      <c r="A6" s="1077" t="s">
        <v>496</v>
      </c>
      <c r="B6" s="1078"/>
      <c r="C6" s="1079"/>
      <c r="D6" s="335">
        <f>+D3*D4+D5</f>
        <v>9.45825E-2</v>
      </c>
      <c r="E6" s="326"/>
    </row>
    <row r="8" spans="1:11" ht="10.8" thickBot="1" x14ac:dyDescent="0.35"/>
    <row r="9" spans="1:11" ht="29.25" customHeight="1" thickBot="1" x14ac:dyDescent="0.35">
      <c r="A9" s="1067" t="s">
        <v>363</v>
      </c>
      <c r="B9" s="1068"/>
      <c r="C9" s="1068"/>
      <c r="D9" s="1068"/>
      <c r="E9" s="1068"/>
      <c r="F9" s="1068"/>
      <c r="G9" s="1068"/>
      <c r="H9" s="1068"/>
      <c r="I9" s="1068"/>
      <c r="J9" s="1068"/>
      <c r="K9" s="1069"/>
    </row>
    <row r="10" spans="1:11" ht="15" customHeight="1" x14ac:dyDescent="0.3">
      <c r="A10" s="986" t="s">
        <v>161</v>
      </c>
      <c r="B10" s="987"/>
      <c r="C10" s="988" t="s">
        <v>344</v>
      </c>
      <c r="D10" s="968"/>
      <c r="E10" s="968"/>
      <c r="F10" s="968"/>
      <c r="G10" s="968"/>
      <c r="H10" s="968"/>
      <c r="I10" s="968"/>
      <c r="J10" s="968"/>
      <c r="K10" s="968"/>
    </row>
    <row r="11" spans="1:11" ht="18.75" customHeight="1" thickBot="1" x14ac:dyDescent="0.35">
      <c r="A11" s="998"/>
      <c r="B11" s="999"/>
      <c r="C11" s="867">
        <v>0</v>
      </c>
      <c r="D11" s="867">
        <f>+'1 Estudiantes'!B3</f>
        <v>2023</v>
      </c>
      <c r="E11" s="867">
        <f>+'1 Estudiantes'!C3</f>
        <v>2023</v>
      </c>
      <c r="F11" s="867">
        <f>+'1 Estudiantes'!D3</f>
        <v>2024</v>
      </c>
      <c r="G11" s="867">
        <f>+'1 Estudiantes'!E3</f>
        <v>2024</v>
      </c>
      <c r="H11" s="867">
        <f>+'1 Estudiantes'!F3</f>
        <v>2025</v>
      </c>
      <c r="I11" s="867">
        <f>+'1 Estudiantes'!G3</f>
        <v>2025</v>
      </c>
      <c r="J11" s="867">
        <f>+'1 Estudiantes'!H3</f>
        <v>2026</v>
      </c>
      <c r="K11" s="867">
        <f>+'1 Estudiantes'!I3</f>
        <v>2026</v>
      </c>
    </row>
    <row r="12" spans="1:11" ht="15.75" customHeight="1" thickBot="1" x14ac:dyDescent="0.35">
      <c r="A12" s="1080" t="s">
        <v>357</v>
      </c>
      <c r="B12" s="1081"/>
      <c r="C12" s="318">
        <f>+'16 Flujo de Fondos'!C20</f>
        <v>-18848.684286266667</v>
      </c>
      <c r="D12" s="318">
        <f>+'16 Flujo de Fondos'!D20</f>
        <v>-5401.1170552528292</v>
      </c>
      <c r="E12" s="318">
        <f>+'16 Flujo de Fondos'!E20</f>
        <v>11562.807754320442</v>
      </c>
      <c r="F12" s="318">
        <f>+'16 Flujo de Fondos'!F20</f>
        <v>-10955.499086444435</v>
      </c>
      <c r="G12" s="318">
        <f>+'16 Flujo de Fondos'!G20</f>
        <v>-1792.1437068192172</v>
      </c>
      <c r="H12" s="318">
        <f>+'16 Flujo de Fondos'!H20</f>
        <v>17058.275807191359</v>
      </c>
      <c r="I12" s="318">
        <f>+'16 Flujo de Fondos'!I20</f>
        <v>14712.249232388478</v>
      </c>
      <c r="J12" s="318">
        <f>+'16 Flujo de Fondos'!J20</f>
        <v>4086.60662792118</v>
      </c>
      <c r="K12" s="318">
        <f>+'16 Flujo de Fondos'!K20</f>
        <v>4435.9619608287785</v>
      </c>
    </row>
    <row r="13" spans="1:11" ht="10.8" thickBot="1" x14ac:dyDescent="0.35"/>
    <row r="14" spans="1:11" ht="28.5" customHeight="1" thickBot="1" x14ac:dyDescent="0.35">
      <c r="A14" s="962" t="s">
        <v>364</v>
      </c>
      <c r="B14" s="970"/>
      <c r="C14" s="327">
        <f>NPV(D6,C12:K12)</f>
        <v>-8.3875359003753626E-3</v>
      </c>
    </row>
  </sheetData>
  <mergeCells count="10">
    <mergeCell ref="A14:B14"/>
    <mergeCell ref="A9:K9"/>
    <mergeCell ref="A10:B11"/>
    <mergeCell ref="A2:D2"/>
    <mergeCell ref="A3:C3"/>
    <mergeCell ref="A4:C4"/>
    <mergeCell ref="A5:C5"/>
    <mergeCell ref="A6:C6"/>
    <mergeCell ref="C10:K10"/>
    <mergeCell ref="A12:B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5"/>
  <sheetViews>
    <sheetView showGridLines="0" zoomScaleNormal="100" workbookViewId="0">
      <selection activeCell="C33" sqref="C33"/>
    </sheetView>
  </sheetViews>
  <sheetFormatPr baseColWidth="10" defaultColWidth="10.6640625" defaultRowHeight="10.199999999999999" x14ac:dyDescent="0.3"/>
  <cols>
    <col min="1" max="1" width="28" style="387" customWidth="1"/>
    <col min="2" max="2" width="14.44140625" style="387" bestFit="1" customWidth="1"/>
    <col min="3" max="3" width="12.5546875" style="387" customWidth="1"/>
    <col min="4" max="4" width="6.44140625" style="387" bestFit="1" customWidth="1"/>
    <col min="5" max="5" width="2.44140625" style="387" customWidth="1"/>
    <col min="6" max="6" width="14.44140625" style="387" bestFit="1" customWidth="1"/>
    <col min="7" max="8" width="11.44140625" style="387"/>
    <col min="9" max="9" width="15.5546875" style="387" bestFit="1" customWidth="1"/>
    <col min="10" max="10" width="13.5546875" style="387" bestFit="1" customWidth="1"/>
    <col min="11" max="256" width="11.44140625" style="387"/>
    <col min="257" max="257" width="28" style="387" customWidth="1"/>
    <col min="258" max="259" width="12.88671875" style="387" customWidth="1"/>
    <col min="260" max="260" width="6.44140625" style="387" bestFit="1" customWidth="1"/>
    <col min="261" max="261" width="2.44140625" style="387" customWidth="1"/>
    <col min="262" max="262" width="11.109375" style="387" customWidth="1"/>
    <col min="263" max="512" width="11.44140625" style="387"/>
    <col min="513" max="513" width="28" style="387" customWidth="1"/>
    <col min="514" max="515" width="12.88671875" style="387" customWidth="1"/>
    <col min="516" max="516" width="6.44140625" style="387" bestFit="1" customWidth="1"/>
    <col min="517" max="517" width="2.44140625" style="387" customWidth="1"/>
    <col min="518" max="518" width="11.109375" style="387" customWidth="1"/>
    <col min="519" max="768" width="11.44140625" style="387"/>
    <col min="769" max="769" width="28" style="387" customWidth="1"/>
    <col min="770" max="771" width="12.88671875" style="387" customWidth="1"/>
    <col min="772" max="772" width="6.44140625" style="387" bestFit="1" customWidth="1"/>
    <col min="773" max="773" width="2.44140625" style="387" customWidth="1"/>
    <col min="774" max="774" width="11.109375" style="387" customWidth="1"/>
    <col min="775" max="1024" width="11.44140625" style="387"/>
    <col min="1025" max="1025" width="28" style="387" customWidth="1"/>
    <col min="1026" max="1027" width="12.88671875" style="387" customWidth="1"/>
    <col min="1028" max="1028" width="6.44140625" style="387" bestFit="1" customWidth="1"/>
    <col min="1029" max="1029" width="2.44140625" style="387" customWidth="1"/>
    <col min="1030" max="1030" width="11.109375" style="387" customWidth="1"/>
    <col min="1031" max="1280" width="11.44140625" style="387"/>
    <col min="1281" max="1281" width="28" style="387" customWidth="1"/>
    <col min="1282" max="1283" width="12.88671875" style="387" customWidth="1"/>
    <col min="1284" max="1284" width="6.44140625" style="387" bestFit="1" customWidth="1"/>
    <col min="1285" max="1285" width="2.44140625" style="387" customWidth="1"/>
    <col min="1286" max="1286" width="11.109375" style="387" customWidth="1"/>
    <col min="1287" max="1536" width="11.44140625" style="387"/>
    <col min="1537" max="1537" width="28" style="387" customWidth="1"/>
    <col min="1538" max="1539" width="12.88671875" style="387" customWidth="1"/>
    <col min="1540" max="1540" width="6.44140625" style="387" bestFit="1" customWidth="1"/>
    <col min="1541" max="1541" width="2.44140625" style="387" customWidth="1"/>
    <col min="1542" max="1542" width="11.109375" style="387" customWidth="1"/>
    <col min="1543" max="1792" width="11.44140625" style="387"/>
    <col min="1793" max="1793" width="28" style="387" customWidth="1"/>
    <col min="1794" max="1795" width="12.88671875" style="387" customWidth="1"/>
    <col min="1796" max="1796" width="6.44140625" style="387" bestFit="1" customWidth="1"/>
    <col min="1797" max="1797" width="2.44140625" style="387" customWidth="1"/>
    <col min="1798" max="1798" width="11.109375" style="387" customWidth="1"/>
    <col min="1799" max="2048" width="11.44140625" style="387"/>
    <col min="2049" max="2049" width="28" style="387" customWidth="1"/>
    <col min="2050" max="2051" width="12.88671875" style="387" customWidth="1"/>
    <col min="2052" max="2052" width="6.44140625" style="387" bestFit="1" customWidth="1"/>
    <col min="2053" max="2053" width="2.44140625" style="387" customWidth="1"/>
    <col min="2054" max="2054" width="11.109375" style="387" customWidth="1"/>
    <col min="2055" max="2304" width="11.44140625" style="387"/>
    <col min="2305" max="2305" width="28" style="387" customWidth="1"/>
    <col min="2306" max="2307" width="12.88671875" style="387" customWidth="1"/>
    <col min="2308" max="2308" width="6.44140625" style="387" bestFit="1" customWidth="1"/>
    <col min="2309" max="2309" width="2.44140625" style="387" customWidth="1"/>
    <col min="2310" max="2310" width="11.109375" style="387" customWidth="1"/>
    <col min="2311" max="2560" width="11.44140625" style="387"/>
    <col min="2561" max="2561" width="28" style="387" customWidth="1"/>
    <col min="2562" max="2563" width="12.88671875" style="387" customWidth="1"/>
    <col min="2564" max="2564" width="6.44140625" style="387" bestFit="1" customWidth="1"/>
    <col min="2565" max="2565" width="2.44140625" style="387" customWidth="1"/>
    <col min="2566" max="2566" width="11.109375" style="387" customWidth="1"/>
    <col min="2567" max="2816" width="11.44140625" style="387"/>
    <col min="2817" max="2817" width="28" style="387" customWidth="1"/>
    <col min="2818" max="2819" width="12.88671875" style="387" customWidth="1"/>
    <col min="2820" max="2820" width="6.44140625" style="387" bestFit="1" customWidth="1"/>
    <col min="2821" max="2821" width="2.44140625" style="387" customWidth="1"/>
    <col min="2822" max="2822" width="11.109375" style="387" customWidth="1"/>
    <col min="2823" max="3072" width="11.44140625" style="387"/>
    <col min="3073" max="3073" width="28" style="387" customWidth="1"/>
    <col min="3074" max="3075" width="12.88671875" style="387" customWidth="1"/>
    <col min="3076" max="3076" width="6.44140625" style="387" bestFit="1" customWidth="1"/>
    <col min="3077" max="3077" width="2.44140625" style="387" customWidth="1"/>
    <col min="3078" max="3078" width="11.109375" style="387" customWidth="1"/>
    <col min="3079" max="3328" width="11.44140625" style="387"/>
    <col min="3329" max="3329" width="28" style="387" customWidth="1"/>
    <col min="3330" max="3331" width="12.88671875" style="387" customWidth="1"/>
    <col min="3332" max="3332" width="6.44140625" style="387" bestFit="1" customWidth="1"/>
    <col min="3333" max="3333" width="2.44140625" style="387" customWidth="1"/>
    <col min="3334" max="3334" width="11.109375" style="387" customWidth="1"/>
    <col min="3335" max="3584" width="11.44140625" style="387"/>
    <col min="3585" max="3585" width="28" style="387" customWidth="1"/>
    <col min="3586" max="3587" width="12.88671875" style="387" customWidth="1"/>
    <col min="3588" max="3588" width="6.44140625" style="387" bestFit="1" customWidth="1"/>
    <col min="3589" max="3589" width="2.44140625" style="387" customWidth="1"/>
    <col min="3590" max="3590" width="11.109375" style="387" customWidth="1"/>
    <col min="3591" max="3840" width="11.44140625" style="387"/>
    <col min="3841" max="3841" width="28" style="387" customWidth="1"/>
    <col min="3842" max="3843" width="12.88671875" style="387" customWidth="1"/>
    <col min="3844" max="3844" width="6.44140625" style="387" bestFit="1" customWidth="1"/>
    <col min="3845" max="3845" width="2.44140625" style="387" customWidth="1"/>
    <col min="3846" max="3846" width="11.109375" style="387" customWidth="1"/>
    <col min="3847" max="4096" width="11.44140625" style="387"/>
    <col min="4097" max="4097" width="28" style="387" customWidth="1"/>
    <col min="4098" max="4099" width="12.88671875" style="387" customWidth="1"/>
    <col min="4100" max="4100" width="6.44140625" style="387" bestFit="1" customWidth="1"/>
    <col min="4101" max="4101" width="2.44140625" style="387" customWidth="1"/>
    <col min="4102" max="4102" width="11.109375" style="387" customWidth="1"/>
    <col min="4103" max="4352" width="11.44140625" style="387"/>
    <col min="4353" max="4353" width="28" style="387" customWidth="1"/>
    <col min="4354" max="4355" width="12.88671875" style="387" customWidth="1"/>
    <col min="4356" max="4356" width="6.44140625" style="387" bestFit="1" customWidth="1"/>
    <col min="4357" max="4357" width="2.44140625" style="387" customWidth="1"/>
    <col min="4358" max="4358" width="11.109375" style="387" customWidth="1"/>
    <col min="4359" max="4608" width="11.44140625" style="387"/>
    <col min="4609" max="4609" width="28" style="387" customWidth="1"/>
    <col min="4610" max="4611" width="12.88671875" style="387" customWidth="1"/>
    <col min="4612" max="4612" width="6.44140625" style="387" bestFit="1" customWidth="1"/>
    <col min="4613" max="4613" width="2.44140625" style="387" customWidth="1"/>
    <col min="4614" max="4614" width="11.109375" style="387" customWidth="1"/>
    <col min="4615" max="4864" width="11.44140625" style="387"/>
    <col min="4865" max="4865" width="28" style="387" customWidth="1"/>
    <col min="4866" max="4867" width="12.88671875" style="387" customWidth="1"/>
    <col min="4868" max="4868" width="6.44140625" style="387" bestFit="1" customWidth="1"/>
    <col min="4869" max="4869" width="2.44140625" style="387" customWidth="1"/>
    <col min="4870" max="4870" width="11.109375" style="387" customWidth="1"/>
    <col min="4871" max="5120" width="11.44140625" style="387"/>
    <col min="5121" max="5121" width="28" style="387" customWidth="1"/>
    <col min="5122" max="5123" width="12.88671875" style="387" customWidth="1"/>
    <col min="5124" max="5124" width="6.44140625" style="387" bestFit="1" customWidth="1"/>
    <col min="5125" max="5125" width="2.44140625" style="387" customWidth="1"/>
    <col min="5126" max="5126" width="11.109375" style="387" customWidth="1"/>
    <col min="5127" max="5376" width="11.44140625" style="387"/>
    <col min="5377" max="5377" width="28" style="387" customWidth="1"/>
    <col min="5378" max="5379" width="12.88671875" style="387" customWidth="1"/>
    <col min="5380" max="5380" width="6.44140625" style="387" bestFit="1" customWidth="1"/>
    <col min="5381" max="5381" width="2.44140625" style="387" customWidth="1"/>
    <col min="5382" max="5382" width="11.109375" style="387" customWidth="1"/>
    <col min="5383" max="5632" width="11.44140625" style="387"/>
    <col min="5633" max="5633" width="28" style="387" customWidth="1"/>
    <col min="5634" max="5635" width="12.88671875" style="387" customWidth="1"/>
    <col min="5636" max="5636" width="6.44140625" style="387" bestFit="1" customWidth="1"/>
    <col min="5637" max="5637" width="2.44140625" style="387" customWidth="1"/>
    <col min="5638" max="5638" width="11.109375" style="387" customWidth="1"/>
    <col min="5639" max="5888" width="11.44140625" style="387"/>
    <col min="5889" max="5889" width="28" style="387" customWidth="1"/>
    <col min="5890" max="5891" width="12.88671875" style="387" customWidth="1"/>
    <col min="5892" max="5892" width="6.44140625" style="387" bestFit="1" customWidth="1"/>
    <col min="5893" max="5893" width="2.44140625" style="387" customWidth="1"/>
    <col min="5894" max="5894" width="11.109375" style="387" customWidth="1"/>
    <col min="5895" max="6144" width="11.44140625" style="387"/>
    <col min="6145" max="6145" width="28" style="387" customWidth="1"/>
    <col min="6146" max="6147" width="12.88671875" style="387" customWidth="1"/>
    <col min="6148" max="6148" width="6.44140625" style="387" bestFit="1" customWidth="1"/>
    <col min="6149" max="6149" width="2.44140625" style="387" customWidth="1"/>
    <col min="6150" max="6150" width="11.109375" style="387" customWidth="1"/>
    <col min="6151" max="6400" width="11.44140625" style="387"/>
    <col min="6401" max="6401" width="28" style="387" customWidth="1"/>
    <col min="6402" max="6403" width="12.88671875" style="387" customWidth="1"/>
    <col min="6404" max="6404" width="6.44140625" style="387" bestFit="1" customWidth="1"/>
    <col min="6405" max="6405" width="2.44140625" style="387" customWidth="1"/>
    <col min="6406" max="6406" width="11.109375" style="387" customWidth="1"/>
    <col min="6407" max="6656" width="11.44140625" style="387"/>
    <col min="6657" max="6657" width="28" style="387" customWidth="1"/>
    <col min="6658" max="6659" width="12.88671875" style="387" customWidth="1"/>
    <col min="6660" max="6660" width="6.44140625" style="387" bestFit="1" customWidth="1"/>
    <col min="6661" max="6661" width="2.44140625" style="387" customWidth="1"/>
    <col min="6662" max="6662" width="11.109375" style="387" customWidth="1"/>
    <col min="6663" max="6912" width="11.44140625" style="387"/>
    <col min="6913" max="6913" width="28" style="387" customWidth="1"/>
    <col min="6914" max="6915" width="12.88671875" style="387" customWidth="1"/>
    <col min="6916" max="6916" width="6.44140625" style="387" bestFit="1" customWidth="1"/>
    <col min="6917" max="6917" width="2.44140625" style="387" customWidth="1"/>
    <col min="6918" max="6918" width="11.109375" style="387" customWidth="1"/>
    <col min="6919" max="7168" width="11.44140625" style="387"/>
    <col min="7169" max="7169" width="28" style="387" customWidth="1"/>
    <col min="7170" max="7171" width="12.88671875" style="387" customWidth="1"/>
    <col min="7172" max="7172" width="6.44140625" style="387" bestFit="1" customWidth="1"/>
    <col min="7173" max="7173" width="2.44140625" style="387" customWidth="1"/>
    <col min="7174" max="7174" width="11.109375" style="387" customWidth="1"/>
    <col min="7175" max="7424" width="11.44140625" style="387"/>
    <col min="7425" max="7425" width="28" style="387" customWidth="1"/>
    <col min="7426" max="7427" width="12.88671875" style="387" customWidth="1"/>
    <col min="7428" max="7428" width="6.44140625" style="387" bestFit="1" customWidth="1"/>
    <col min="7429" max="7429" width="2.44140625" style="387" customWidth="1"/>
    <col min="7430" max="7430" width="11.109375" style="387" customWidth="1"/>
    <col min="7431" max="7680" width="11.44140625" style="387"/>
    <col min="7681" max="7681" width="28" style="387" customWidth="1"/>
    <col min="7682" max="7683" width="12.88671875" style="387" customWidth="1"/>
    <col min="7684" max="7684" width="6.44140625" style="387" bestFit="1" customWidth="1"/>
    <col min="7685" max="7685" width="2.44140625" style="387" customWidth="1"/>
    <col min="7686" max="7686" width="11.109375" style="387" customWidth="1"/>
    <col min="7687" max="7936" width="11.44140625" style="387"/>
    <col min="7937" max="7937" width="28" style="387" customWidth="1"/>
    <col min="7938" max="7939" width="12.88671875" style="387" customWidth="1"/>
    <col min="7940" max="7940" width="6.44140625" style="387" bestFit="1" customWidth="1"/>
    <col min="7941" max="7941" width="2.44140625" style="387" customWidth="1"/>
    <col min="7942" max="7942" width="11.109375" style="387" customWidth="1"/>
    <col min="7943" max="8192" width="11.44140625" style="387"/>
    <col min="8193" max="8193" width="28" style="387" customWidth="1"/>
    <col min="8194" max="8195" width="12.88671875" style="387" customWidth="1"/>
    <col min="8196" max="8196" width="6.44140625" style="387" bestFit="1" customWidth="1"/>
    <col min="8197" max="8197" width="2.44140625" style="387" customWidth="1"/>
    <col min="8198" max="8198" width="11.109375" style="387" customWidth="1"/>
    <col min="8199" max="8448" width="11.44140625" style="387"/>
    <col min="8449" max="8449" width="28" style="387" customWidth="1"/>
    <col min="8450" max="8451" width="12.88671875" style="387" customWidth="1"/>
    <col min="8452" max="8452" width="6.44140625" style="387" bestFit="1" customWidth="1"/>
    <col min="8453" max="8453" width="2.44140625" style="387" customWidth="1"/>
    <col min="8454" max="8454" width="11.109375" style="387" customWidth="1"/>
    <col min="8455" max="8704" width="11.44140625" style="387"/>
    <col min="8705" max="8705" width="28" style="387" customWidth="1"/>
    <col min="8706" max="8707" width="12.88671875" style="387" customWidth="1"/>
    <col min="8708" max="8708" width="6.44140625" style="387" bestFit="1" customWidth="1"/>
    <col min="8709" max="8709" width="2.44140625" style="387" customWidth="1"/>
    <col min="8710" max="8710" width="11.109375" style="387" customWidth="1"/>
    <col min="8711" max="8960" width="11.44140625" style="387"/>
    <col min="8961" max="8961" width="28" style="387" customWidth="1"/>
    <col min="8962" max="8963" width="12.88671875" style="387" customWidth="1"/>
    <col min="8964" max="8964" width="6.44140625" style="387" bestFit="1" customWidth="1"/>
    <col min="8965" max="8965" width="2.44140625" style="387" customWidth="1"/>
    <col min="8966" max="8966" width="11.109375" style="387" customWidth="1"/>
    <col min="8967" max="9216" width="11.44140625" style="387"/>
    <col min="9217" max="9217" width="28" style="387" customWidth="1"/>
    <col min="9218" max="9219" width="12.88671875" style="387" customWidth="1"/>
    <col min="9220" max="9220" width="6.44140625" style="387" bestFit="1" customWidth="1"/>
    <col min="9221" max="9221" width="2.44140625" style="387" customWidth="1"/>
    <col min="9222" max="9222" width="11.109375" style="387" customWidth="1"/>
    <col min="9223" max="9472" width="11.44140625" style="387"/>
    <col min="9473" max="9473" width="28" style="387" customWidth="1"/>
    <col min="9474" max="9475" width="12.88671875" style="387" customWidth="1"/>
    <col min="9476" max="9476" width="6.44140625" style="387" bestFit="1" customWidth="1"/>
    <col min="9477" max="9477" width="2.44140625" style="387" customWidth="1"/>
    <col min="9478" max="9478" width="11.109375" style="387" customWidth="1"/>
    <col min="9479" max="9728" width="11.44140625" style="387"/>
    <col min="9729" max="9729" width="28" style="387" customWidth="1"/>
    <col min="9730" max="9731" width="12.88671875" style="387" customWidth="1"/>
    <col min="9732" max="9732" width="6.44140625" style="387" bestFit="1" customWidth="1"/>
    <col min="9733" max="9733" width="2.44140625" style="387" customWidth="1"/>
    <col min="9734" max="9734" width="11.109375" style="387" customWidth="1"/>
    <col min="9735" max="9984" width="11.44140625" style="387"/>
    <col min="9985" max="9985" width="28" style="387" customWidth="1"/>
    <col min="9986" max="9987" width="12.88671875" style="387" customWidth="1"/>
    <col min="9988" max="9988" width="6.44140625" style="387" bestFit="1" customWidth="1"/>
    <col min="9989" max="9989" width="2.44140625" style="387" customWidth="1"/>
    <col min="9990" max="9990" width="11.109375" style="387" customWidth="1"/>
    <col min="9991" max="10240" width="11.44140625" style="387"/>
    <col min="10241" max="10241" width="28" style="387" customWidth="1"/>
    <col min="10242" max="10243" width="12.88671875" style="387" customWidth="1"/>
    <col min="10244" max="10244" width="6.44140625" style="387" bestFit="1" customWidth="1"/>
    <col min="10245" max="10245" width="2.44140625" style="387" customWidth="1"/>
    <col min="10246" max="10246" width="11.109375" style="387" customWidth="1"/>
    <col min="10247" max="10496" width="11.44140625" style="387"/>
    <col min="10497" max="10497" width="28" style="387" customWidth="1"/>
    <col min="10498" max="10499" width="12.88671875" style="387" customWidth="1"/>
    <col min="10500" max="10500" width="6.44140625" style="387" bestFit="1" customWidth="1"/>
    <col min="10501" max="10501" width="2.44140625" style="387" customWidth="1"/>
    <col min="10502" max="10502" width="11.109375" style="387" customWidth="1"/>
    <col min="10503" max="10752" width="11.44140625" style="387"/>
    <col min="10753" max="10753" width="28" style="387" customWidth="1"/>
    <col min="10754" max="10755" width="12.88671875" style="387" customWidth="1"/>
    <col min="10756" max="10756" width="6.44140625" style="387" bestFit="1" customWidth="1"/>
    <col min="10757" max="10757" width="2.44140625" style="387" customWidth="1"/>
    <col min="10758" max="10758" width="11.109375" style="387" customWidth="1"/>
    <col min="10759" max="11008" width="11.44140625" style="387"/>
    <col min="11009" max="11009" width="28" style="387" customWidth="1"/>
    <col min="11010" max="11011" width="12.88671875" style="387" customWidth="1"/>
    <col min="11012" max="11012" width="6.44140625" style="387" bestFit="1" customWidth="1"/>
    <col min="11013" max="11013" width="2.44140625" style="387" customWidth="1"/>
    <col min="11014" max="11014" width="11.109375" style="387" customWidth="1"/>
    <col min="11015" max="11264" width="11.44140625" style="387"/>
    <col min="11265" max="11265" width="28" style="387" customWidth="1"/>
    <col min="11266" max="11267" width="12.88671875" style="387" customWidth="1"/>
    <col min="11268" max="11268" width="6.44140625" style="387" bestFit="1" customWidth="1"/>
    <col min="11269" max="11269" width="2.44140625" style="387" customWidth="1"/>
    <col min="11270" max="11270" width="11.109375" style="387" customWidth="1"/>
    <col min="11271" max="11520" width="11.44140625" style="387"/>
    <col min="11521" max="11521" width="28" style="387" customWidth="1"/>
    <col min="11522" max="11523" width="12.88671875" style="387" customWidth="1"/>
    <col min="11524" max="11524" width="6.44140625" style="387" bestFit="1" customWidth="1"/>
    <col min="11525" max="11525" width="2.44140625" style="387" customWidth="1"/>
    <col min="11526" max="11526" width="11.109375" style="387" customWidth="1"/>
    <col min="11527" max="11776" width="11.44140625" style="387"/>
    <col min="11777" max="11777" width="28" style="387" customWidth="1"/>
    <col min="11778" max="11779" width="12.88671875" style="387" customWidth="1"/>
    <col min="11780" max="11780" width="6.44140625" style="387" bestFit="1" customWidth="1"/>
    <col min="11781" max="11781" width="2.44140625" style="387" customWidth="1"/>
    <col min="11782" max="11782" width="11.109375" style="387" customWidth="1"/>
    <col min="11783" max="12032" width="11.44140625" style="387"/>
    <col min="12033" max="12033" width="28" style="387" customWidth="1"/>
    <col min="12034" max="12035" width="12.88671875" style="387" customWidth="1"/>
    <col min="12036" max="12036" width="6.44140625" style="387" bestFit="1" customWidth="1"/>
    <col min="12037" max="12037" width="2.44140625" style="387" customWidth="1"/>
    <col min="12038" max="12038" width="11.109375" style="387" customWidth="1"/>
    <col min="12039" max="12288" width="11.44140625" style="387"/>
    <col min="12289" max="12289" width="28" style="387" customWidth="1"/>
    <col min="12290" max="12291" width="12.88671875" style="387" customWidth="1"/>
    <col min="12292" max="12292" width="6.44140625" style="387" bestFit="1" customWidth="1"/>
    <col min="12293" max="12293" width="2.44140625" style="387" customWidth="1"/>
    <col min="12294" max="12294" width="11.109375" style="387" customWidth="1"/>
    <col min="12295" max="12544" width="11.44140625" style="387"/>
    <col min="12545" max="12545" width="28" style="387" customWidth="1"/>
    <col min="12546" max="12547" width="12.88671875" style="387" customWidth="1"/>
    <col min="12548" max="12548" width="6.44140625" style="387" bestFit="1" customWidth="1"/>
    <col min="12549" max="12549" width="2.44140625" style="387" customWidth="1"/>
    <col min="12550" max="12550" width="11.109375" style="387" customWidth="1"/>
    <col min="12551" max="12800" width="11.44140625" style="387"/>
    <col min="12801" max="12801" width="28" style="387" customWidth="1"/>
    <col min="12802" max="12803" width="12.88671875" style="387" customWidth="1"/>
    <col min="12804" max="12804" width="6.44140625" style="387" bestFit="1" customWidth="1"/>
    <col min="12805" max="12805" width="2.44140625" style="387" customWidth="1"/>
    <col min="12806" max="12806" width="11.109375" style="387" customWidth="1"/>
    <col min="12807" max="13056" width="11.44140625" style="387"/>
    <col min="13057" max="13057" width="28" style="387" customWidth="1"/>
    <col min="13058" max="13059" width="12.88671875" style="387" customWidth="1"/>
    <col min="13060" max="13060" width="6.44140625" style="387" bestFit="1" customWidth="1"/>
    <col min="13061" max="13061" width="2.44140625" style="387" customWidth="1"/>
    <col min="13062" max="13062" width="11.109375" style="387" customWidth="1"/>
    <col min="13063" max="13312" width="11.44140625" style="387"/>
    <col min="13313" max="13313" width="28" style="387" customWidth="1"/>
    <col min="13314" max="13315" width="12.88671875" style="387" customWidth="1"/>
    <col min="13316" max="13316" width="6.44140625" style="387" bestFit="1" customWidth="1"/>
    <col min="13317" max="13317" width="2.44140625" style="387" customWidth="1"/>
    <col min="13318" max="13318" width="11.109375" style="387" customWidth="1"/>
    <col min="13319" max="13568" width="11.44140625" style="387"/>
    <col min="13569" max="13569" width="28" style="387" customWidth="1"/>
    <col min="13570" max="13571" width="12.88671875" style="387" customWidth="1"/>
    <col min="13572" max="13572" width="6.44140625" style="387" bestFit="1" customWidth="1"/>
    <col min="13573" max="13573" width="2.44140625" style="387" customWidth="1"/>
    <col min="13574" max="13574" width="11.109375" style="387" customWidth="1"/>
    <col min="13575" max="13824" width="11.44140625" style="387"/>
    <col min="13825" max="13825" width="28" style="387" customWidth="1"/>
    <col min="13826" max="13827" width="12.88671875" style="387" customWidth="1"/>
    <col min="13828" max="13828" width="6.44140625" style="387" bestFit="1" customWidth="1"/>
    <col min="13829" max="13829" width="2.44140625" style="387" customWidth="1"/>
    <col min="13830" max="13830" width="11.109375" style="387" customWidth="1"/>
    <col min="13831" max="14080" width="11.44140625" style="387"/>
    <col min="14081" max="14081" width="28" style="387" customWidth="1"/>
    <col min="14082" max="14083" width="12.88671875" style="387" customWidth="1"/>
    <col min="14084" max="14084" width="6.44140625" style="387" bestFit="1" customWidth="1"/>
    <col min="14085" max="14085" width="2.44140625" style="387" customWidth="1"/>
    <col min="14086" max="14086" width="11.109375" style="387" customWidth="1"/>
    <col min="14087" max="14336" width="11.44140625" style="387"/>
    <col min="14337" max="14337" width="28" style="387" customWidth="1"/>
    <col min="14338" max="14339" width="12.88671875" style="387" customWidth="1"/>
    <col min="14340" max="14340" width="6.44140625" style="387" bestFit="1" customWidth="1"/>
    <col min="14341" max="14341" width="2.44140625" style="387" customWidth="1"/>
    <col min="14342" max="14342" width="11.109375" style="387" customWidth="1"/>
    <col min="14343" max="14592" width="11.44140625" style="387"/>
    <col min="14593" max="14593" width="28" style="387" customWidth="1"/>
    <col min="14594" max="14595" width="12.88671875" style="387" customWidth="1"/>
    <col min="14596" max="14596" width="6.44140625" style="387" bestFit="1" customWidth="1"/>
    <col min="14597" max="14597" width="2.44140625" style="387" customWidth="1"/>
    <col min="14598" max="14598" width="11.109375" style="387" customWidth="1"/>
    <col min="14599" max="14848" width="11.44140625" style="387"/>
    <col min="14849" max="14849" width="28" style="387" customWidth="1"/>
    <col min="14850" max="14851" width="12.88671875" style="387" customWidth="1"/>
    <col min="14852" max="14852" width="6.44140625" style="387" bestFit="1" customWidth="1"/>
    <col min="14853" max="14853" width="2.44140625" style="387" customWidth="1"/>
    <col min="14854" max="14854" width="11.109375" style="387" customWidth="1"/>
    <col min="14855" max="15104" width="11.44140625" style="387"/>
    <col min="15105" max="15105" width="28" style="387" customWidth="1"/>
    <col min="15106" max="15107" width="12.88671875" style="387" customWidth="1"/>
    <col min="15108" max="15108" width="6.44140625" style="387" bestFit="1" customWidth="1"/>
    <col min="15109" max="15109" width="2.44140625" style="387" customWidth="1"/>
    <col min="15110" max="15110" width="11.109375" style="387" customWidth="1"/>
    <col min="15111" max="15360" width="11.44140625" style="387"/>
    <col min="15361" max="15361" width="28" style="387" customWidth="1"/>
    <col min="15362" max="15363" width="12.88671875" style="387" customWidth="1"/>
    <col min="15364" max="15364" width="6.44140625" style="387" bestFit="1" customWidth="1"/>
    <col min="15365" max="15365" width="2.44140625" style="387" customWidth="1"/>
    <col min="15366" max="15366" width="11.109375" style="387" customWidth="1"/>
    <col min="15367" max="15616" width="11.44140625" style="387"/>
    <col min="15617" max="15617" width="28" style="387" customWidth="1"/>
    <col min="15618" max="15619" width="12.88671875" style="387" customWidth="1"/>
    <col min="15620" max="15620" width="6.44140625" style="387" bestFit="1" customWidth="1"/>
    <col min="15621" max="15621" width="2.44140625" style="387" customWidth="1"/>
    <col min="15622" max="15622" width="11.109375" style="387" customWidth="1"/>
    <col min="15623" max="15872" width="11.44140625" style="387"/>
    <col min="15873" max="15873" width="28" style="387" customWidth="1"/>
    <col min="15874" max="15875" width="12.88671875" style="387" customWidth="1"/>
    <col min="15876" max="15876" width="6.44140625" style="387" bestFit="1" customWidth="1"/>
    <col min="15877" max="15877" width="2.44140625" style="387" customWidth="1"/>
    <col min="15878" max="15878" width="11.109375" style="387" customWidth="1"/>
    <col min="15879" max="16128" width="11.44140625" style="387"/>
    <col min="16129" max="16129" width="28" style="387" customWidth="1"/>
    <col min="16130" max="16131" width="12.88671875" style="387" customWidth="1"/>
    <col min="16132" max="16132" width="6.44140625" style="387" bestFit="1" customWidth="1"/>
    <col min="16133" max="16133" width="2.44140625" style="387" customWidth="1"/>
    <col min="16134" max="16134" width="11.109375" style="387" customWidth="1"/>
    <col min="16135" max="16384" width="11.44140625" style="387"/>
  </cols>
  <sheetData>
    <row r="1" spans="1:14" ht="29.25" customHeight="1" x14ac:dyDescent="0.3">
      <c r="A1" s="1084" t="s">
        <v>365</v>
      </c>
      <c r="B1" s="1085"/>
      <c r="C1" s="1085"/>
      <c r="D1" s="1086"/>
    </row>
    <row r="2" spans="1:14" ht="27.75" customHeight="1" thickBot="1" x14ac:dyDescent="0.35">
      <c r="A2" s="1093" t="s">
        <v>366</v>
      </c>
      <c r="B2" s="1094"/>
      <c r="C2" s="1094"/>
      <c r="D2" s="1095"/>
    </row>
    <row r="3" spans="1:14" ht="15.6" x14ac:dyDescent="0.3">
      <c r="A3" s="434"/>
      <c r="B3" s="435">
        <f>+'10 Costos y Gastos'!K4</f>
        <v>0</v>
      </c>
      <c r="C3" s="435" t="s">
        <v>367</v>
      </c>
      <c r="D3" s="436" t="s">
        <v>368</v>
      </c>
      <c r="G3" s="389"/>
      <c r="H3" s="389"/>
      <c r="I3" s="389"/>
      <c r="J3" s="389"/>
    </row>
    <row r="4" spans="1:14" x14ac:dyDescent="0.3">
      <c r="A4" s="393"/>
      <c r="B4" s="394"/>
      <c r="C4" s="394"/>
      <c r="D4" s="407"/>
      <c r="E4" s="390"/>
      <c r="F4" s="390"/>
      <c r="G4" s="389"/>
      <c r="H4" s="392"/>
      <c r="I4" s="392"/>
      <c r="J4" s="392"/>
      <c r="L4" s="390"/>
      <c r="M4" s="390"/>
      <c r="N4" s="390"/>
    </row>
    <row r="5" spans="1:14" x14ac:dyDescent="0.3">
      <c r="A5" s="393" t="s">
        <v>369</v>
      </c>
      <c r="B5" s="394">
        <f>+'12 Pérdidas y Ganancias'!I4</f>
        <v>494314.76315623586</v>
      </c>
      <c r="C5" s="394">
        <f>+B5/6</f>
        <v>82385.793859372643</v>
      </c>
      <c r="D5" s="395">
        <v>1</v>
      </c>
      <c r="E5" s="396"/>
      <c r="F5" s="390"/>
      <c r="G5" s="389"/>
      <c r="H5" s="392"/>
      <c r="I5" s="392"/>
      <c r="J5" s="392"/>
      <c r="L5" s="390"/>
      <c r="M5" s="390"/>
      <c r="N5" s="390"/>
    </row>
    <row r="6" spans="1:14" x14ac:dyDescent="0.3">
      <c r="A6" s="397" t="str">
        <f>"(-) Costo por servicio "&amp;-D6*100&amp;"%"</f>
        <v>(-) Costo por servicio 19,5922665990269%</v>
      </c>
      <c r="B6" s="394">
        <f>-(SUM('10 Costos y Gastos'!I6:I8)+SUM('10 Costos y Gastos'!I15:I19)+'10 Costos y Gastos'!I36)</f>
        <v>-96847.466235918066</v>
      </c>
      <c r="C6" s="394">
        <f>+B6/6</f>
        <v>-16141.244372653011</v>
      </c>
      <c r="D6" s="395">
        <f>C6/$C$5</f>
        <v>-0.19592266599026886</v>
      </c>
      <c r="E6" s="398"/>
      <c r="F6" s="390"/>
      <c r="G6" s="389"/>
      <c r="H6" s="392"/>
      <c r="I6" s="392"/>
      <c r="J6" s="392"/>
      <c r="L6" s="390"/>
      <c r="M6" s="390"/>
      <c r="N6" s="390"/>
    </row>
    <row r="7" spans="1:14" ht="24" customHeight="1" x14ac:dyDescent="0.3">
      <c r="A7" s="411" t="s">
        <v>370</v>
      </c>
      <c r="B7" s="412">
        <f>SUM(B5:B6)</f>
        <v>397467.29692031781</v>
      </c>
      <c r="C7" s="412">
        <f>SUM(C5:C6)</f>
        <v>66244.549486719625</v>
      </c>
      <c r="D7" s="413">
        <f>C7/$C$5</f>
        <v>0.80407733400973103</v>
      </c>
      <c r="E7" s="396"/>
      <c r="F7" s="390"/>
      <c r="L7" s="390"/>
      <c r="M7" s="390"/>
      <c r="N7" s="390"/>
    </row>
    <row r="8" spans="1:14" x14ac:dyDescent="0.3">
      <c r="A8" s="397"/>
      <c r="B8" s="394"/>
      <c r="C8" s="394"/>
      <c r="D8" s="407"/>
      <c r="E8" s="390"/>
      <c r="F8" s="390"/>
      <c r="L8" s="390"/>
      <c r="M8" s="390"/>
      <c r="N8" s="390"/>
    </row>
    <row r="9" spans="1:14" ht="26.25" customHeight="1" x14ac:dyDescent="0.3">
      <c r="A9" s="1090" t="s">
        <v>371</v>
      </c>
      <c r="B9" s="1091"/>
      <c r="C9" s="1091"/>
      <c r="D9" s="1092"/>
      <c r="E9" s="390"/>
      <c r="F9" s="390"/>
      <c r="G9" s="390"/>
      <c r="H9" s="390"/>
      <c r="I9" s="390"/>
      <c r="J9" s="390"/>
      <c r="K9" s="390"/>
      <c r="L9" s="390"/>
      <c r="M9" s="390"/>
      <c r="N9" s="390"/>
    </row>
    <row r="10" spans="1:14" x14ac:dyDescent="0.3">
      <c r="A10" s="397" t="s">
        <v>372</v>
      </c>
      <c r="B10" s="394">
        <f>+SUM('10 Costos y Gastos'!I10:I14)</f>
        <v>273463.81379853765</v>
      </c>
      <c r="C10" s="394">
        <f>+B10/6</f>
        <v>45577.302299756273</v>
      </c>
      <c r="D10" s="395">
        <f t="shared" ref="D10:D15" si="0">C10/$C$5</f>
        <v>0.553217978060075</v>
      </c>
      <c r="E10" s="396"/>
      <c r="F10" s="390"/>
      <c r="G10" s="390"/>
      <c r="H10" s="390"/>
      <c r="I10" s="390"/>
      <c r="J10" s="390"/>
      <c r="K10" s="390"/>
      <c r="L10" s="390"/>
      <c r="M10" s="390"/>
      <c r="N10" s="390"/>
    </row>
    <row r="11" spans="1:14" x14ac:dyDescent="0.3">
      <c r="A11" s="397" t="s">
        <v>373</v>
      </c>
      <c r="B11" s="394">
        <f>+'10 Costos y Gastos'!I21+'10 Costos y Gastos'!I34</f>
        <v>117294.86637003964</v>
      </c>
      <c r="C11" s="394">
        <f>+B11/6</f>
        <v>19549.144395006606</v>
      </c>
      <c r="D11" s="395">
        <f t="shared" si="0"/>
        <v>0.23728780751176304</v>
      </c>
      <c r="E11" s="396"/>
      <c r="F11" s="390"/>
      <c r="G11" s="390"/>
      <c r="H11" s="390"/>
      <c r="I11" s="390"/>
      <c r="J11" s="390"/>
      <c r="K11" s="390"/>
      <c r="L11" s="390"/>
      <c r="M11" s="390"/>
      <c r="N11" s="390"/>
    </row>
    <row r="12" spans="1:14" x14ac:dyDescent="0.3">
      <c r="A12" s="397" t="s">
        <v>374</v>
      </c>
      <c r="B12" s="394">
        <f>-('10 Costos y Gastos'!I20+'10 Costos y Gastos'!I37)</f>
        <v>-5107.4537676366199</v>
      </c>
      <c r="C12" s="394">
        <f>+B12/6</f>
        <v>-851.24229460610331</v>
      </c>
      <c r="D12" s="395">
        <f t="shared" si="0"/>
        <v>-1.0332391723494469E-2</v>
      </c>
      <c r="E12" s="396"/>
      <c r="F12" s="390"/>
      <c r="G12" s="390"/>
      <c r="H12" s="390"/>
      <c r="I12" s="390"/>
      <c r="J12" s="390"/>
      <c r="K12" s="390"/>
      <c r="L12" s="390"/>
      <c r="M12" s="390"/>
      <c r="N12" s="390"/>
    </row>
    <row r="13" spans="1:14" x14ac:dyDescent="0.3">
      <c r="A13" s="397" t="s">
        <v>375</v>
      </c>
      <c r="B13" s="394">
        <f>+'10 Costos y Gastos'!I39</f>
        <v>0</v>
      </c>
      <c r="C13" s="394">
        <f>+B13/6</f>
        <v>0</v>
      </c>
      <c r="D13" s="395">
        <f>C13/$C$5</f>
        <v>0</v>
      </c>
      <c r="E13" s="396"/>
      <c r="F13" s="491"/>
      <c r="G13" s="390"/>
      <c r="H13" s="390"/>
      <c r="I13" s="390"/>
      <c r="J13" s="390"/>
      <c r="K13" s="390"/>
      <c r="L13" s="390"/>
      <c r="M13" s="390"/>
      <c r="N13" s="390"/>
    </row>
    <row r="14" spans="1:14" x14ac:dyDescent="0.3">
      <c r="A14" s="397"/>
      <c r="B14" s="394"/>
      <c r="C14" s="394"/>
      <c r="D14" s="395"/>
      <c r="E14" s="398"/>
      <c r="F14" s="390"/>
      <c r="G14" s="390"/>
      <c r="H14" s="390"/>
      <c r="I14" s="390"/>
      <c r="J14" s="390"/>
      <c r="K14" s="390"/>
      <c r="L14" s="390"/>
      <c r="M14" s="390"/>
      <c r="N14" s="390"/>
    </row>
    <row r="15" spans="1:14" x14ac:dyDescent="0.3">
      <c r="A15" s="393" t="str">
        <f>"Total "&amp;+A9</f>
        <v>Total Gastos de la Carrera</v>
      </c>
      <c r="B15" s="399">
        <f>SUM(B10:B14)</f>
        <v>385651.22640094068</v>
      </c>
      <c r="C15" s="399">
        <f>SUM(C10:C14)</f>
        <v>64275.204400156777</v>
      </c>
      <c r="D15" s="401">
        <f t="shared" si="0"/>
        <v>0.78017339384834361</v>
      </c>
      <c r="E15" s="402"/>
      <c r="F15" s="492"/>
      <c r="G15" s="390"/>
      <c r="H15" s="390"/>
      <c r="I15" s="390"/>
      <c r="J15" s="390"/>
      <c r="K15" s="390"/>
      <c r="L15" s="390"/>
      <c r="M15" s="390"/>
      <c r="N15" s="390"/>
    </row>
    <row r="16" spans="1:14" x14ac:dyDescent="0.3">
      <c r="A16" s="397"/>
      <c r="B16" s="394"/>
      <c r="C16" s="394"/>
      <c r="D16" s="407"/>
      <c r="E16" s="390"/>
      <c r="F16" s="390"/>
      <c r="G16" s="390"/>
      <c r="H16" s="390"/>
      <c r="I16" s="390"/>
      <c r="J16" s="390"/>
      <c r="K16" s="390"/>
      <c r="L16" s="390"/>
      <c r="M16" s="390"/>
      <c r="N16" s="390"/>
    </row>
    <row r="17" spans="1:14" ht="25.5" customHeight="1" thickBot="1" x14ac:dyDescent="0.35">
      <c r="A17" s="478" t="s">
        <v>376</v>
      </c>
      <c r="B17" s="479">
        <f>+B7-B15</f>
        <v>11816.070519377128</v>
      </c>
      <c r="C17" s="479">
        <f>+C7-C15</f>
        <v>1969.3450865628474</v>
      </c>
      <c r="D17" s="480">
        <f>C17/$C$5</f>
        <v>2.3903940161387475E-2</v>
      </c>
      <c r="E17" s="398"/>
      <c r="F17" s="390"/>
      <c r="G17" s="390"/>
      <c r="H17" s="390"/>
      <c r="I17" s="390"/>
      <c r="J17" s="390"/>
      <c r="K17" s="390"/>
      <c r="L17" s="390"/>
      <c r="M17" s="390"/>
      <c r="N17" s="390"/>
    </row>
    <row r="18" spans="1:14" ht="10.8" thickBot="1" x14ac:dyDescent="0.35">
      <c r="B18" s="404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</row>
    <row r="19" spans="1:14" ht="29.25" customHeight="1" thickBot="1" x14ac:dyDescent="0.35">
      <c r="A19" s="1087" t="s">
        <v>377</v>
      </c>
      <c r="B19" s="1088"/>
      <c r="C19" s="1089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</row>
    <row r="20" spans="1:14" x14ac:dyDescent="0.3">
      <c r="A20" s="405"/>
      <c r="B20" s="390"/>
      <c r="C20" s="391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</row>
    <row r="21" spans="1:14" ht="21.75" customHeight="1" x14ac:dyDescent="0.3">
      <c r="A21" s="400"/>
      <c r="B21" s="874" t="s">
        <v>378</v>
      </c>
      <c r="C21" s="482" t="s">
        <v>379</v>
      </c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</row>
    <row r="22" spans="1:14" x14ac:dyDescent="0.3">
      <c r="A22" s="397" t="s">
        <v>380</v>
      </c>
      <c r="B22" s="406">
        <f>-B6</f>
        <v>96847.466235918066</v>
      </c>
      <c r="C22" s="407">
        <f>+B22/6</f>
        <v>16141.244372653011</v>
      </c>
      <c r="D22" s="390"/>
      <c r="E22" s="390"/>
      <c r="F22" s="488"/>
      <c r="G22" s="390"/>
      <c r="H22" s="390"/>
      <c r="I22" s="390"/>
      <c r="J22" s="390"/>
      <c r="K22" s="390"/>
      <c r="L22" s="390"/>
      <c r="M22" s="390"/>
      <c r="N22" s="390"/>
    </row>
    <row r="23" spans="1:14" x14ac:dyDescent="0.3">
      <c r="A23" s="397" t="s">
        <v>381</v>
      </c>
      <c r="B23" s="554">
        <f>+B15</f>
        <v>385651.22640094068</v>
      </c>
      <c r="C23" s="407">
        <f>+B23/6</f>
        <v>64275.204400156777</v>
      </c>
      <c r="F23" s="390"/>
    </row>
    <row r="24" spans="1:14" x14ac:dyDescent="0.3">
      <c r="A24" s="397" t="s">
        <v>369</v>
      </c>
      <c r="B24" s="554">
        <f>+B28</f>
        <v>1850.8161078000001</v>
      </c>
      <c r="C24" s="407">
        <f>+B24</f>
        <v>1850.8161078000001</v>
      </c>
      <c r="F24" s="390"/>
    </row>
    <row r="25" spans="1:14" x14ac:dyDescent="0.3">
      <c r="A25" s="400"/>
      <c r="C25" s="388"/>
      <c r="F25" s="390"/>
    </row>
    <row r="26" spans="1:14" ht="19.5" hidden="1" customHeight="1" thickBot="1" x14ac:dyDescent="0.35">
      <c r="A26" s="403" t="s">
        <v>365</v>
      </c>
      <c r="B26" s="408">
        <f>B23/(1-(B22/B5))</f>
        <v>479619.57151284831</v>
      </c>
      <c r="C26" s="409">
        <f>+C23/(1-(C22/C24))</f>
        <v>-8324.5639270679494</v>
      </c>
    </row>
    <row r="27" spans="1:14" ht="10.8" thickBot="1" x14ac:dyDescent="0.35"/>
    <row r="28" spans="1:14" x14ac:dyDescent="0.3">
      <c r="A28" s="410" t="s">
        <v>382</v>
      </c>
      <c r="B28" s="472">
        <f>+B5/'1 Estudiantes'!I12</f>
        <v>1850.8161078000001</v>
      </c>
      <c r="C28" s="473"/>
      <c r="F28" s="489"/>
    </row>
    <row r="29" spans="1:14" x14ac:dyDescent="0.3">
      <c r="A29" s="397" t="s">
        <v>383</v>
      </c>
      <c r="B29" s="471">
        <f>B22/'1 Estudiantes'!I12</f>
        <v>362.61682609790887</v>
      </c>
      <c r="C29" s="474"/>
    </row>
    <row r="30" spans="1:14" x14ac:dyDescent="0.3">
      <c r="A30" s="397" t="s">
        <v>384</v>
      </c>
      <c r="B30" s="471">
        <f>+B28-B29</f>
        <v>1488.1992817020912</v>
      </c>
      <c r="C30" s="474"/>
    </row>
    <row r="31" spans="1:14" ht="31.2" x14ac:dyDescent="0.3">
      <c r="A31" s="432" t="s">
        <v>385</v>
      </c>
      <c r="B31" s="483">
        <f>+B23/B30</f>
        <v>259.13950580587675</v>
      </c>
      <c r="C31" s="431">
        <f>+(B22+B23)/B24</f>
        <v>260.69510126016138</v>
      </c>
      <c r="F31" s="490"/>
      <c r="G31" s="481"/>
    </row>
    <row r="32" spans="1:14" ht="29.25" customHeight="1" x14ac:dyDescent="0.3">
      <c r="A32" s="432" t="s">
        <v>386</v>
      </c>
      <c r="B32" s="477">
        <v>8</v>
      </c>
      <c r="C32" s="475"/>
    </row>
    <row r="33" spans="1:3" ht="31.8" thickBot="1" x14ac:dyDescent="0.35">
      <c r="A33" s="433" t="s">
        <v>387</v>
      </c>
      <c r="B33" s="484">
        <f>+B31/B32</f>
        <v>32.392438225734594</v>
      </c>
      <c r="C33" s="476">
        <f>+C31/B32</f>
        <v>32.586887657520172</v>
      </c>
    </row>
    <row r="34" spans="1:3" ht="31.2" x14ac:dyDescent="0.3">
      <c r="A34" s="432" t="s">
        <v>388</v>
      </c>
      <c r="B34" s="1096">
        <f>+C33*1.35</f>
        <v>43.992298337652237</v>
      </c>
      <c r="C34" s="1097"/>
    </row>
    <row r="35" spans="1:3" ht="31.8" thickBot="1" x14ac:dyDescent="0.35">
      <c r="A35" s="433" t="s">
        <v>389</v>
      </c>
      <c r="B35" s="1082">
        <f>+C33*1.175</f>
        <v>38.289592997586205</v>
      </c>
      <c r="C35" s="1083">
        <f>C33*1.175</f>
        <v>38.289592997586205</v>
      </c>
    </row>
  </sheetData>
  <mergeCells count="6">
    <mergeCell ref="B35:C35"/>
    <mergeCell ref="A1:D1"/>
    <mergeCell ref="A19:C19"/>
    <mergeCell ref="A9:D9"/>
    <mergeCell ref="A2:D2"/>
    <mergeCell ref="B34:C34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0"/>
  <sheetViews>
    <sheetView showGridLines="0" zoomScaleNormal="100" workbookViewId="0">
      <selection activeCell="C15" sqref="C15"/>
    </sheetView>
  </sheetViews>
  <sheetFormatPr baseColWidth="10" defaultColWidth="11.44140625" defaultRowHeight="10.199999999999999" x14ac:dyDescent="0.2"/>
  <cols>
    <col min="1" max="1" width="4.33203125" style="117" customWidth="1"/>
    <col min="2" max="2" width="30" style="42" customWidth="1"/>
    <col min="3" max="3" width="11.44140625" style="42" bestFit="1" customWidth="1"/>
    <col min="4" max="4" width="13.5546875" style="42" customWidth="1"/>
    <col min="5" max="5" width="11.44140625" style="42" bestFit="1" customWidth="1"/>
    <col min="6" max="6" width="11.109375" style="42" bestFit="1" customWidth="1"/>
    <col min="7" max="11" width="11.88671875" style="42" customWidth="1"/>
    <col min="12" max="12" width="11.44140625" style="42"/>
    <col min="13" max="13" width="12.5546875" style="42" bestFit="1" customWidth="1"/>
    <col min="14" max="16384" width="11.44140625" style="42"/>
  </cols>
  <sheetData>
    <row r="1" spans="1:13" ht="29.25" customHeight="1" x14ac:dyDescent="0.2">
      <c r="A1" s="986" t="s">
        <v>390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</row>
    <row r="2" spans="1:13" ht="23.25" customHeight="1" x14ac:dyDescent="0.2">
      <c r="A2" s="1065" t="s">
        <v>161</v>
      </c>
      <c r="B2" s="1098"/>
      <c r="C2" s="1098" t="s">
        <v>344</v>
      </c>
      <c r="D2" s="1098"/>
      <c r="E2" s="1098"/>
      <c r="F2" s="1098"/>
      <c r="G2" s="1098"/>
      <c r="H2" s="1098"/>
      <c r="I2" s="1098"/>
      <c r="J2" s="1098"/>
      <c r="K2" s="1098"/>
    </row>
    <row r="3" spans="1:13" ht="23.25" customHeight="1" x14ac:dyDescent="0.2">
      <c r="A3" s="1065"/>
      <c r="B3" s="1098"/>
      <c r="C3" s="875">
        <v>0</v>
      </c>
      <c r="D3" s="875">
        <f>+'1 Estudiantes'!B3</f>
        <v>2023</v>
      </c>
      <c r="E3" s="875">
        <f>+'1 Estudiantes'!C3</f>
        <v>2023</v>
      </c>
      <c r="F3" s="875">
        <f>+'1 Estudiantes'!D3</f>
        <v>2024</v>
      </c>
      <c r="G3" s="875">
        <f>+'1 Estudiantes'!E3</f>
        <v>2024</v>
      </c>
      <c r="H3" s="875">
        <f>+'1 Estudiantes'!F3</f>
        <v>2025</v>
      </c>
      <c r="I3" s="875">
        <f>+'1 Estudiantes'!G3</f>
        <v>2025</v>
      </c>
      <c r="J3" s="875">
        <f>+'1 Estudiantes'!H3</f>
        <v>2026</v>
      </c>
      <c r="K3" s="875">
        <f>+'1 Estudiantes'!I3</f>
        <v>2026</v>
      </c>
    </row>
    <row r="4" spans="1:13" x14ac:dyDescent="0.2">
      <c r="A4" s="307" t="s">
        <v>391</v>
      </c>
      <c r="B4" s="51" t="s">
        <v>345</v>
      </c>
      <c r="C4" s="196"/>
      <c r="D4" s="196">
        <f>+'12 Pérdidas y Ganancias'!B4</f>
        <v>55524.483233999999</v>
      </c>
      <c r="E4" s="196">
        <f>+'12 Pérdidas y Ganancias'!C4</f>
        <v>160909.95241213203</v>
      </c>
      <c r="F4" s="196">
        <f>+'12 Pérdidas y Ganancias'!D4</f>
        <v>200021.62050009455</v>
      </c>
      <c r="G4" s="196">
        <f>+'12 Pérdidas y Ganancias'!E4</f>
        <v>290668.38167708495</v>
      </c>
      <c r="H4" s="196">
        <f>+'12 Pérdidas y Ganancias'!F4</f>
        <v>316544.68998002226</v>
      </c>
      <c r="I4" s="196">
        <f>+'12 Pérdidas y Ganancias'!G4</f>
        <v>397089.77756965044</v>
      </c>
      <c r="J4" s="196">
        <f>+'12 Pérdidas y Ganancias'!H4</f>
        <v>417368.32044863875</v>
      </c>
      <c r="K4" s="196">
        <f>+'12 Pérdidas y Ganancias'!I4</f>
        <v>494314.76315623586</v>
      </c>
    </row>
    <row r="5" spans="1:13" x14ac:dyDescent="0.2">
      <c r="A5" s="307" t="s">
        <v>392</v>
      </c>
      <c r="B5" s="51" t="s">
        <v>293</v>
      </c>
      <c r="C5" s="196"/>
      <c r="D5" s="196">
        <f>+'10 Costos y Gastos'!B5</f>
        <v>27376.805803078376</v>
      </c>
      <c r="E5" s="196">
        <f>+'10 Costos y Gastos'!C5</f>
        <v>88847.297146146797</v>
      </c>
      <c r="F5" s="196">
        <f>+'10 Costos y Gastos'!D5</f>
        <v>118741.70896794503</v>
      </c>
      <c r="G5" s="196">
        <f>+'10 Costos y Gastos'!E5</f>
        <v>182905.70207007747</v>
      </c>
      <c r="H5" s="196">
        <f>+'10 Costos y Gastos'!F5</f>
        <v>210184.6182833559</v>
      </c>
      <c r="I5" s="196">
        <f>+'10 Costos y Gastos'!G5</f>
        <v>276049.29719013325</v>
      </c>
      <c r="J5" s="196">
        <f>+'10 Costos y Gastos'!H5</f>
        <v>303307.68325178651</v>
      </c>
      <c r="K5" s="196">
        <f>+'10 Costos y Gastos'!I5</f>
        <v>365252.70491074654</v>
      </c>
    </row>
    <row r="6" spans="1:13" x14ac:dyDescent="0.2">
      <c r="A6" s="307" t="s">
        <v>392</v>
      </c>
      <c r="B6" s="51" t="s">
        <v>298</v>
      </c>
      <c r="C6" s="196"/>
      <c r="D6" s="196">
        <f>+'10 Costos y Gastos'!B21</f>
        <v>32340.875790430222</v>
      </c>
      <c r="E6" s="196">
        <f>+'10 Costos y Gastos'!C21</f>
        <v>56507.954505110196</v>
      </c>
      <c r="F6" s="196">
        <f>+'10 Costos y Gastos'!D21</f>
        <v>64268.401309718305</v>
      </c>
      <c r="G6" s="196">
        <f>+'10 Costos y Gastos'!E21</f>
        <v>81492.480233081151</v>
      </c>
      <c r="H6" s="196">
        <f>+'10 Costos y Gastos'!F21</f>
        <v>85875.288407093351</v>
      </c>
      <c r="I6" s="196">
        <f>+'10 Costos y Gastos'!G21</f>
        <v>100894.09501126304</v>
      </c>
      <c r="J6" s="196">
        <f>+'10 Costos y Gastos'!H21</f>
        <v>104027.9689208155</v>
      </c>
      <c r="K6" s="196">
        <f>+'10 Costos y Gastos'!I21</f>
        <v>116452.87914897857</v>
      </c>
    </row>
    <row r="7" spans="1:13" x14ac:dyDescent="0.2">
      <c r="A7" s="307" t="s">
        <v>392</v>
      </c>
      <c r="B7" s="51" t="s">
        <v>300</v>
      </c>
      <c r="C7" s="196"/>
      <c r="D7" s="196">
        <f>+'10 Costos y Gastos'!B33</f>
        <v>87.867880584374348</v>
      </c>
      <c r="E7" s="196">
        <f>+'10 Costos y Gastos'!C33</f>
        <v>258.28248591996612</v>
      </c>
      <c r="F7" s="196">
        <f>+'10 Costos y Gastos'!D33</f>
        <v>321.06206363286043</v>
      </c>
      <c r="G7" s="196">
        <f>+'10 Costos y Gastos'!E33</f>
        <v>482.00573496530046</v>
      </c>
      <c r="H7" s="196">
        <f>+'10 Costos y Gastos'!F33</f>
        <v>524.91555862683049</v>
      </c>
      <c r="I7" s="196">
        <f>+'10 Costos y Gastos'!G33</f>
        <v>667.37029632040947</v>
      </c>
      <c r="J7" s="196">
        <f>+'10 Costos y Gastos'!H33</f>
        <v>701.45149894649035</v>
      </c>
      <c r="K7" s="196">
        <f>+'10 Costos y Gastos'!I33</f>
        <v>841.98722106108028</v>
      </c>
    </row>
    <row r="8" spans="1:13" x14ac:dyDescent="0.2">
      <c r="A8" s="307" t="s">
        <v>392</v>
      </c>
      <c r="B8" s="51" t="s">
        <v>301</v>
      </c>
      <c r="C8" s="196"/>
      <c r="D8" s="196">
        <f>+'10 Costos y Gastos'!B35</f>
        <v>1120.050815159856</v>
      </c>
      <c r="E8" s="196">
        <f>+'10 Costos y Gastos'!C35</f>
        <v>3292.3237361846282</v>
      </c>
      <c r="F8" s="196">
        <f>+'10 Costos y Gastos'!D35</f>
        <v>4212.5742569104386</v>
      </c>
      <c r="G8" s="196">
        <f>+'10 Costos y Gastos'!E35</f>
        <v>6117.4990597502447</v>
      </c>
      <c r="H8" s="196">
        <f>+'10 Costos y Gastos'!F35</f>
        <v>6656.7586527973672</v>
      </c>
      <c r="I8" s="196">
        <f>+'10 Costos y Gastos'!G35</f>
        <v>8178.3105658298227</v>
      </c>
      <c r="J8" s="196">
        <f>+'10 Costos y Gastos'!H35</f>
        <v>8592.895675327507</v>
      </c>
      <c r="K8" s="196">
        <f>+'10 Costos y Gastos'!I35</f>
        <v>10166.02889134573</v>
      </c>
    </row>
    <row r="9" spans="1:13" x14ac:dyDescent="0.2">
      <c r="A9" s="307" t="s">
        <v>392</v>
      </c>
      <c r="B9" s="51" t="s">
        <v>393</v>
      </c>
      <c r="C9" s="196"/>
      <c r="D9" s="196">
        <f>+'10 Costos y Gastos'!B38</f>
        <v>0</v>
      </c>
      <c r="E9" s="196">
        <f>+'10 Costos y Gastos'!C38</f>
        <v>0</v>
      </c>
      <c r="F9" s="196">
        <f>+'10 Costos y Gastos'!D38</f>
        <v>0</v>
      </c>
      <c r="G9" s="196">
        <f>+'10 Costos y Gastos'!E38</f>
        <v>0</v>
      </c>
      <c r="H9" s="196">
        <f>+'10 Costos y Gastos'!F38</f>
        <v>0</v>
      </c>
      <c r="I9" s="196">
        <f>+'10 Costos y Gastos'!G38</f>
        <v>0</v>
      </c>
      <c r="J9" s="196">
        <f>+'10 Costos y Gastos'!H38</f>
        <v>0</v>
      </c>
      <c r="K9" s="196">
        <f>+'10 Costos y Gastos'!I38</f>
        <v>0</v>
      </c>
    </row>
    <row r="10" spans="1:13" ht="46.8" x14ac:dyDescent="0.2">
      <c r="A10" s="310" t="s">
        <v>394</v>
      </c>
      <c r="B10" s="311" t="s">
        <v>395</v>
      </c>
      <c r="C10" s="312"/>
      <c r="D10" s="313">
        <f>+'12 Pérdidas y Ganancias'!B41</f>
        <v>-5313.2491746684545</v>
      </c>
      <c r="E10" s="313">
        <f>+'12 Pérdidas y Ganancias'!C41</f>
        <v>12262.377024690408</v>
      </c>
      <c r="F10" s="313">
        <f>+'12 Pérdidas y Ganancias'!D41</f>
        <v>12798.935965520775</v>
      </c>
      <c r="G10" s="313">
        <f>+'12 Pérdidas y Ganancias'!E41</f>
        <v>25022.794118209324</v>
      </c>
      <c r="H10" s="313">
        <f>+'12 Pérdidas y Ganancias'!F41</f>
        <v>16286.630964786027</v>
      </c>
      <c r="I10" s="313">
        <f>+'12 Pérdidas y Ganancias'!G41</f>
        <v>12018.788740358177</v>
      </c>
      <c r="J10" s="313">
        <f>+'12 Pérdidas y Ganancias'!H41</f>
        <v>1482.4838871998418</v>
      </c>
      <c r="K10" s="313">
        <f>+'12 Pérdidas y Ganancias'!I41</f>
        <v>2293.7478252845358</v>
      </c>
      <c r="M10" s="308"/>
    </row>
    <row r="11" spans="1:13" x14ac:dyDescent="0.2">
      <c r="A11" s="307" t="s">
        <v>392</v>
      </c>
      <c r="B11" s="309" t="s">
        <v>352</v>
      </c>
      <c r="C11" s="196"/>
      <c r="D11" s="196">
        <f>+'12 Pérdidas y Ganancias'!B42</f>
        <v>0</v>
      </c>
      <c r="E11" s="196">
        <f>+'12 Pérdidas y Ganancias'!C42</f>
        <v>0</v>
      </c>
      <c r="F11" s="196">
        <f>+'12 Pérdidas y Ganancias'!D42</f>
        <v>0</v>
      </c>
      <c r="G11" s="196">
        <f>+'12 Pérdidas y Ganancias'!E42</f>
        <v>0</v>
      </c>
      <c r="H11" s="196">
        <f>+'12 Pérdidas y Ganancias'!F42</f>
        <v>0</v>
      </c>
      <c r="I11" s="196">
        <f>+'12 Pérdidas y Ganancias'!G42</f>
        <v>0</v>
      </c>
      <c r="J11" s="196">
        <f>+'12 Pérdidas y Ganancias'!H42</f>
        <v>0</v>
      </c>
      <c r="K11" s="196">
        <f>+'12 Pérdidas y Ganancias'!I42</f>
        <v>0</v>
      </c>
    </row>
    <row r="12" spans="1:13" ht="31.2" x14ac:dyDescent="0.2">
      <c r="A12" s="871" t="s">
        <v>394</v>
      </c>
      <c r="B12" s="311" t="s">
        <v>353</v>
      </c>
      <c r="C12" s="313"/>
      <c r="D12" s="313">
        <f>+'12 Pérdidas y Ganancias'!B43</f>
        <v>-5313.2491746684545</v>
      </c>
      <c r="E12" s="313">
        <f>+'12 Pérdidas y Ganancias'!C43</f>
        <v>12262.377024690408</v>
      </c>
      <c r="F12" s="313">
        <f>+'12 Pérdidas y Ganancias'!D43</f>
        <v>12798.935965520775</v>
      </c>
      <c r="G12" s="313">
        <f>+'12 Pérdidas y Ganancias'!E43</f>
        <v>25022.794118209324</v>
      </c>
      <c r="H12" s="313">
        <f>+'12 Pérdidas y Ganancias'!F43</f>
        <v>16286.630964786027</v>
      </c>
      <c r="I12" s="313">
        <f>+'12 Pérdidas y Ganancias'!G43</f>
        <v>12018.788740358177</v>
      </c>
      <c r="J12" s="313">
        <f>+'12 Pérdidas y Ganancias'!H43</f>
        <v>1482.4838871998418</v>
      </c>
      <c r="K12" s="313">
        <f>+'12 Pérdidas y Ganancias'!I43</f>
        <v>2293.7478252845358</v>
      </c>
    </row>
    <row r="13" spans="1:13" x14ac:dyDescent="0.2">
      <c r="A13" s="307" t="s">
        <v>392</v>
      </c>
      <c r="B13" s="309" t="s">
        <v>396</v>
      </c>
      <c r="C13" s="196"/>
      <c r="D13" s="196">
        <f>+'12 Pérdidas y Ganancias'!B44</f>
        <v>0</v>
      </c>
      <c r="E13" s="196">
        <f>+'12 Pérdidas y Ganancias'!C44</f>
        <v>0</v>
      </c>
      <c r="F13" s="196">
        <f>+'12 Pérdidas y Ganancias'!D44</f>
        <v>0</v>
      </c>
      <c r="G13" s="196">
        <f>+'12 Pérdidas y Ganancias'!E44</f>
        <v>0</v>
      </c>
      <c r="H13" s="196">
        <f>+'12 Pérdidas y Ganancias'!F44</f>
        <v>0</v>
      </c>
      <c r="I13" s="196">
        <f>+'12 Pérdidas y Ganancias'!G44</f>
        <v>0</v>
      </c>
      <c r="J13" s="196">
        <f>+'12 Pérdidas y Ganancias'!H44</f>
        <v>0</v>
      </c>
      <c r="K13" s="196">
        <f>+'12 Pérdidas y Ganancias'!I44</f>
        <v>0</v>
      </c>
    </row>
    <row r="14" spans="1:13" ht="31.2" x14ac:dyDescent="0.2">
      <c r="A14" s="871" t="s">
        <v>394</v>
      </c>
      <c r="B14" s="311" t="s">
        <v>355</v>
      </c>
      <c r="C14" s="313"/>
      <c r="D14" s="313">
        <f>+'12 Pérdidas y Ganancias'!B45</f>
        <v>-5313.2491746684545</v>
      </c>
      <c r="E14" s="313">
        <f>+'12 Pérdidas y Ganancias'!C45</f>
        <v>12262.377024690408</v>
      </c>
      <c r="F14" s="313">
        <f>+'12 Pérdidas y Ganancias'!D45</f>
        <v>12798.935965520775</v>
      </c>
      <c r="G14" s="313">
        <f>+'12 Pérdidas y Ganancias'!E45</f>
        <v>25022.794118209324</v>
      </c>
      <c r="H14" s="313">
        <f>+'12 Pérdidas y Ganancias'!F45</f>
        <v>16286.630964786027</v>
      </c>
      <c r="I14" s="313">
        <f>+'12 Pérdidas y Ganancias'!G45</f>
        <v>12018.788740358177</v>
      </c>
      <c r="J14" s="313">
        <f>+'12 Pérdidas y Ganancias'!H45</f>
        <v>1482.4838871998418</v>
      </c>
      <c r="K14" s="313">
        <f>+'12 Pérdidas y Ganancias'!I45</f>
        <v>2293.7478252845358</v>
      </c>
    </row>
    <row r="15" spans="1:13" x14ac:dyDescent="0.2">
      <c r="A15" s="307" t="s">
        <v>392</v>
      </c>
      <c r="B15" s="309" t="s">
        <v>397</v>
      </c>
      <c r="C15" s="196">
        <f>+'4 Inversión Inicial'!C13*-1</f>
        <v>-18848.684286266667</v>
      </c>
      <c r="D15" s="196">
        <f>-1*('3 Recursos físicos'!B183)</f>
        <v>0</v>
      </c>
      <c r="E15" s="196">
        <f>-1*('3 Recursos físicos'!C183)</f>
        <v>-717.33519000000001</v>
      </c>
      <c r="F15" s="196">
        <f>-1*('3 Recursos físicos'!D183)</f>
        <v>-26255.55198987</v>
      </c>
      <c r="G15" s="196">
        <f>-1*('3 Recursos físicos'!E183)</f>
        <v>-26668.980495613261</v>
      </c>
      <c r="H15" s="196">
        <f>-1*('3 Recursos físicos'!F183)</f>
        <v>-1465.6186005054712</v>
      </c>
      <c r="I15" s="196">
        <f>-1*('3 Recursos físicos'!G183)</f>
        <v>-1845.3114212325336</v>
      </c>
      <c r="J15" s="196">
        <f>-1*('3 Recursos físicos'!H183)</f>
        <v>-1915.2110898801811</v>
      </c>
      <c r="K15" s="196">
        <f>-1*('3 Recursos físicos'!I183)</f>
        <v>-2272.6547909117808</v>
      </c>
    </row>
    <row r="16" spans="1:13" x14ac:dyDescent="0.2">
      <c r="A16" s="307" t="s">
        <v>391</v>
      </c>
      <c r="B16" s="309" t="s">
        <v>398</v>
      </c>
      <c r="C16" s="196"/>
      <c r="D16" s="196">
        <f>+'10 Costos y Gastos'!B20</f>
        <v>0</v>
      </c>
      <c r="E16" s="196">
        <f>+'10 Costos y Gastos'!C20</f>
        <v>276.04840554999998</v>
      </c>
      <c r="F16" s="196">
        <f>+'10 Costos y Gastos'!D20</f>
        <v>2702.17900153765</v>
      </c>
      <c r="G16" s="196">
        <f>+'10 Costos y Gastos'!E20</f>
        <v>5146.1422095832604</v>
      </c>
      <c r="H16" s="196">
        <f>+'10 Costos y Gastos'!F20</f>
        <v>5160.7853295480199</v>
      </c>
      <c r="I16" s="196">
        <f>+'10 Costos y Gastos'!G20</f>
        <v>5196.8561475170918</v>
      </c>
      <c r="J16" s="196">
        <f>+'10 Costos y Gastos'!H20</f>
        <v>5203.4966160386175</v>
      </c>
      <c r="K16" s="196">
        <f>+'10 Costos y Gastos'!I20</f>
        <v>5047.4537676366199</v>
      </c>
    </row>
    <row r="17" spans="1:11" x14ac:dyDescent="0.2">
      <c r="A17" s="307" t="s">
        <v>391</v>
      </c>
      <c r="B17" s="309" t="s">
        <v>349</v>
      </c>
      <c r="C17" s="196"/>
      <c r="D17" s="196">
        <f>+'10 Costos y Gastos'!B37</f>
        <v>0</v>
      </c>
      <c r="E17" s="196">
        <f>+'10 Costos y Gastos'!C37</f>
        <v>0</v>
      </c>
      <c r="F17" s="196">
        <f>+'10 Costos y Gastos'!D37</f>
        <v>120</v>
      </c>
      <c r="G17" s="196">
        <f>+'10 Costos y Gastos'!E37</f>
        <v>60</v>
      </c>
      <c r="H17" s="196">
        <f>+'10 Costos y Gastos'!F37</f>
        <v>60</v>
      </c>
      <c r="I17" s="196">
        <f>+'10 Costos y Gastos'!G37</f>
        <v>60</v>
      </c>
      <c r="J17" s="196">
        <f>+'10 Costos y Gastos'!H37</f>
        <v>60</v>
      </c>
      <c r="K17" s="196">
        <f>+'10 Costos y Gastos'!I37</f>
        <v>60</v>
      </c>
    </row>
    <row r="18" spans="1:11" x14ac:dyDescent="0.2">
      <c r="A18" s="307" t="s">
        <v>391</v>
      </c>
      <c r="B18" s="309" t="s">
        <v>399</v>
      </c>
      <c r="C18" s="196"/>
      <c r="D18" s="196"/>
      <c r="E18" s="196"/>
      <c r="F18" s="196"/>
      <c r="G18" s="196"/>
      <c r="H18" s="196"/>
      <c r="I18" s="196"/>
      <c r="J18" s="196"/>
      <c r="K18" s="196"/>
    </row>
    <row r="19" spans="1:11" x14ac:dyDescent="0.2">
      <c r="A19" s="307" t="s">
        <v>392</v>
      </c>
      <c r="B19" s="309" t="s">
        <v>400</v>
      </c>
      <c r="C19" s="196"/>
      <c r="D19" s="196"/>
      <c r="E19" s="196"/>
      <c r="F19" s="196"/>
      <c r="G19" s="196"/>
      <c r="H19" s="196"/>
      <c r="I19" s="196"/>
      <c r="J19" s="196"/>
      <c r="K19" s="196"/>
    </row>
    <row r="20" spans="1:11" ht="38.25" customHeight="1" thickBot="1" x14ac:dyDescent="0.25">
      <c r="A20" s="314" t="s">
        <v>394</v>
      </c>
      <c r="B20" s="315" t="s">
        <v>401</v>
      </c>
      <c r="C20" s="198">
        <f>+C4-C5-C6-C7-C8-C9-C11-C13+C15+C16+C17+C18+-C19</f>
        <v>-18848.684286266667</v>
      </c>
      <c r="D20" s="198">
        <f t="shared" ref="D20:K20" si="0">+D4-D5-D6-D7-D8-D9-D11-D13+D15+D16+D17+D18+-D19</f>
        <v>-5401.1170552528292</v>
      </c>
      <c r="E20" s="198">
        <f t="shared" si="0"/>
        <v>11562.807754320442</v>
      </c>
      <c r="F20" s="198">
        <f t="shared" si="0"/>
        <v>-10955.499086444435</v>
      </c>
      <c r="G20" s="198">
        <f t="shared" si="0"/>
        <v>-1792.1437068192172</v>
      </c>
      <c r="H20" s="198">
        <f t="shared" si="0"/>
        <v>17058.275807191359</v>
      </c>
      <c r="I20" s="198">
        <f t="shared" si="0"/>
        <v>14712.249232388478</v>
      </c>
      <c r="J20" s="198">
        <f t="shared" si="0"/>
        <v>4086.60662792118</v>
      </c>
      <c r="K20" s="198">
        <f t="shared" si="0"/>
        <v>4435.9619608287785</v>
      </c>
    </row>
  </sheetData>
  <mergeCells count="3">
    <mergeCell ref="A2:B3"/>
    <mergeCell ref="A1:K1"/>
    <mergeCell ref="C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showGridLines="0" zoomScaleNormal="100" workbookViewId="0">
      <selection activeCell="I10" sqref="I10"/>
    </sheetView>
  </sheetViews>
  <sheetFormatPr baseColWidth="10" defaultColWidth="11.44140625" defaultRowHeight="10.199999999999999" x14ac:dyDescent="0.2"/>
  <cols>
    <col min="1" max="1" width="36.109375" style="42" bestFit="1" customWidth="1"/>
    <col min="2" max="2" width="11.44140625" style="42"/>
    <col min="3" max="3" width="14" style="42" customWidth="1"/>
    <col min="4" max="16384" width="11.44140625" style="42"/>
  </cols>
  <sheetData>
    <row r="1" spans="1:11" ht="25.5" customHeight="1" thickBot="1" x14ac:dyDescent="0.35">
      <c r="A1" s="1099" t="s">
        <v>402</v>
      </c>
      <c r="B1" s="1100"/>
      <c r="C1" s="1100"/>
      <c r="D1" s="1100"/>
      <c r="E1" s="1100"/>
      <c r="F1" s="1100"/>
      <c r="G1" s="1100"/>
      <c r="H1" s="1100"/>
      <c r="I1" s="1100"/>
      <c r="J1" s="1100"/>
      <c r="K1" s="1101"/>
    </row>
    <row r="2" spans="1:11" ht="27.75" customHeight="1" thickBot="1" x14ac:dyDescent="0.35">
      <c r="A2" s="46" t="s">
        <v>403</v>
      </c>
      <c r="B2" s="44" t="s">
        <v>121</v>
      </c>
      <c r="C2" s="44" t="s">
        <v>404</v>
      </c>
      <c r="D2" s="44">
        <f>+Depreciación!E2</f>
        <v>2023</v>
      </c>
      <c r="E2" s="44">
        <f>+Depreciación!F2</f>
        <v>2023</v>
      </c>
      <c r="F2" s="44">
        <f>+Depreciación!G2</f>
        <v>2024</v>
      </c>
      <c r="G2" s="44">
        <f>+Depreciación!H2</f>
        <v>2024</v>
      </c>
      <c r="H2" s="44">
        <f>+Depreciación!I2</f>
        <v>2025</v>
      </c>
      <c r="I2" s="44">
        <f>+Depreciación!J2</f>
        <v>2025</v>
      </c>
      <c r="J2" s="44">
        <f>+Depreciación!K2</f>
        <v>2026</v>
      </c>
      <c r="K2" s="45">
        <f>+Depreciación!L2</f>
        <v>2026</v>
      </c>
    </row>
    <row r="3" spans="1:11" ht="16.5" customHeight="1" x14ac:dyDescent="0.2">
      <c r="A3" s="193" t="s">
        <v>405</v>
      </c>
      <c r="B3" s="525">
        <v>300</v>
      </c>
      <c r="C3" s="227">
        <v>0.2</v>
      </c>
      <c r="D3" s="228">
        <f>+B3*C3</f>
        <v>60</v>
      </c>
      <c r="E3" s="228">
        <f>+D3/2</f>
        <v>30</v>
      </c>
      <c r="F3" s="228">
        <f>+E3</f>
        <v>30</v>
      </c>
      <c r="G3" s="228">
        <f t="shared" ref="G3:K3" si="0">+F3</f>
        <v>30</v>
      </c>
      <c r="H3" s="228">
        <f t="shared" si="0"/>
        <v>30</v>
      </c>
      <c r="I3" s="228">
        <f t="shared" si="0"/>
        <v>30</v>
      </c>
      <c r="J3" s="228">
        <f t="shared" si="0"/>
        <v>30</v>
      </c>
      <c r="K3" s="232">
        <f t="shared" si="0"/>
        <v>30</v>
      </c>
    </row>
    <row r="4" spans="1:11" ht="16.5" customHeight="1" x14ac:dyDescent="0.2">
      <c r="A4" s="163" t="s">
        <v>406</v>
      </c>
      <c r="B4" s="164">
        <v>300</v>
      </c>
      <c r="C4" s="227">
        <v>0.2</v>
      </c>
      <c r="D4" s="228">
        <f>+B4*C4</f>
        <v>60</v>
      </c>
      <c r="E4" s="228">
        <f>+D4/2</f>
        <v>30</v>
      </c>
      <c r="F4" s="228">
        <f t="shared" ref="F4" si="1">+E4</f>
        <v>30</v>
      </c>
      <c r="G4" s="228">
        <f t="shared" ref="G4" si="2">+F4</f>
        <v>30</v>
      </c>
      <c r="H4" s="228">
        <f t="shared" ref="H4" si="3">+G4</f>
        <v>30</v>
      </c>
      <c r="I4" s="228">
        <f t="shared" ref="I4" si="4">+H4</f>
        <v>30</v>
      </c>
      <c r="J4" s="228">
        <f t="shared" ref="J4" si="5">+I4</f>
        <v>30</v>
      </c>
      <c r="K4" s="232">
        <f t="shared" ref="K4" si="6">+J4</f>
        <v>30</v>
      </c>
    </row>
    <row r="5" spans="1:11" ht="24.75" customHeight="1" thickBot="1" x14ac:dyDescent="0.25">
      <c r="A5" s="43" t="s">
        <v>272</v>
      </c>
      <c r="B5" s="230">
        <f>SUM(B3:B4)</f>
        <v>600</v>
      </c>
      <c r="C5" s="229"/>
      <c r="D5" s="230">
        <f>SUM(D3:D4)</f>
        <v>120</v>
      </c>
      <c r="E5" s="230">
        <f t="shared" ref="E5:K5" si="7">SUM(E3:E4)</f>
        <v>60</v>
      </c>
      <c r="F5" s="230">
        <f t="shared" si="7"/>
        <v>60</v>
      </c>
      <c r="G5" s="230">
        <f t="shared" si="7"/>
        <v>60</v>
      </c>
      <c r="H5" s="230">
        <f t="shared" si="7"/>
        <v>60</v>
      </c>
      <c r="I5" s="230">
        <f t="shared" si="7"/>
        <v>60</v>
      </c>
      <c r="J5" s="230">
        <f t="shared" si="7"/>
        <v>60</v>
      </c>
      <c r="K5" s="231">
        <f t="shared" si="7"/>
        <v>60</v>
      </c>
    </row>
  </sheetData>
  <mergeCells count="1">
    <mergeCell ref="A1:K1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"/>
  <sheetViews>
    <sheetView showGridLines="0" zoomScaleNormal="100" workbookViewId="0">
      <selection activeCell="B4" sqref="B4"/>
    </sheetView>
  </sheetViews>
  <sheetFormatPr baseColWidth="10" defaultColWidth="11.44140625" defaultRowHeight="10.199999999999999" x14ac:dyDescent="0.3"/>
  <cols>
    <col min="1" max="1" width="23.33203125" style="48" bestFit="1" customWidth="1"/>
    <col min="2" max="2" width="13.33203125" style="48" bestFit="1" customWidth="1"/>
    <col min="3" max="3" width="20.109375" style="48" customWidth="1"/>
    <col min="4" max="16384" width="11.44140625" style="48"/>
  </cols>
  <sheetData>
    <row r="1" spans="1:3" ht="31.5" customHeight="1" thickBot="1" x14ac:dyDescent="0.35">
      <c r="A1" s="962" t="s">
        <v>410</v>
      </c>
      <c r="B1" s="963"/>
      <c r="C1" s="969"/>
    </row>
    <row r="2" spans="1:3" ht="30.75" customHeight="1" thickBot="1" x14ac:dyDescent="0.35">
      <c r="A2" s="328"/>
      <c r="B2" s="241" t="s">
        <v>121</v>
      </c>
      <c r="C2" s="329" t="s">
        <v>411</v>
      </c>
    </row>
    <row r="3" spans="1:3" x14ac:dyDescent="0.3">
      <c r="A3" s="203" t="s">
        <v>412</v>
      </c>
      <c r="B3" s="250">
        <f>+C3*'4 Inversión Inicial'!C13</f>
        <v>18848.684286266667</v>
      </c>
      <c r="C3" s="330">
        <f>100%-C4</f>
        <v>1</v>
      </c>
    </row>
    <row r="4" spans="1:3" x14ac:dyDescent="0.3">
      <c r="A4" s="121" t="s">
        <v>413</v>
      </c>
      <c r="B4" s="112">
        <f>+C4*'4 Inversión Inicial'!C13</f>
        <v>0</v>
      </c>
      <c r="C4" s="333">
        <v>0</v>
      </c>
    </row>
    <row r="5" spans="1:3" ht="27.75" customHeight="1" thickBot="1" x14ac:dyDescent="0.35">
      <c r="A5" s="115" t="s">
        <v>115</v>
      </c>
      <c r="B5" s="331">
        <f>SUM(B3:B4)</f>
        <v>18848.684286266667</v>
      </c>
      <c r="C5" s="332">
        <f>SUM(C3:C4)</f>
        <v>1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2"/>
  <sheetViews>
    <sheetView showGridLines="0" workbookViewId="0">
      <selection activeCell="D1" sqref="D1"/>
    </sheetView>
  </sheetViews>
  <sheetFormatPr baseColWidth="10" defaultColWidth="11.44140625" defaultRowHeight="10.199999999999999" x14ac:dyDescent="0.2"/>
  <cols>
    <col min="1" max="1" width="5.5546875" style="16" customWidth="1"/>
    <col min="2" max="5" width="12.6640625" style="16" customWidth="1"/>
    <col min="6" max="6" width="12" style="16" bestFit="1" customWidth="1"/>
    <col min="7" max="7" width="47.44140625" style="16" customWidth="1"/>
    <col min="8" max="16384" width="11.44140625" style="16"/>
  </cols>
  <sheetData>
    <row r="1" spans="1:10" x14ac:dyDescent="0.2">
      <c r="A1" s="1102" t="s">
        <v>414</v>
      </c>
      <c r="B1" s="1103"/>
      <c r="C1" s="1104"/>
      <c r="D1" s="17">
        <f>+Financiamiento!B4</f>
        <v>0</v>
      </c>
    </row>
    <row r="2" spans="1:10" x14ac:dyDescent="0.2">
      <c r="A2" s="1105" t="s">
        <v>415</v>
      </c>
      <c r="B2" s="1106"/>
      <c r="C2" s="1107"/>
      <c r="D2" s="18">
        <v>0.15</v>
      </c>
    </row>
    <row r="3" spans="1:10" x14ac:dyDescent="0.2">
      <c r="A3" s="1108" t="s">
        <v>415</v>
      </c>
      <c r="B3" s="1109"/>
      <c r="C3" s="1110"/>
      <c r="D3" s="19">
        <f>+D2/12</f>
        <v>1.2499999999999999E-2</v>
      </c>
    </row>
    <row r="4" spans="1:10" x14ac:dyDescent="0.2">
      <c r="A4" s="1105" t="s">
        <v>416</v>
      </c>
      <c r="B4" s="1106"/>
      <c r="C4" s="1107"/>
      <c r="D4" s="20">
        <v>2</v>
      </c>
    </row>
    <row r="5" spans="1:10" ht="10.8" thickBot="1" x14ac:dyDescent="0.25">
      <c r="A5" s="1111" t="s">
        <v>417</v>
      </c>
      <c r="B5" s="1112"/>
      <c r="C5" s="1113"/>
      <c r="D5" s="21">
        <f>+D4*12</f>
        <v>24</v>
      </c>
    </row>
    <row r="6" spans="1:10" ht="10.8" thickBot="1" x14ac:dyDescent="0.25"/>
    <row r="7" spans="1:10" ht="21" thickBot="1" x14ac:dyDescent="0.25">
      <c r="A7" s="22" t="s">
        <v>418</v>
      </c>
      <c r="B7" s="23" t="s">
        <v>419</v>
      </c>
      <c r="C7" s="23" t="s">
        <v>420</v>
      </c>
      <c r="D7" s="23" t="s">
        <v>421</v>
      </c>
      <c r="E7" s="23" t="s">
        <v>422</v>
      </c>
      <c r="F7" s="24" t="s">
        <v>423</v>
      </c>
    </row>
    <row r="8" spans="1:10" ht="18.75" customHeight="1" x14ac:dyDescent="0.2">
      <c r="A8" s="25">
        <v>1</v>
      </c>
      <c r="B8" s="26">
        <f>+D1</f>
        <v>0</v>
      </c>
      <c r="C8" s="26">
        <f t="shared" ref="C8:C31" si="0">+B8*$D$3</f>
        <v>0</v>
      </c>
      <c r="D8" s="26">
        <f>+E8-C8</f>
        <v>0</v>
      </c>
      <c r="E8" s="26">
        <f>+D1*((D3*(1+D3)^D5)/((1+D3)^D5-1))</f>
        <v>0</v>
      </c>
      <c r="F8" s="27">
        <f>+C8</f>
        <v>0</v>
      </c>
      <c r="G8" s="28"/>
    </row>
    <row r="9" spans="1:10" x14ac:dyDescent="0.2">
      <c r="A9" s="29">
        <v>2</v>
      </c>
      <c r="B9" s="30">
        <f>+B8-D8</f>
        <v>0</v>
      </c>
      <c r="C9" s="30">
        <f t="shared" si="0"/>
        <v>0</v>
      </c>
      <c r="D9" s="30">
        <f t="shared" ref="D9:D31" si="1">+E9-C9</f>
        <v>0</v>
      </c>
      <c r="E9" s="30">
        <f t="shared" ref="E9:E31" si="2">+$E$8</f>
        <v>0</v>
      </c>
      <c r="F9" s="31">
        <f>+F8+C9</f>
        <v>0</v>
      </c>
      <c r="G9" s="28"/>
    </row>
    <row r="10" spans="1:10" x14ac:dyDescent="0.2">
      <c r="A10" s="29">
        <v>3</v>
      </c>
      <c r="B10" s="30">
        <f t="shared" ref="B10:B31" si="3">+B9-D9</f>
        <v>0</v>
      </c>
      <c r="C10" s="30">
        <f t="shared" si="0"/>
        <v>0</v>
      </c>
      <c r="D10" s="30">
        <f t="shared" si="1"/>
        <v>0</v>
      </c>
      <c r="E10" s="30">
        <f t="shared" si="2"/>
        <v>0</v>
      </c>
      <c r="F10" s="31">
        <f t="shared" ref="F10:F31" si="4">+F9+C10</f>
        <v>0</v>
      </c>
      <c r="G10" s="28"/>
    </row>
    <row r="11" spans="1:10" x14ac:dyDescent="0.2">
      <c r="A11" s="29">
        <v>4</v>
      </c>
      <c r="B11" s="30">
        <f t="shared" si="3"/>
        <v>0</v>
      </c>
      <c r="C11" s="30">
        <f t="shared" si="0"/>
        <v>0</v>
      </c>
      <c r="D11" s="30">
        <f t="shared" si="1"/>
        <v>0</v>
      </c>
      <c r="E11" s="30">
        <f t="shared" si="2"/>
        <v>0</v>
      </c>
      <c r="F11" s="31">
        <f t="shared" si="4"/>
        <v>0</v>
      </c>
      <c r="G11" s="28"/>
    </row>
    <row r="12" spans="1:10" x14ac:dyDescent="0.2">
      <c r="A12" s="29">
        <v>5</v>
      </c>
      <c r="B12" s="30">
        <f t="shared" si="3"/>
        <v>0</v>
      </c>
      <c r="C12" s="30">
        <f t="shared" si="0"/>
        <v>0</v>
      </c>
      <c r="D12" s="30">
        <f t="shared" si="1"/>
        <v>0</v>
      </c>
      <c r="E12" s="30">
        <f t="shared" si="2"/>
        <v>0</v>
      </c>
      <c r="F12" s="31">
        <f t="shared" si="4"/>
        <v>0</v>
      </c>
      <c r="G12" s="28"/>
      <c r="J12" s="28"/>
    </row>
    <row r="13" spans="1:10" x14ac:dyDescent="0.2">
      <c r="A13" s="29">
        <v>6</v>
      </c>
      <c r="B13" s="30">
        <f t="shared" si="3"/>
        <v>0</v>
      </c>
      <c r="C13" s="30">
        <f t="shared" si="0"/>
        <v>0</v>
      </c>
      <c r="D13" s="30">
        <f t="shared" si="1"/>
        <v>0</v>
      </c>
      <c r="E13" s="30">
        <f t="shared" si="2"/>
        <v>0</v>
      </c>
      <c r="F13" s="31">
        <f t="shared" si="4"/>
        <v>0</v>
      </c>
      <c r="G13" s="28"/>
    </row>
    <row r="14" spans="1:10" x14ac:dyDescent="0.2">
      <c r="A14" s="29">
        <v>7</v>
      </c>
      <c r="B14" s="30">
        <f t="shared" si="3"/>
        <v>0</v>
      </c>
      <c r="C14" s="30">
        <f t="shared" si="0"/>
        <v>0</v>
      </c>
      <c r="D14" s="30">
        <f t="shared" si="1"/>
        <v>0</v>
      </c>
      <c r="E14" s="30">
        <f t="shared" si="2"/>
        <v>0</v>
      </c>
      <c r="F14" s="31">
        <f t="shared" si="4"/>
        <v>0</v>
      </c>
      <c r="G14" s="28"/>
      <c r="H14" s="28"/>
    </row>
    <row r="15" spans="1:10" x14ac:dyDescent="0.2">
      <c r="A15" s="29">
        <v>8</v>
      </c>
      <c r="B15" s="30">
        <f t="shared" si="3"/>
        <v>0</v>
      </c>
      <c r="C15" s="30">
        <f t="shared" si="0"/>
        <v>0</v>
      </c>
      <c r="D15" s="30">
        <f t="shared" si="1"/>
        <v>0</v>
      </c>
      <c r="E15" s="30">
        <f t="shared" si="2"/>
        <v>0</v>
      </c>
      <c r="F15" s="31">
        <f t="shared" si="4"/>
        <v>0</v>
      </c>
      <c r="G15" s="28"/>
    </row>
    <row r="16" spans="1:10" x14ac:dyDescent="0.2">
      <c r="A16" s="29">
        <v>9</v>
      </c>
      <c r="B16" s="30">
        <f t="shared" si="3"/>
        <v>0</v>
      </c>
      <c r="C16" s="30">
        <f t="shared" si="0"/>
        <v>0</v>
      </c>
      <c r="D16" s="30">
        <f t="shared" si="1"/>
        <v>0</v>
      </c>
      <c r="E16" s="30">
        <f t="shared" si="2"/>
        <v>0</v>
      </c>
      <c r="F16" s="31">
        <f t="shared" si="4"/>
        <v>0</v>
      </c>
      <c r="G16" s="28"/>
      <c r="H16" s="32"/>
      <c r="J16" s="28"/>
    </row>
    <row r="17" spans="1:12" x14ac:dyDescent="0.2">
      <c r="A17" s="29">
        <v>10</v>
      </c>
      <c r="B17" s="30">
        <f t="shared" si="3"/>
        <v>0</v>
      </c>
      <c r="C17" s="30">
        <f t="shared" si="0"/>
        <v>0</v>
      </c>
      <c r="D17" s="30">
        <f t="shared" si="1"/>
        <v>0</v>
      </c>
      <c r="E17" s="30">
        <f t="shared" si="2"/>
        <v>0</v>
      </c>
      <c r="F17" s="31">
        <f t="shared" si="4"/>
        <v>0</v>
      </c>
      <c r="G17" s="28"/>
    </row>
    <row r="18" spans="1:12" x14ac:dyDescent="0.2">
      <c r="A18" s="29">
        <v>11</v>
      </c>
      <c r="B18" s="30">
        <f t="shared" si="3"/>
        <v>0</v>
      </c>
      <c r="C18" s="30">
        <f t="shared" si="0"/>
        <v>0</v>
      </c>
      <c r="D18" s="30">
        <f t="shared" si="1"/>
        <v>0</v>
      </c>
      <c r="E18" s="30">
        <f t="shared" si="2"/>
        <v>0</v>
      </c>
      <c r="F18" s="31">
        <f t="shared" si="4"/>
        <v>0</v>
      </c>
      <c r="G18" s="28"/>
      <c r="K18" s="28"/>
    </row>
    <row r="19" spans="1:12" x14ac:dyDescent="0.2">
      <c r="A19" s="29">
        <v>12</v>
      </c>
      <c r="B19" s="30">
        <f t="shared" si="3"/>
        <v>0</v>
      </c>
      <c r="C19" s="30">
        <f t="shared" si="0"/>
        <v>0</v>
      </c>
      <c r="D19" s="30">
        <f t="shared" si="1"/>
        <v>0</v>
      </c>
      <c r="E19" s="30">
        <f t="shared" si="2"/>
        <v>0</v>
      </c>
      <c r="F19" s="31">
        <f t="shared" si="4"/>
        <v>0</v>
      </c>
      <c r="G19" s="28"/>
    </row>
    <row r="20" spans="1:12" x14ac:dyDescent="0.2">
      <c r="A20" s="29">
        <v>13</v>
      </c>
      <c r="B20" s="30">
        <f t="shared" si="3"/>
        <v>0</v>
      </c>
      <c r="C20" s="30">
        <f t="shared" si="0"/>
        <v>0</v>
      </c>
      <c r="D20" s="30">
        <f t="shared" si="1"/>
        <v>0</v>
      </c>
      <c r="E20" s="30">
        <f t="shared" si="2"/>
        <v>0</v>
      </c>
      <c r="F20" s="31">
        <f t="shared" si="4"/>
        <v>0</v>
      </c>
      <c r="G20" s="28"/>
    </row>
    <row r="21" spans="1:12" x14ac:dyDescent="0.2">
      <c r="A21" s="29">
        <v>14</v>
      </c>
      <c r="B21" s="30">
        <f t="shared" si="3"/>
        <v>0</v>
      </c>
      <c r="C21" s="30">
        <f t="shared" si="0"/>
        <v>0</v>
      </c>
      <c r="D21" s="30">
        <f t="shared" si="1"/>
        <v>0</v>
      </c>
      <c r="E21" s="30">
        <f t="shared" si="2"/>
        <v>0</v>
      </c>
      <c r="F21" s="31">
        <f t="shared" si="4"/>
        <v>0</v>
      </c>
      <c r="G21" s="28"/>
    </row>
    <row r="22" spans="1:12" x14ac:dyDescent="0.2">
      <c r="A22" s="29">
        <v>15</v>
      </c>
      <c r="B22" s="30">
        <f t="shared" si="3"/>
        <v>0</v>
      </c>
      <c r="C22" s="30">
        <f t="shared" si="0"/>
        <v>0</v>
      </c>
      <c r="D22" s="30">
        <f t="shared" si="1"/>
        <v>0</v>
      </c>
      <c r="E22" s="30">
        <f t="shared" si="2"/>
        <v>0</v>
      </c>
      <c r="F22" s="31">
        <f t="shared" si="4"/>
        <v>0</v>
      </c>
      <c r="G22" s="33"/>
      <c r="H22" s="33"/>
      <c r="I22" s="34"/>
      <c r="J22" s="33"/>
      <c r="K22" s="34"/>
      <c r="L22" s="33"/>
    </row>
    <row r="23" spans="1:12" ht="18" customHeight="1" x14ac:dyDescent="0.2">
      <c r="A23" s="29">
        <v>16</v>
      </c>
      <c r="B23" s="30">
        <f t="shared" si="3"/>
        <v>0</v>
      </c>
      <c r="C23" s="30">
        <f t="shared" si="0"/>
        <v>0</v>
      </c>
      <c r="D23" s="30">
        <f t="shared" si="1"/>
        <v>0</v>
      </c>
      <c r="E23" s="30">
        <f t="shared" si="2"/>
        <v>0</v>
      </c>
      <c r="F23" s="31">
        <f t="shared" si="4"/>
        <v>0</v>
      </c>
      <c r="G23" s="35"/>
      <c r="H23" s="36"/>
      <c r="I23" s="36"/>
      <c r="J23" s="36"/>
      <c r="K23" s="36"/>
      <c r="L23" s="36"/>
    </row>
    <row r="24" spans="1:12" x14ac:dyDescent="0.2">
      <c r="A24" s="29">
        <v>17</v>
      </c>
      <c r="B24" s="30">
        <f t="shared" si="3"/>
        <v>0</v>
      </c>
      <c r="C24" s="30">
        <f t="shared" si="0"/>
        <v>0</v>
      </c>
      <c r="D24" s="30">
        <f t="shared" si="1"/>
        <v>0</v>
      </c>
      <c r="E24" s="30">
        <f t="shared" si="2"/>
        <v>0</v>
      </c>
      <c r="F24" s="31">
        <f t="shared" si="4"/>
        <v>0</v>
      </c>
      <c r="G24" s="28"/>
    </row>
    <row r="25" spans="1:12" x14ac:dyDescent="0.2">
      <c r="A25" s="29">
        <v>18</v>
      </c>
      <c r="B25" s="30">
        <f t="shared" si="3"/>
        <v>0</v>
      </c>
      <c r="C25" s="30">
        <f t="shared" si="0"/>
        <v>0</v>
      </c>
      <c r="D25" s="30">
        <f t="shared" si="1"/>
        <v>0</v>
      </c>
      <c r="E25" s="30">
        <f t="shared" si="2"/>
        <v>0</v>
      </c>
      <c r="F25" s="31">
        <f t="shared" si="4"/>
        <v>0</v>
      </c>
      <c r="G25" s="28"/>
      <c r="H25" s="28"/>
    </row>
    <row r="26" spans="1:12" x14ac:dyDescent="0.2">
      <c r="A26" s="29">
        <v>19</v>
      </c>
      <c r="B26" s="30">
        <f t="shared" si="3"/>
        <v>0</v>
      </c>
      <c r="C26" s="30">
        <f t="shared" si="0"/>
        <v>0</v>
      </c>
      <c r="D26" s="30">
        <f t="shared" si="1"/>
        <v>0</v>
      </c>
      <c r="E26" s="30">
        <f t="shared" si="2"/>
        <v>0</v>
      </c>
      <c r="F26" s="31">
        <f t="shared" si="4"/>
        <v>0</v>
      </c>
    </row>
    <row r="27" spans="1:12" x14ac:dyDescent="0.2">
      <c r="A27" s="29">
        <v>20</v>
      </c>
      <c r="B27" s="30">
        <f t="shared" si="3"/>
        <v>0</v>
      </c>
      <c r="C27" s="30">
        <f t="shared" si="0"/>
        <v>0</v>
      </c>
      <c r="D27" s="30">
        <f t="shared" si="1"/>
        <v>0</v>
      </c>
      <c r="E27" s="30">
        <f t="shared" si="2"/>
        <v>0</v>
      </c>
      <c r="F27" s="31">
        <f t="shared" si="4"/>
        <v>0</v>
      </c>
    </row>
    <row r="28" spans="1:12" x14ac:dyDescent="0.2">
      <c r="A28" s="29">
        <v>21</v>
      </c>
      <c r="B28" s="30">
        <f t="shared" si="3"/>
        <v>0</v>
      </c>
      <c r="C28" s="30">
        <f t="shared" si="0"/>
        <v>0</v>
      </c>
      <c r="D28" s="30">
        <f t="shared" si="1"/>
        <v>0</v>
      </c>
      <c r="E28" s="30">
        <f t="shared" si="2"/>
        <v>0</v>
      </c>
      <c r="F28" s="31">
        <f t="shared" si="4"/>
        <v>0</v>
      </c>
    </row>
    <row r="29" spans="1:12" x14ac:dyDescent="0.2">
      <c r="A29" s="29">
        <v>22</v>
      </c>
      <c r="B29" s="30">
        <f t="shared" si="3"/>
        <v>0</v>
      </c>
      <c r="C29" s="30">
        <f t="shared" si="0"/>
        <v>0</v>
      </c>
      <c r="D29" s="30">
        <f t="shared" si="1"/>
        <v>0</v>
      </c>
      <c r="E29" s="30">
        <f t="shared" si="2"/>
        <v>0</v>
      </c>
      <c r="F29" s="31">
        <f t="shared" si="4"/>
        <v>0</v>
      </c>
    </row>
    <row r="30" spans="1:12" x14ac:dyDescent="0.2">
      <c r="A30" s="29">
        <v>23</v>
      </c>
      <c r="B30" s="30">
        <f t="shared" si="3"/>
        <v>0</v>
      </c>
      <c r="C30" s="30">
        <f t="shared" si="0"/>
        <v>0</v>
      </c>
      <c r="D30" s="30">
        <f t="shared" si="1"/>
        <v>0</v>
      </c>
      <c r="E30" s="30">
        <f t="shared" si="2"/>
        <v>0</v>
      </c>
      <c r="F30" s="31">
        <f t="shared" si="4"/>
        <v>0</v>
      </c>
    </row>
    <row r="31" spans="1:12" ht="10.8" thickBot="1" x14ac:dyDescent="0.25">
      <c r="A31" s="37">
        <v>24</v>
      </c>
      <c r="B31" s="38">
        <f t="shared" si="3"/>
        <v>0</v>
      </c>
      <c r="C31" s="38">
        <f t="shared" si="0"/>
        <v>0</v>
      </c>
      <c r="D31" s="38">
        <f t="shared" si="1"/>
        <v>0</v>
      </c>
      <c r="E31" s="38">
        <f t="shared" si="2"/>
        <v>0</v>
      </c>
      <c r="F31" s="39">
        <f t="shared" si="4"/>
        <v>0</v>
      </c>
    </row>
    <row r="32" spans="1:12" x14ac:dyDescent="0.2">
      <c r="B32" s="40"/>
      <c r="C32" s="41"/>
      <c r="D32" s="41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4"/>
  <sheetViews>
    <sheetView showGridLines="0" topLeftCell="E13" zoomScaleNormal="100" workbookViewId="0">
      <selection activeCell="C12" sqref="C12"/>
    </sheetView>
  </sheetViews>
  <sheetFormatPr baseColWidth="10" defaultColWidth="11.44140625" defaultRowHeight="13.8" x14ac:dyDescent="0.25"/>
  <cols>
    <col min="1" max="1" width="22" style="437" customWidth="1"/>
    <col min="2" max="2" width="51.5546875" style="437" customWidth="1"/>
    <col min="3" max="3" width="12.6640625" style="437" customWidth="1"/>
    <col min="4" max="16384" width="11.44140625" style="437"/>
  </cols>
  <sheetData>
    <row r="1" spans="1:3" ht="38.25" customHeight="1" thickBot="1" x14ac:dyDescent="0.3">
      <c r="A1" s="1117" t="s">
        <v>424</v>
      </c>
      <c r="B1" s="1118"/>
      <c r="C1" s="1119"/>
    </row>
    <row r="2" spans="1:3" ht="23.25" customHeight="1" thickBot="1" x14ac:dyDescent="0.3">
      <c r="A2" s="444" t="s">
        <v>425</v>
      </c>
      <c r="B2" s="443" t="s">
        <v>426</v>
      </c>
      <c r="C2" s="443" t="s">
        <v>427</v>
      </c>
    </row>
    <row r="3" spans="1:3" x14ac:dyDescent="0.25">
      <c r="A3" s="1120" t="s">
        <v>428</v>
      </c>
      <c r="B3" s="1122" t="s">
        <v>429</v>
      </c>
      <c r="C3" s="446" t="s">
        <v>430</v>
      </c>
    </row>
    <row r="4" spans="1:3" ht="14.4" thickBot="1" x14ac:dyDescent="0.3">
      <c r="A4" s="1121"/>
      <c r="B4" s="1123"/>
      <c r="C4" s="438" t="s">
        <v>431</v>
      </c>
    </row>
    <row r="5" spans="1:3" x14ac:dyDescent="0.25">
      <c r="A5" s="1120" t="s">
        <v>432</v>
      </c>
      <c r="B5" s="1122" t="s">
        <v>433</v>
      </c>
      <c r="C5" s="663">
        <f>+'7 Sueldos'!E238</f>
        <v>1793.2141856073424</v>
      </c>
    </row>
    <row r="6" spans="1:3" ht="28.2" thickBot="1" x14ac:dyDescent="0.3">
      <c r="A6" s="1124"/>
      <c r="B6" s="1123"/>
      <c r="C6" s="445" t="s">
        <v>434</v>
      </c>
    </row>
    <row r="7" spans="1:3" ht="28.2" thickBot="1" x14ac:dyDescent="0.3">
      <c r="A7" s="1124"/>
      <c r="B7" s="439" t="s">
        <v>435</v>
      </c>
      <c r="C7" s="447" t="e">
        <f>+'10 Costos y Gastos'!K51+'10 Costos y Gastos'!K52+'10 Costos y Gastos'!K53+'10 Costos y Gastos'!K54+'10 Costos y Gastos'!K55+'10 Costos y Gastos'!K65+'10 Costos y Gastos'!#REF!+'10 Costos y Gastos'!K66</f>
        <v>#REF!</v>
      </c>
    </row>
    <row r="8" spans="1:3" ht="28.2" thickBot="1" x14ac:dyDescent="0.3">
      <c r="A8" s="1124"/>
      <c r="B8" s="439" t="s">
        <v>436</v>
      </c>
      <c r="C8" s="449">
        <f>+'10 Costos y Gastos'!P17</f>
        <v>0</v>
      </c>
    </row>
    <row r="9" spans="1:3" ht="28.2" thickBot="1" x14ac:dyDescent="0.3">
      <c r="A9" s="1121"/>
      <c r="B9" s="439" t="s">
        <v>437</v>
      </c>
      <c r="C9" s="440">
        <v>1</v>
      </c>
    </row>
    <row r="10" spans="1:3" ht="28.2" thickBot="1" x14ac:dyDescent="0.3">
      <c r="A10" s="1120" t="s">
        <v>438</v>
      </c>
      <c r="B10" s="439" t="s">
        <v>439</v>
      </c>
      <c r="C10" s="447">
        <f>+'10 Costos y Gastos'!K58</f>
        <v>0</v>
      </c>
    </row>
    <row r="11" spans="1:3" ht="28.2" thickBot="1" x14ac:dyDescent="0.3">
      <c r="A11" s="1121"/>
      <c r="B11" s="439" t="s">
        <v>440</v>
      </c>
      <c r="C11" s="447">
        <f>+'10 Costos y Gastos'!K59</f>
        <v>0</v>
      </c>
    </row>
    <row r="12" spans="1:3" ht="28.2" thickBot="1" x14ac:dyDescent="0.3">
      <c r="A12" s="876" t="s">
        <v>441</v>
      </c>
      <c r="B12" s="439" t="s">
        <v>442</v>
      </c>
      <c r="C12" s="440">
        <v>1</v>
      </c>
    </row>
    <row r="13" spans="1:3" ht="55.8" thickBot="1" x14ac:dyDescent="0.3">
      <c r="A13" s="876" t="s">
        <v>443</v>
      </c>
      <c r="B13" s="439" t="s">
        <v>444</v>
      </c>
      <c r="C13" s="447" t="e">
        <f>+'10 Costos y Gastos'!K47+'10 Costos y Gastos'!K48+'10 Costos y Gastos'!K49+'10 Costos y Gastos'!#REF!+'10 Costos y Gastos'!K60+'10 Costos y Gastos'!K61+'10 Costos y Gastos'!K75+'10 Costos y Gastos'!K80</f>
        <v>#REF!</v>
      </c>
    </row>
    <row r="14" spans="1:3" x14ac:dyDescent="0.25">
      <c r="A14" s="1120" t="s">
        <v>445</v>
      </c>
      <c r="B14" s="1122" t="s">
        <v>446</v>
      </c>
      <c r="C14" s="450">
        <v>1248</v>
      </c>
    </row>
    <row r="15" spans="1:3" ht="14.4" thickBot="1" x14ac:dyDescent="0.3">
      <c r="A15" s="1124"/>
      <c r="B15" s="1123"/>
      <c r="C15" s="438" t="s">
        <v>431</v>
      </c>
    </row>
    <row r="16" spans="1:3" x14ac:dyDescent="0.25">
      <c r="A16" s="1124"/>
      <c r="B16" s="1122" t="s">
        <v>447</v>
      </c>
      <c r="C16" s="451">
        <f>+C14*0.1</f>
        <v>124.80000000000001</v>
      </c>
    </row>
    <row r="17" spans="1:3" ht="14.4" thickBot="1" x14ac:dyDescent="0.3">
      <c r="A17" s="1121"/>
      <c r="B17" s="1123"/>
      <c r="C17" s="438" t="s">
        <v>431</v>
      </c>
    </row>
    <row r="18" spans="1:3" x14ac:dyDescent="0.25">
      <c r="A18" s="1120" t="s">
        <v>448</v>
      </c>
      <c r="B18" s="441" t="s">
        <v>449</v>
      </c>
      <c r="C18" s="451">
        <f>+'11 Costo de la Carrera'!C8</f>
        <v>1808.5072823078704</v>
      </c>
    </row>
    <row r="19" spans="1:3" ht="14.4" thickBot="1" x14ac:dyDescent="0.3">
      <c r="A19" s="1124"/>
      <c r="B19" s="439" t="s">
        <v>450</v>
      </c>
      <c r="C19" s="438" t="s">
        <v>431</v>
      </c>
    </row>
    <row r="20" spans="1:3" x14ac:dyDescent="0.25">
      <c r="A20" s="1124"/>
      <c r="B20" s="441" t="s">
        <v>451</v>
      </c>
      <c r="C20" s="451">
        <f>+C18*0.1</f>
        <v>180.85072823078704</v>
      </c>
    </row>
    <row r="21" spans="1:3" ht="14.4" thickBot="1" x14ac:dyDescent="0.3">
      <c r="A21" s="1121"/>
      <c r="B21" s="439" t="s">
        <v>450</v>
      </c>
      <c r="C21" s="438" t="s">
        <v>431</v>
      </c>
    </row>
    <row r="22" spans="1:3" ht="14.4" thickBot="1" x14ac:dyDescent="0.3">
      <c r="A22" s="876" t="s">
        <v>452</v>
      </c>
      <c r="B22" s="439" t="s">
        <v>453</v>
      </c>
      <c r="C22" s="438">
        <f>+'1 Estudiantes'!B12</f>
        <v>30</v>
      </c>
    </row>
    <row r="23" spans="1:3" ht="14.4" thickBot="1" x14ac:dyDescent="0.3">
      <c r="A23" s="1125" t="s">
        <v>454</v>
      </c>
      <c r="B23" s="1126"/>
      <c r="C23" s="442"/>
    </row>
    <row r="24" spans="1:3" ht="51" customHeight="1" thickBot="1" x14ac:dyDescent="0.3">
      <c r="A24" s="1114" t="s">
        <v>455</v>
      </c>
      <c r="B24" s="1115"/>
      <c r="C24" s="1116"/>
    </row>
  </sheetData>
  <mergeCells count="12">
    <mergeCell ref="A24:C24"/>
    <mergeCell ref="A1:C1"/>
    <mergeCell ref="A3:A4"/>
    <mergeCell ref="B3:B4"/>
    <mergeCell ref="A5:A9"/>
    <mergeCell ref="B5:B6"/>
    <mergeCell ref="A10:A11"/>
    <mergeCell ref="A14:A17"/>
    <mergeCell ref="B14:B15"/>
    <mergeCell ref="B16:B17"/>
    <mergeCell ref="A18:A21"/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2"/>
  <sheetViews>
    <sheetView showGridLines="0" zoomScaleNormal="100" workbookViewId="0">
      <selection activeCell="D18" sqref="D18"/>
    </sheetView>
  </sheetViews>
  <sheetFormatPr baseColWidth="10" defaultColWidth="11.44140625" defaultRowHeight="10.199999999999999" x14ac:dyDescent="0.2"/>
  <cols>
    <col min="1" max="1" width="20.6640625" style="3" customWidth="1"/>
    <col min="2" max="2" width="17.109375" style="3" customWidth="1"/>
    <col min="3" max="3" width="14.44140625" style="3" bestFit="1" customWidth="1"/>
    <col min="4" max="4" width="14.44140625" style="3" customWidth="1"/>
    <col min="5" max="5" width="14.44140625" style="3" bestFit="1" customWidth="1"/>
    <col min="6" max="6" width="14.44140625" style="3" customWidth="1"/>
    <col min="7" max="7" width="14.44140625" style="3" bestFit="1" customWidth="1"/>
    <col min="8" max="8" width="14.44140625" style="3" customWidth="1"/>
    <col min="9" max="9" width="15.44140625" style="3" bestFit="1" customWidth="1"/>
    <col min="10" max="10" width="15.44140625" style="3" customWidth="1"/>
    <col min="11" max="12" width="15.44140625" style="3" hidden="1" customWidth="1"/>
    <col min="13" max="16384" width="11.44140625" style="3"/>
  </cols>
  <sheetData>
    <row r="1" spans="1:12" ht="15.6" x14ac:dyDescent="0.3">
      <c r="A1" s="1132" t="s">
        <v>456</v>
      </c>
      <c r="B1" s="1133"/>
      <c r="C1" s="1133"/>
      <c r="D1" s="1133"/>
      <c r="E1" s="1133"/>
      <c r="F1" s="1133"/>
      <c r="G1" s="1133"/>
      <c r="H1" s="1133"/>
      <c r="I1" s="1133"/>
      <c r="J1" s="1134"/>
      <c r="K1" s="1134"/>
      <c r="L1" s="1135"/>
    </row>
    <row r="2" spans="1:12" ht="15.6" x14ac:dyDescent="0.2">
      <c r="A2" s="1127" t="s">
        <v>161</v>
      </c>
      <c r="B2" s="877"/>
      <c r="C2" s="1129" t="s">
        <v>344</v>
      </c>
      <c r="D2" s="1129"/>
      <c r="E2" s="1129"/>
      <c r="F2" s="1129"/>
      <c r="G2" s="1129"/>
      <c r="H2" s="1129"/>
      <c r="I2" s="1129"/>
      <c r="J2" s="1130"/>
      <c r="K2" s="1130"/>
      <c r="L2" s="1131"/>
    </row>
    <row r="3" spans="1:12" ht="15.6" x14ac:dyDescent="0.2">
      <c r="A3" s="1128"/>
      <c r="B3" s="424">
        <v>0</v>
      </c>
      <c r="C3" s="424">
        <f>+'12 Pérdidas y Ganancias'!B3</f>
        <v>2023</v>
      </c>
      <c r="D3" s="424">
        <f>+'12 Pérdidas y Ganancias'!C3</f>
        <v>2023</v>
      </c>
      <c r="E3" s="424">
        <f>+'12 Pérdidas y Ganancias'!D3</f>
        <v>2024</v>
      </c>
      <c r="F3" s="424">
        <f>+'12 Pérdidas y Ganancias'!E3</f>
        <v>2024</v>
      </c>
      <c r="G3" s="424">
        <f>+'12 Pérdidas y Ganancias'!F3</f>
        <v>2025</v>
      </c>
      <c r="H3" s="424">
        <f>+'12 Pérdidas y Ganancias'!G3</f>
        <v>2025</v>
      </c>
      <c r="I3" s="424">
        <f>+'12 Pérdidas y Ganancias'!H3</f>
        <v>2026</v>
      </c>
      <c r="J3" s="424">
        <f>+'12 Pérdidas y Ganancias'!I3</f>
        <v>2026</v>
      </c>
      <c r="K3" s="424" t="e">
        <f>+'12 Pérdidas y Ganancias'!#REF!</f>
        <v>#REF!</v>
      </c>
      <c r="L3" s="424" t="e">
        <f>+'12 Pérdidas y Ganancias'!#REF!</f>
        <v>#REF!</v>
      </c>
    </row>
    <row r="4" spans="1:12" x14ac:dyDescent="0.2">
      <c r="A4" s="8" t="s">
        <v>457</v>
      </c>
      <c r="B4" s="426"/>
      <c r="C4" s="427">
        <f>+'12 Pérdidas y Ganancias'!B45</f>
        <v>-5313.2491746684545</v>
      </c>
      <c r="D4" s="427">
        <f>+'12 Pérdidas y Ganancias'!C45</f>
        <v>12262.377024690408</v>
      </c>
      <c r="E4" s="427">
        <f>+'12 Pérdidas y Ganancias'!D45</f>
        <v>12798.935965520775</v>
      </c>
      <c r="F4" s="427">
        <f>+'12 Pérdidas y Ganancias'!E45</f>
        <v>25022.794118209324</v>
      </c>
      <c r="G4" s="427">
        <f>+'12 Pérdidas y Ganancias'!F45</f>
        <v>16286.630964786027</v>
      </c>
      <c r="H4" s="427">
        <f>+'12 Pérdidas y Ganancias'!G45</f>
        <v>12018.788740358177</v>
      </c>
      <c r="I4" s="427">
        <f>+'12 Pérdidas y Ganancias'!H45</f>
        <v>1482.4838871998418</v>
      </c>
      <c r="J4" s="427">
        <f>+'12 Pérdidas y Ganancias'!I45</f>
        <v>2293.7478252845358</v>
      </c>
      <c r="K4" s="427" t="e">
        <f>+'12 Pérdidas y Ganancias'!#REF!</f>
        <v>#REF!</v>
      </c>
      <c r="L4" s="427" t="e">
        <f>+'12 Pérdidas y Ganancias'!#REF!</f>
        <v>#REF!</v>
      </c>
    </row>
    <row r="5" spans="1:12" x14ac:dyDescent="0.2">
      <c r="A5" s="8" t="s">
        <v>458</v>
      </c>
      <c r="B5" s="426"/>
      <c r="C5" s="427">
        <f>+'10 Costos y Gastos'!B20</f>
        <v>0</v>
      </c>
      <c r="D5" s="427">
        <f>+'10 Costos y Gastos'!C20</f>
        <v>276.04840554999998</v>
      </c>
      <c r="E5" s="427">
        <f>+'10 Costos y Gastos'!D20</f>
        <v>2702.17900153765</v>
      </c>
      <c r="F5" s="427">
        <f>+'10 Costos y Gastos'!E20</f>
        <v>5146.1422095832604</v>
      </c>
      <c r="G5" s="427">
        <f>+'10 Costos y Gastos'!F20</f>
        <v>5160.7853295480199</v>
      </c>
      <c r="H5" s="427">
        <f>+'10 Costos y Gastos'!E20</f>
        <v>5146.1422095832604</v>
      </c>
      <c r="I5" s="427">
        <f>+'10 Costos y Gastos'!F20</f>
        <v>5160.7853295480199</v>
      </c>
      <c r="J5" s="427">
        <f>+'10 Costos y Gastos'!G20</f>
        <v>5196.8561475170918</v>
      </c>
      <c r="K5" s="427">
        <f>+'10 Costos y Gastos'!H20</f>
        <v>5203.4966160386175</v>
      </c>
      <c r="L5" s="427">
        <f>+'10 Costos y Gastos'!I20</f>
        <v>5047.4537676366199</v>
      </c>
    </row>
    <row r="6" spans="1:12" ht="20.399999999999999" x14ac:dyDescent="0.2">
      <c r="A6" s="8" t="s">
        <v>459</v>
      </c>
      <c r="B6" s="426"/>
      <c r="C6" s="427">
        <f>+'10 Costos y Gastos'!B37</f>
        <v>0</v>
      </c>
      <c r="D6" s="427">
        <f>+'10 Costos y Gastos'!C37</f>
        <v>0</v>
      </c>
      <c r="E6" s="427">
        <f>+'10 Costos y Gastos'!D37</f>
        <v>120</v>
      </c>
      <c r="F6" s="427">
        <f>+'10 Costos y Gastos'!E37</f>
        <v>60</v>
      </c>
      <c r="G6" s="427">
        <f>+'10 Costos y Gastos'!F37</f>
        <v>60</v>
      </c>
      <c r="H6" s="427">
        <f>+'10 Costos y Gastos'!G37</f>
        <v>60</v>
      </c>
      <c r="I6" s="427">
        <f>+'10 Costos y Gastos'!H37</f>
        <v>60</v>
      </c>
      <c r="J6" s="427">
        <f>+'10 Costos y Gastos'!I37</f>
        <v>60</v>
      </c>
      <c r="K6" s="427">
        <f>+'10 Costos y Gastos'!J37</f>
        <v>60</v>
      </c>
      <c r="L6" s="427">
        <f>+'10 Costos y Gastos'!K37</f>
        <v>0</v>
      </c>
    </row>
    <row r="7" spans="1:12" x14ac:dyDescent="0.2">
      <c r="A7" s="9" t="s">
        <v>460</v>
      </c>
      <c r="B7" s="427">
        <f>+'14 VAN'!C12</f>
        <v>-18848.684286266667</v>
      </c>
      <c r="C7" s="426"/>
      <c r="D7" s="426"/>
      <c r="E7" s="426"/>
      <c r="F7" s="426"/>
      <c r="G7" s="426"/>
      <c r="H7" s="426"/>
      <c r="I7" s="426"/>
      <c r="J7" s="428"/>
      <c r="K7" s="428"/>
      <c r="L7" s="429"/>
    </row>
    <row r="8" spans="1:12" ht="45" customHeight="1" thickBot="1" x14ac:dyDescent="0.25">
      <c r="A8" s="10" t="s">
        <v>461</v>
      </c>
      <c r="B8" s="430">
        <f>+B4+B5+B6-B7</f>
        <v>18848.684286266667</v>
      </c>
      <c r="C8" s="430">
        <f>+C4+C5+C6-C7</f>
        <v>-5313.2491746684545</v>
      </c>
      <c r="D8" s="430">
        <f t="shared" ref="D8:L8" si="0">+D4+D5+D6-D7</f>
        <v>12538.425430240408</v>
      </c>
      <c r="E8" s="430">
        <f t="shared" si="0"/>
        <v>15621.114967058425</v>
      </c>
      <c r="F8" s="430">
        <f t="shared" si="0"/>
        <v>30228.936327792584</v>
      </c>
      <c r="G8" s="430">
        <f t="shared" si="0"/>
        <v>21507.416294334049</v>
      </c>
      <c r="H8" s="430">
        <f t="shared" si="0"/>
        <v>17224.930949941438</v>
      </c>
      <c r="I8" s="430">
        <f t="shared" si="0"/>
        <v>6703.2692167478617</v>
      </c>
      <c r="J8" s="430">
        <f t="shared" si="0"/>
        <v>7550.6039728016276</v>
      </c>
      <c r="K8" s="430" t="e">
        <f t="shared" si="0"/>
        <v>#REF!</v>
      </c>
      <c r="L8" s="430" t="e">
        <f t="shared" si="0"/>
        <v>#REF!</v>
      </c>
    </row>
    <row r="10" spans="1:12" ht="10.8" thickBot="1" x14ac:dyDescent="0.25"/>
    <row r="11" spans="1:12" x14ac:dyDescent="0.2">
      <c r="B11" s="5" t="s">
        <v>344</v>
      </c>
      <c r="C11" s="6" t="s">
        <v>462</v>
      </c>
      <c r="D11" s="13"/>
      <c r="E11" s="7" t="s">
        <v>463</v>
      </c>
      <c r="F11" s="4"/>
    </row>
    <row r="12" spans="1:12" ht="10.8" thickBot="1" x14ac:dyDescent="0.25">
      <c r="B12" s="425">
        <f>+(B8/(SUM(C8:J8)))+1</f>
        <v>1.1777147554035472</v>
      </c>
      <c r="C12" s="11">
        <f>0.07*12</f>
        <v>0.84000000000000008</v>
      </c>
      <c r="D12" s="14"/>
      <c r="E12" s="12">
        <f>0.8*30</f>
        <v>24</v>
      </c>
      <c r="F12" s="15"/>
    </row>
  </sheetData>
  <mergeCells count="3">
    <mergeCell ref="A2:A3"/>
    <mergeCell ref="C2:L2"/>
    <mergeCell ref="A1:L1"/>
  </mergeCell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M36"/>
  <sheetViews>
    <sheetView showGridLines="0" topLeftCell="A22" workbookViewId="0">
      <selection activeCell="F19" sqref="F19"/>
    </sheetView>
  </sheetViews>
  <sheetFormatPr baseColWidth="10" defaultColWidth="11.44140625" defaultRowHeight="10.199999999999999" x14ac:dyDescent="0.3"/>
  <cols>
    <col min="1" max="1" width="25" style="48" customWidth="1"/>
    <col min="2" max="13" width="11.44140625" style="48" customWidth="1"/>
    <col min="14" max="16384" width="11.44140625" style="48"/>
  </cols>
  <sheetData>
    <row r="1" spans="1:13" s="165" customFormat="1" ht="26.25" customHeight="1" x14ac:dyDescent="0.3">
      <c r="A1" s="967" t="s">
        <v>464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1032"/>
    </row>
    <row r="2" spans="1:13" ht="27.75" customHeight="1" x14ac:dyDescent="0.3">
      <c r="A2" s="1065" t="s">
        <v>161</v>
      </c>
      <c r="B2" s="1098" t="s">
        <v>344</v>
      </c>
      <c r="C2" s="1098"/>
      <c r="D2" s="1098"/>
      <c r="E2" s="1098"/>
      <c r="F2" s="1098"/>
      <c r="G2" s="1098"/>
      <c r="H2" s="1098"/>
      <c r="I2" s="1098"/>
      <c r="J2" s="1098"/>
      <c r="K2" s="1098"/>
      <c r="L2" s="1098"/>
      <c r="M2" s="423"/>
    </row>
    <row r="3" spans="1:13" ht="25.5" customHeight="1" thickBot="1" x14ac:dyDescent="0.35">
      <c r="A3" s="998"/>
      <c r="B3" s="1002">
        <f>+'1 Estudiantes'!B3</f>
        <v>2023</v>
      </c>
      <c r="C3" s="1136"/>
      <c r="D3" s="1002">
        <f>+'1 Estudiantes'!D3</f>
        <v>2024</v>
      </c>
      <c r="E3" s="1136"/>
      <c r="F3" s="1002">
        <f>+'1 Estudiantes'!F3</f>
        <v>2025</v>
      </c>
      <c r="G3" s="1136"/>
      <c r="H3" s="1002">
        <f>+'1 Estudiantes'!G3</f>
        <v>2025</v>
      </c>
      <c r="I3" s="1136"/>
      <c r="J3" s="1002">
        <f>+'1 Estudiantes'!H3</f>
        <v>2026</v>
      </c>
      <c r="K3" s="1136"/>
      <c r="L3" s="1002">
        <f>+'1 Estudiantes'!J3</f>
        <v>0</v>
      </c>
      <c r="M3" s="1136"/>
    </row>
    <row r="4" spans="1:13" x14ac:dyDescent="0.3">
      <c r="A4" s="367" t="s">
        <v>465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414"/>
    </row>
    <row r="5" spans="1:13" x14ac:dyDescent="0.3">
      <c r="A5" s="415" t="s">
        <v>466</v>
      </c>
      <c r="B5" s="196"/>
      <c r="C5" s="416">
        <f>+B6+B7</f>
        <v>125218.55924999998</v>
      </c>
      <c r="D5" s="196"/>
      <c r="E5" s="416">
        <f>+D6+D7</f>
        <v>150</v>
      </c>
      <c r="F5" s="196"/>
      <c r="G5" s="416">
        <f>+F6+F7</f>
        <v>150</v>
      </c>
      <c r="H5" s="196"/>
      <c r="I5" s="416">
        <f>+H6+H7</f>
        <v>150</v>
      </c>
      <c r="J5" s="416"/>
      <c r="K5" s="416"/>
      <c r="L5" s="196"/>
      <c r="M5" s="417">
        <f>+L6+L7</f>
        <v>150</v>
      </c>
    </row>
    <row r="6" spans="1:13" x14ac:dyDescent="0.3">
      <c r="A6" s="270" t="s">
        <v>467</v>
      </c>
      <c r="B6" s="196">
        <v>100</v>
      </c>
      <c r="C6" s="196"/>
      <c r="D6" s="196">
        <v>150</v>
      </c>
      <c r="E6" s="196"/>
      <c r="F6" s="196">
        <v>150</v>
      </c>
      <c r="G6" s="196"/>
      <c r="H6" s="196">
        <v>150</v>
      </c>
      <c r="I6" s="196"/>
      <c r="J6" s="196"/>
      <c r="K6" s="196"/>
      <c r="L6" s="196">
        <v>150</v>
      </c>
      <c r="M6" s="197"/>
    </row>
    <row r="7" spans="1:13" x14ac:dyDescent="0.3">
      <c r="A7" s="270" t="s">
        <v>468</v>
      </c>
      <c r="B7" s="196">
        <v>125118.55924999998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7"/>
    </row>
    <row r="8" spans="1:13" x14ac:dyDescent="0.3">
      <c r="A8" s="415" t="s">
        <v>469</v>
      </c>
      <c r="B8" s="196"/>
      <c r="C8" s="416" t="e">
        <f>+B9+B10</f>
        <v>#REF!</v>
      </c>
      <c r="D8" s="196"/>
      <c r="E8" s="416">
        <f>+D9+D10</f>
        <v>51.745000000000005</v>
      </c>
      <c r="F8" s="196"/>
      <c r="G8" s="416">
        <f>+F9+F10</f>
        <v>132.5657941055</v>
      </c>
      <c r="H8" s="196"/>
      <c r="I8" s="416">
        <f>+H9+H10</f>
        <v>163.00678469840568</v>
      </c>
      <c r="J8" s="416"/>
      <c r="K8" s="416"/>
      <c r="L8" s="196"/>
      <c r="M8" s="417">
        <f>+L9+L10</f>
        <v>237.26907151640717</v>
      </c>
    </row>
    <row r="9" spans="1:13" x14ac:dyDescent="0.3">
      <c r="A9" s="270" t="s">
        <v>470</v>
      </c>
      <c r="B9" s="196" t="e">
        <f>+'5 Demanda'!#REF!/12</f>
        <v>#REF!</v>
      </c>
      <c r="C9" s="196"/>
      <c r="D9" s="196">
        <f>+'5 Demanda'!B105/12</f>
        <v>51.745000000000005</v>
      </c>
      <c r="E9" s="196"/>
      <c r="F9" s="196">
        <f>+'5 Demanda'!C105/12</f>
        <v>132.5657941055</v>
      </c>
      <c r="G9" s="196"/>
      <c r="H9" s="196">
        <f>+'5 Demanda'!D105/12</f>
        <v>163.00678469840568</v>
      </c>
      <c r="I9" s="196"/>
      <c r="J9" s="196"/>
      <c r="K9" s="196"/>
      <c r="L9" s="196">
        <f>+'5 Demanda'!E105/12</f>
        <v>237.26907151640717</v>
      </c>
      <c r="M9" s="197"/>
    </row>
    <row r="10" spans="1:13" x14ac:dyDescent="0.3">
      <c r="A10" s="270" t="s">
        <v>471</v>
      </c>
      <c r="B10" s="196">
        <f>+'6 Capital de trabajo'!D37</f>
        <v>285.84000000000003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7"/>
    </row>
    <row r="11" spans="1:13" x14ac:dyDescent="0.3">
      <c r="A11" s="415" t="s">
        <v>472</v>
      </c>
      <c r="B11" s="416"/>
      <c r="C11" s="416">
        <f>+C12+C14+C16+C18</f>
        <v>1161.0718750000001</v>
      </c>
      <c r="D11" s="416"/>
      <c r="E11" s="416">
        <f>+E12+E14+E16+E18</f>
        <v>-246.82968749999998</v>
      </c>
      <c r="F11" s="416"/>
      <c r="G11" s="416">
        <f>+G12+G14+G16+G18</f>
        <v>-454.73124999999999</v>
      </c>
      <c r="H11" s="416"/>
      <c r="I11" s="416">
        <f>+I12+I14+I16+I18</f>
        <v>287.3671875</v>
      </c>
      <c r="J11" s="416"/>
      <c r="K11" s="416"/>
      <c r="L11" s="416"/>
      <c r="M11" s="417">
        <f>+M12+M14+M16+M18</f>
        <v>269.46562499999999</v>
      </c>
    </row>
    <row r="12" spans="1:13" x14ac:dyDescent="0.3">
      <c r="A12" s="270" t="s">
        <v>92</v>
      </c>
      <c r="B12" s="196">
        <f>+'3 Recursos físicos'!$E$4</f>
        <v>0</v>
      </c>
      <c r="C12" s="196">
        <f>+B12-B13</f>
        <v>0</v>
      </c>
      <c r="D12" s="196">
        <f>+'3 Recursos físicos'!$E$4</f>
        <v>0</v>
      </c>
      <c r="E12" s="196">
        <f>+D12-D13</f>
        <v>0</v>
      </c>
      <c r="F12" s="196">
        <f>+'3 Recursos físicos'!$E$4</f>
        <v>0</v>
      </c>
      <c r="G12" s="196">
        <f>+F12-F13</f>
        <v>0</v>
      </c>
      <c r="H12" s="196">
        <f>+'3 Recursos físicos'!$E$4</f>
        <v>0</v>
      </c>
      <c r="I12" s="196">
        <f>+H12-H13</f>
        <v>0</v>
      </c>
      <c r="J12" s="196"/>
      <c r="K12" s="196"/>
      <c r="L12" s="196">
        <f>+'3 Recursos físicos'!$E$4</f>
        <v>0</v>
      </c>
      <c r="M12" s="197">
        <f>+L12-L13</f>
        <v>0</v>
      </c>
    </row>
    <row r="13" spans="1:13" ht="20.399999999999999" x14ac:dyDescent="0.3">
      <c r="A13" s="270" t="s">
        <v>473</v>
      </c>
      <c r="B13" s="196">
        <f>+Depreciación!E3</f>
        <v>0</v>
      </c>
      <c r="C13" s="196"/>
      <c r="D13" s="196">
        <f>+B13+Depreciación!G3</f>
        <v>0</v>
      </c>
      <c r="E13" s="196"/>
      <c r="F13" s="196">
        <f>+D13+Depreciación!I3</f>
        <v>0</v>
      </c>
      <c r="G13" s="196"/>
      <c r="H13" s="196">
        <f>+F13+Depreciación!K3</f>
        <v>0</v>
      </c>
      <c r="I13" s="196"/>
      <c r="J13" s="196"/>
      <c r="K13" s="196"/>
      <c r="L13" s="196">
        <f>+H13+Depreciación!L3</f>
        <v>0</v>
      </c>
      <c r="M13" s="197"/>
    </row>
    <row r="14" spans="1:13" x14ac:dyDescent="0.3">
      <c r="A14" s="270" t="s">
        <v>474</v>
      </c>
      <c r="B14" s="196">
        <f>+'4 Inversión Inicial'!$B$8</f>
        <v>1200</v>
      </c>
      <c r="C14" s="196">
        <f>+B14-B15</f>
        <v>820</v>
      </c>
      <c r="D14" s="196">
        <f>+'4 Inversión Inicial'!$C$8</f>
        <v>0</v>
      </c>
      <c r="E14" s="196">
        <f>+D14-D15</f>
        <v>-570</v>
      </c>
      <c r="F14" s="196">
        <f>+'4 Inversión Inicial'!$C$8</f>
        <v>0</v>
      </c>
      <c r="G14" s="196">
        <f>+F14-F15</f>
        <v>-760</v>
      </c>
      <c r="H14" s="196"/>
      <c r="I14" s="196">
        <f>+H14-H15</f>
        <v>0</v>
      </c>
      <c r="J14" s="196"/>
      <c r="K14" s="196"/>
      <c r="L14" s="196"/>
      <c r="M14" s="197">
        <f>+L14-L15</f>
        <v>0</v>
      </c>
    </row>
    <row r="15" spans="1:13" ht="20.399999999999999" x14ac:dyDescent="0.3">
      <c r="A15" s="270" t="s">
        <v>475</v>
      </c>
      <c r="B15" s="196">
        <f>+Depreciación!E35</f>
        <v>380</v>
      </c>
      <c r="C15" s="196"/>
      <c r="D15" s="196">
        <f>+B15+Depreciación!G35</f>
        <v>570</v>
      </c>
      <c r="E15" s="196"/>
      <c r="F15" s="196">
        <f>+Depreciación!I35+Balance!D15</f>
        <v>760</v>
      </c>
      <c r="G15" s="196"/>
      <c r="H15" s="196"/>
      <c r="I15" s="196"/>
      <c r="J15" s="196"/>
      <c r="K15" s="196"/>
      <c r="L15" s="196"/>
      <c r="M15" s="197"/>
    </row>
    <row r="16" spans="1:13" x14ac:dyDescent="0.3">
      <c r="A16" s="270" t="s">
        <v>476</v>
      </c>
      <c r="B16" s="196">
        <f>+'3 Recursos físicos'!$E$22</f>
        <v>376.875</v>
      </c>
      <c r="C16" s="196">
        <f>+B16-B17</f>
        <v>341.07187499999998</v>
      </c>
      <c r="D16" s="196">
        <f>+'3 Recursos físicos'!$E$22</f>
        <v>376.875</v>
      </c>
      <c r="E16" s="196">
        <f>+D16-D17</f>
        <v>323.17031250000002</v>
      </c>
      <c r="F16" s="196">
        <f>+'3 Recursos físicos'!$E$22</f>
        <v>376.875</v>
      </c>
      <c r="G16" s="196">
        <f>+F16-F17</f>
        <v>305.26875000000001</v>
      </c>
      <c r="H16" s="196">
        <f>+'3 Recursos físicos'!$E$22</f>
        <v>376.875</v>
      </c>
      <c r="I16" s="196">
        <f>+H16-H17</f>
        <v>287.3671875</v>
      </c>
      <c r="J16" s="196"/>
      <c r="K16" s="196"/>
      <c r="L16" s="196">
        <f>+'3 Recursos físicos'!$E$22</f>
        <v>376.875</v>
      </c>
      <c r="M16" s="197">
        <f>+L16-L17</f>
        <v>269.46562499999999</v>
      </c>
    </row>
    <row r="17" spans="1:13" ht="20.399999999999999" x14ac:dyDescent="0.3">
      <c r="A17" s="270" t="s">
        <v>477</v>
      </c>
      <c r="B17" s="196">
        <f>+Depreciación!E21</f>
        <v>35.803125000000001</v>
      </c>
      <c r="C17" s="196"/>
      <c r="D17" s="196">
        <f>+B17+Depreciación!G21</f>
        <v>53.704687500000006</v>
      </c>
      <c r="E17" s="196"/>
      <c r="F17" s="196">
        <f>+D17+Depreciación!I21</f>
        <v>71.606250000000003</v>
      </c>
      <c r="G17" s="196"/>
      <c r="H17" s="196">
        <f>+F17+Depreciación!K21</f>
        <v>89.5078125</v>
      </c>
      <c r="I17" s="196"/>
      <c r="J17" s="196"/>
      <c r="K17" s="196"/>
      <c r="L17" s="196">
        <f>+H17+Depreciación!L21</f>
        <v>107.409375</v>
      </c>
      <c r="M17" s="197"/>
    </row>
    <row r="18" spans="1:13" x14ac:dyDescent="0.3">
      <c r="A18" s="270" t="s">
        <v>478</v>
      </c>
      <c r="B18" s="196">
        <f>+'3 Recursos físicos'!E56</f>
        <v>0</v>
      </c>
      <c r="C18" s="196">
        <f>+B18-B19</f>
        <v>0</v>
      </c>
      <c r="D18" s="196"/>
      <c r="E18" s="196">
        <f>+D18-D19</f>
        <v>0</v>
      </c>
      <c r="F18" s="196"/>
      <c r="G18" s="196">
        <f>+F18-F19</f>
        <v>0</v>
      </c>
      <c r="H18" s="196"/>
      <c r="I18" s="196">
        <f>+H18-H19</f>
        <v>0</v>
      </c>
      <c r="J18" s="196"/>
      <c r="K18" s="196"/>
      <c r="L18" s="196"/>
      <c r="M18" s="197">
        <f>+L18-L19</f>
        <v>0</v>
      </c>
    </row>
    <row r="19" spans="1:13" ht="20.399999999999999" x14ac:dyDescent="0.3">
      <c r="A19" s="270" t="s">
        <v>479</v>
      </c>
      <c r="B19" s="196">
        <f>+Depreciación!E51</f>
        <v>0</v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7"/>
    </row>
    <row r="20" spans="1:13" x14ac:dyDescent="0.3">
      <c r="A20" s="415" t="s">
        <v>480</v>
      </c>
      <c r="B20" s="416"/>
      <c r="C20" s="416" t="e">
        <f>+C5+C8+C11</f>
        <v>#REF!</v>
      </c>
      <c r="D20" s="416"/>
      <c r="E20" s="416">
        <f>+E5+E8+E11</f>
        <v>-45.084687499999973</v>
      </c>
      <c r="F20" s="416"/>
      <c r="G20" s="416">
        <f>+G5+G8+G11</f>
        <v>-172.16545589449998</v>
      </c>
      <c r="H20" s="416"/>
      <c r="I20" s="416">
        <f>+I5+I8+I11</f>
        <v>600.37397219840568</v>
      </c>
      <c r="J20" s="416"/>
      <c r="K20" s="416"/>
      <c r="L20" s="416"/>
      <c r="M20" s="417">
        <f>+M5+M8+M11</f>
        <v>656.73469651640721</v>
      </c>
    </row>
    <row r="21" spans="1:13" x14ac:dyDescent="0.3">
      <c r="A21" s="418" t="s">
        <v>481</v>
      </c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7"/>
    </row>
    <row r="22" spans="1:13" x14ac:dyDescent="0.3">
      <c r="A22" s="415" t="s">
        <v>482</v>
      </c>
      <c r="B22" s="196"/>
      <c r="C22" s="416">
        <f>+B23+B24</f>
        <v>0</v>
      </c>
      <c r="D22" s="196"/>
      <c r="E22" s="416">
        <f>+D23+D24</f>
        <v>0</v>
      </c>
      <c r="F22" s="196"/>
      <c r="G22" s="416">
        <f>+F23+F24</f>
        <v>0</v>
      </c>
      <c r="H22" s="196"/>
      <c r="I22" s="416">
        <f>+H23+H24</f>
        <v>0</v>
      </c>
      <c r="J22" s="416"/>
      <c r="K22" s="416"/>
      <c r="L22" s="196"/>
      <c r="M22" s="417" t="e">
        <f>+L23+L24</f>
        <v>#REF!</v>
      </c>
    </row>
    <row r="23" spans="1:13" x14ac:dyDescent="0.3">
      <c r="A23" s="270" t="s">
        <v>483</v>
      </c>
      <c r="B23" s="196">
        <f>+'12 Pérdidas y Ganancias'!B42</f>
        <v>0</v>
      </c>
      <c r="C23" s="196"/>
      <c r="D23" s="196">
        <f>+'12 Pérdidas y Ganancias'!D42</f>
        <v>0</v>
      </c>
      <c r="E23" s="196"/>
      <c r="F23" s="196">
        <f>+'12 Pérdidas y Ganancias'!F42</f>
        <v>0</v>
      </c>
      <c r="G23" s="196"/>
      <c r="H23" s="196">
        <f>+'12 Pérdidas y Ganancias'!H42</f>
        <v>0</v>
      </c>
      <c r="I23" s="196"/>
      <c r="J23" s="196"/>
      <c r="K23" s="196"/>
      <c r="L23" s="196" t="e">
        <f>+'12 Pérdidas y Ganancias'!#REF!</f>
        <v>#REF!</v>
      </c>
      <c r="M23" s="197"/>
    </row>
    <row r="24" spans="1:13" x14ac:dyDescent="0.3">
      <c r="A24" s="270" t="s">
        <v>484</v>
      </c>
      <c r="B24" s="196">
        <f>+'12 Pérdidas y Ganancias'!B44</f>
        <v>0</v>
      </c>
      <c r="C24" s="196"/>
      <c r="D24" s="196">
        <f>+'12 Pérdidas y Ganancias'!D44</f>
        <v>0</v>
      </c>
      <c r="E24" s="196"/>
      <c r="F24" s="196">
        <f>+'12 Pérdidas y Ganancias'!F44</f>
        <v>0</v>
      </c>
      <c r="G24" s="196"/>
      <c r="H24" s="196">
        <f>+'12 Pérdidas y Ganancias'!H44</f>
        <v>0</v>
      </c>
      <c r="I24" s="196"/>
      <c r="J24" s="196"/>
      <c r="K24" s="196"/>
      <c r="L24" s="196" t="e">
        <f>+'12 Pérdidas y Ganancias'!#REF!</f>
        <v>#REF!</v>
      </c>
      <c r="M24" s="197"/>
    </row>
    <row r="25" spans="1:13" x14ac:dyDescent="0.3">
      <c r="A25" s="415" t="s">
        <v>485</v>
      </c>
      <c r="B25" s="196"/>
      <c r="C25" s="416" t="e">
        <f>+B26+B27</f>
        <v>#REF!</v>
      </c>
      <c r="D25" s="196"/>
      <c r="E25" s="416">
        <f>+D26+D27</f>
        <v>215003.54130632299</v>
      </c>
      <c r="F25" s="196"/>
      <c r="G25" s="416">
        <f>+F26+F27</f>
        <v>528775.14546564</v>
      </c>
      <c r="H25" s="196"/>
      <c r="I25" s="416">
        <f>+H26+H27</f>
        <v>629072.09841938398</v>
      </c>
      <c r="J25" s="416"/>
      <c r="K25" s="416"/>
      <c r="L25" s="196"/>
      <c r="M25" s="417">
        <f>+L26+L27</f>
        <v>644443.92210100405</v>
      </c>
    </row>
    <row r="26" spans="1:13" x14ac:dyDescent="0.3">
      <c r="A26" s="270" t="s">
        <v>486</v>
      </c>
      <c r="B26" s="196">
        <f>+SUM('Amort. prestamo'!D8:D19)</f>
        <v>0</v>
      </c>
      <c r="C26" s="196"/>
      <c r="D26" s="196">
        <v>215003.54130632299</v>
      </c>
      <c r="E26" s="196"/>
      <c r="F26" s="196">
        <v>528775.14546564</v>
      </c>
      <c r="G26" s="196"/>
      <c r="H26" s="196">
        <v>629072.09841938398</v>
      </c>
      <c r="I26" s="196"/>
      <c r="J26" s="196"/>
      <c r="K26" s="196"/>
      <c r="L26" s="196">
        <v>644443.92210100405</v>
      </c>
      <c r="M26" s="197"/>
    </row>
    <row r="27" spans="1:13" x14ac:dyDescent="0.3">
      <c r="A27" s="270" t="s">
        <v>487</v>
      </c>
      <c r="B27" s="196" t="e">
        <f>+'10 Costos y Gastos'!#REF!</f>
        <v>#REF!</v>
      </c>
      <c r="C27" s="196"/>
      <c r="D27" s="196">
        <f>+'10 Costos y Gastos'!C39</f>
        <v>0</v>
      </c>
      <c r="E27" s="196"/>
      <c r="F27" s="196"/>
      <c r="G27" s="196"/>
      <c r="H27" s="196"/>
      <c r="I27" s="196"/>
      <c r="J27" s="196"/>
      <c r="K27" s="196"/>
      <c r="L27" s="196"/>
      <c r="M27" s="197"/>
    </row>
    <row r="28" spans="1:13" x14ac:dyDescent="0.3">
      <c r="A28" s="415" t="s">
        <v>488</v>
      </c>
      <c r="B28" s="196"/>
      <c r="C28" s="416" t="e">
        <f>+C22+C25</f>
        <v>#REF!</v>
      </c>
      <c r="D28" s="196"/>
      <c r="E28" s="416">
        <f>+E22+E25</f>
        <v>215003.54130632299</v>
      </c>
      <c r="F28" s="196"/>
      <c r="G28" s="416">
        <f>+G22+G25</f>
        <v>528775.14546564</v>
      </c>
      <c r="H28" s="196"/>
      <c r="I28" s="416">
        <f>+I22+I25</f>
        <v>629072.09841938398</v>
      </c>
      <c r="J28" s="416"/>
      <c r="K28" s="416"/>
      <c r="L28" s="196"/>
      <c r="M28" s="417" t="e">
        <f>+M22+M25</f>
        <v>#REF!</v>
      </c>
    </row>
    <row r="29" spans="1:13" x14ac:dyDescent="0.3">
      <c r="A29" s="418" t="s">
        <v>489</v>
      </c>
      <c r="B29" s="196"/>
      <c r="C29" s="416">
        <f>+B30+B31</f>
        <v>16971.809286266667</v>
      </c>
      <c r="D29" s="196"/>
      <c r="E29" s="416">
        <f>+D30+D31</f>
        <v>-5313.2491746684545</v>
      </c>
      <c r="F29" s="196"/>
      <c r="G29" s="416">
        <f>+F30+F31</f>
        <v>12798.935965520775</v>
      </c>
      <c r="H29" s="196"/>
      <c r="I29" s="416">
        <f>+H30+H31</f>
        <v>16286.630964786027</v>
      </c>
      <c r="J29" s="416"/>
      <c r="K29" s="416"/>
      <c r="L29" s="196"/>
      <c r="M29" s="417">
        <f>+L30+L31</f>
        <v>1482.4838871998418</v>
      </c>
    </row>
    <row r="30" spans="1:13" x14ac:dyDescent="0.3">
      <c r="A30" s="270" t="s">
        <v>490</v>
      </c>
      <c r="B30" s="196">
        <f>+'4 Inversión Inicial'!B11+'4 Inversión Inicial'!B12</f>
        <v>16971.809286266667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7"/>
    </row>
    <row r="31" spans="1:13" x14ac:dyDescent="0.3">
      <c r="A31" s="270" t="s">
        <v>491</v>
      </c>
      <c r="B31" s="196"/>
      <c r="C31" s="196"/>
      <c r="D31" s="196">
        <f>+'12 Pérdidas y Ganancias'!B45</f>
        <v>-5313.2491746684545</v>
      </c>
      <c r="E31" s="196"/>
      <c r="F31" s="196">
        <f>+'12 Pérdidas y Ganancias'!D45</f>
        <v>12798.935965520775</v>
      </c>
      <c r="G31" s="196"/>
      <c r="H31" s="196">
        <f>+'12 Pérdidas y Ganancias'!F45</f>
        <v>16286.630964786027</v>
      </c>
      <c r="I31" s="196"/>
      <c r="J31" s="196"/>
      <c r="K31" s="196"/>
      <c r="L31" s="196">
        <f>+'12 Pérdidas y Ganancias'!H45</f>
        <v>1482.4838871998418</v>
      </c>
      <c r="M31" s="197"/>
    </row>
    <row r="32" spans="1:13" x14ac:dyDescent="0.3">
      <c r="A32" s="415" t="s">
        <v>492</v>
      </c>
      <c r="B32" s="196"/>
      <c r="C32" s="416">
        <f>+C29</f>
        <v>16971.809286266667</v>
      </c>
      <c r="D32" s="196"/>
      <c r="E32" s="416">
        <f>+E29</f>
        <v>-5313.2491746684545</v>
      </c>
      <c r="F32" s="196"/>
      <c r="G32" s="416">
        <f>+G29</f>
        <v>12798.935965520775</v>
      </c>
      <c r="H32" s="196"/>
      <c r="I32" s="416">
        <f>+I29</f>
        <v>16286.630964786027</v>
      </c>
      <c r="J32" s="416"/>
      <c r="K32" s="416"/>
      <c r="L32" s="196"/>
      <c r="M32" s="417">
        <f>+M29</f>
        <v>1482.4838871998418</v>
      </c>
    </row>
    <row r="33" spans="1:13" ht="10.8" thickBot="1" x14ac:dyDescent="0.35">
      <c r="A33" s="419" t="s">
        <v>493</v>
      </c>
      <c r="B33" s="420"/>
      <c r="C33" s="421" t="e">
        <f>+C32+C28</f>
        <v>#REF!</v>
      </c>
      <c r="D33" s="420"/>
      <c r="E33" s="421">
        <f>+E32+E28</f>
        <v>209690.29213165454</v>
      </c>
      <c r="F33" s="420"/>
      <c r="G33" s="421">
        <f>+G32+G28</f>
        <v>541574.0814311608</v>
      </c>
      <c r="H33" s="420"/>
      <c r="I33" s="421">
        <f>+I32+I28</f>
        <v>645358.72938417003</v>
      </c>
      <c r="J33" s="421"/>
      <c r="K33" s="421"/>
      <c r="L33" s="420"/>
      <c r="M33" s="422" t="e">
        <f>+M32+M28</f>
        <v>#REF!</v>
      </c>
    </row>
    <row r="36" spans="1:13" x14ac:dyDescent="0.3">
      <c r="B36" s="278" t="e">
        <f>+C33-C20</f>
        <v>#REF!</v>
      </c>
      <c r="D36" s="278">
        <f>+E33-E20</f>
        <v>209735.37681915454</v>
      </c>
      <c r="F36" s="278">
        <f>+G33-G20</f>
        <v>541746.24688705534</v>
      </c>
      <c r="H36" s="278">
        <f>+I33-I20</f>
        <v>644758.35541197157</v>
      </c>
      <c r="L36" s="278" t="e">
        <f>+M33-M20</f>
        <v>#REF!</v>
      </c>
    </row>
  </sheetData>
  <mergeCells count="9">
    <mergeCell ref="A2:A3"/>
    <mergeCell ref="B2:L2"/>
    <mergeCell ref="A1:M1"/>
    <mergeCell ref="B3:C3"/>
    <mergeCell ref="D3:E3"/>
    <mergeCell ref="F3:G3"/>
    <mergeCell ref="H3:I3"/>
    <mergeCell ref="J3:K3"/>
    <mergeCell ref="L3:M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4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9af7d8-4dc7-4b48-b8eb-a566d5117abf" xsi:nil="true"/>
    <lcf76f155ced4ddcb4097134ff3c332f xmlns="b5c06154-24b3-4546-bdba-e0aebcb1b6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CEB53D3D0DB439750E89E1B092BB7" ma:contentTypeVersion="15" ma:contentTypeDescription="Crear nuevo documento." ma:contentTypeScope="" ma:versionID="c37bce22ccdbf4a7f1e00eb886c18a88">
  <xsd:schema xmlns:xsd="http://www.w3.org/2001/XMLSchema" xmlns:xs="http://www.w3.org/2001/XMLSchema" xmlns:p="http://schemas.microsoft.com/office/2006/metadata/properties" xmlns:ns2="b5c06154-24b3-4546-bdba-e0aebcb1b6fb" xmlns:ns3="1e9af7d8-4dc7-4b48-b8eb-a566d5117abf" targetNamespace="http://schemas.microsoft.com/office/2006/metadata/properties" ma:root="true" ma:fieldsID="c61f13786afbf1ee39c63849aa32b2a9" ns2:_="" ns3:_="">
    <xsd:import namespace="b5c06154-24b3-4546-bdba-e0aebcb1b6fb"/>
    <xsd:import namespace="1e9af7d8-4dc7-4b48-b8eb-a566d5117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06154-24b3-4546-bdba-e0aebcb1b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c708dc9-055c-4176-a956-0130130de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af7d8-4dc7-4b48-b8eb-a566d5117a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712865f-c8df-4a28-897e-93ffb2f2ac55}" ma:internalName="TaxCatchAll" ma:showField="CatchAllData" ma:web="1e9af7d8-4dc7-4b48-b8eb-a566d5117a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177B5C-5B93-4A9C-A563-715F8E8AC691}">
  <ds:schemaRefs>
    <ds:schemaRef ds:uri="http://purl.org/dc/dcmitype/"/>
    <ds:schemaRef ds:uri="http://purl.org/dc/elements/1.1/"/>
    <ds:schemaRef ds:uri="1e9af7d8-4dc7-4b48-b8eb-a566d5117abf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5c06154-24b3-4546-bdba-e0aebcb1b6f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46383B0-309F-4A18-919D-089E6E1C0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06154-24b3-4546-bdba-e0aebcb1b6fb"/>
    <ds:schemaRef ds:uri="1e9af7d8-4dc7-4b48-b8eb-a566d5117a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1C47DB-9D97-49BF-92CE-AD9AA0324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14</vt:i4>
      </vt:variant>
    </vt:vector>
  </HeadingPairs>
  <TitlesOfParts>
    <vt:vector size="42" baseType="lpstr">
      <vt:lpstr>1 Estudiantes</vt:lpstr>
      <vt:lpstr>Hoja1</vt:lpstr>
      <vt:lpstr>2 Tasa de Retención</vt:lpstr>
      <vt:lpstr>3 Recursos físicos</vt:lpstr>
      <vt:lpstr>4 Inversión Inicial</vt:lpstr>
      <vt:lpstr>6 Capital de trabajo</vt:lpstr>
      <vt:lpstr>Depreciación</vt:lpstr>
      <vt:lpstr>7 Sueldos</vt:lpstr>
      <vt:lpstr>Hoja2</vt:lpstr>
      <vt:lpstr>Inflación</vt:lpstr>
      <vt:lpstr>8 Mantenimiento</vt:lpstr>
      <vt:lpstr>9 Inv. Vin. Becas</vt:lpstr>
      <vt:lpstr>Planta central</vt:lpstr>
      <vt:lpstr>10 Costos y Gastos</vt:lpstr>
      <vt:lpstr>11 Costo de la Carrera</vt:lpstr>
      <vt:lpstr>12 Pérdidas y Ganancias</vt:lpstr>
      <vt:lpstr>INF CES</vt:lpstr>
      <vt:lpstr>5 Demanda</vt:lpstr>
      <vt:lpstr>13 TIR</vt:lpstr>
      <vt:lpstr>14 VAN</vt:lpstr>
      <vt:lpstr>15 Punto de equilibrio</vt:lpstr>
      <vt:lpstr>16 Flujo de Fondos</vt:lpstr>
      <vt:lpstr>Amortización </vt:lpstr>
      <vt:lpstr>Financiamiento</vt:lpstr>
      <vt:lpstr>Amort. prestamo</vt:lpstr>
      <vt:lpstr>CES</vt:lpstr>
      <vt:lpstr>Perio. recup. Inversión</vt:lpstr>
      <vt:lpstr>Balance</vt:lpstr>
      <vt:lpstr>'1 Estudiantes'!Área_de_impresión</vt:lpstr>
      <vt:lpstr>'10 Costos y Gastos'!Área_de_impresión</vt:lpstr>
      <vt:lpstr>'12 Pérdidas y Ganancias'!Área_de_impresión</vt:lpstr>
      <vt:lpstr>'14 VAN'!Área_de_impresión</vt:lpstr>
      <vt:lpstr>'16 Flujo de Fondos'!Área_de_impresión</vt:lpstr>
      <vt:lpstr>'3 Recursos físicos'!Área_de_impresión</vt:lpstr>
      <vt:lpstr>'4 Inversión Inicial'!Área_de_impresión</vt:lpstr>
      <vt:lpstr>'5 Demanda'!Área_de_impresión</vt:lpstr>
      <vt:lpstr>'6 Capital de trabajo'!Área_de_impresión</vt:lpstr>
      <vt:lpstr>'7 Sueldos'!Área_de_impresión</vt:lpstr>
      <vt:lpstr>'8 Mantenimiento'!Área_de_impresión</vt:lpstr>
      <vt:lpstr>Balance!Área_de_impresión</vt:lpstr>
      <vt:lpstr>Depreciación!Área_de_impresión</vt:lpstr>
      <vt:lpstr>'Planta central'!Área_de_impresión</vt:lpstr>
    </vt:vector>
  </TitlesOfParts>
  <Manager/>
  <Company>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luis miguel ALVAREZ CASTILLO</cp:lastModifiedBy>
  <cp:revision/>
  <dcterms:created xsi:type="dcterms:W3CDTF">2012-03-10T16:23:37Z</dcterms:created>
  <dcterms:modified xsi:type="dcterms:W3CDTF">2026-06-23T17:54:03Z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0x0101003FFCEB53D3D0DB439750E89E1B092BB7</vt:lpwstr>
  </property>
  <property fmtid="{D5CDD505-2E9C-101B-9397-08002B2CF9AE}" pid="3" name="MediaServiceImageTags">
    <vt:lpwstr/>
  </property>
</Properties>
</file>